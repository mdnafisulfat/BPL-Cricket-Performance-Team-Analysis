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Sports Analytics\BPL Dataset\"/>
    </mc:Choice>
  </mc:AlternateContent>
  <xr:revisionPtr revIDLastSave="0" documentId="13_ncr:1_{F59937EE-DEFA-4841-989F-AF71B5EBDEAC}" xr6:coauthVersionLast="47" xr6:coauthVersionMax="47" xr10:uidLastSave="{00000000-0000-0000-0000-000000000000}"/>
  <bookViews>
    <workbookView xWindow="-108" yWindow="-108" windowWidth="23256" windowHeight="12456" firstSheet="1" activeTab="5" xr2:uid="{1FFC102C-558A-42FA-8B39-33AEB79854FE}"/>
  </bookViews>
  <sheets>
    <sheet name="Raw_Data" sheetId="1" r:id="rId1"/>
    <sheet name="Clean_Data" sheetId="3" r:id="rId2"/>
    <sheet name="Data_Preprocessing" sheetId="5" r:id="rId3"/>
    <sheet name="Team_Analysis" sheetId="4" r:id="rId4"/>
    <sheet name="KPI_Analysis" sheetId="9" r:id="rId5"/>
    <sheet name="Dashboard" sheetId="8" r:id="rId6"/>
  </sheets>
  <definedNames>
    <definedName name="_xlnm._FilterDatabase" localSheetId="3" hidden="1">Team_Analysis!$C$127:$D$315</definedName>
    <definedName name="city">Data_Preprocessing!$R$2:$R$1048576</definedName>
    <definedName name="Close_Match_Flag">Data_Preprocessing!$X$2:$X$1048576</definedName>
    <definedName name="Correct_Winner">Data_Preprocessing!$P$2:$P$1048576</definedName>
    <definedName name="date">Data_Preprocessing!$E$2:$E$1048576</definedName>
    <definedName name="ExternalData_1" localSheetId="2" hidden="1">Data_Preprocessing!$A$1:$AD$482</definedName>
    <definedName name="High_Scoring_Flag">Data_Preprocessing!$Z$2:$Z$1048576</definedName>
    <definedName name="match_no">Data_Preprocessing!$C$2:$C$1048576</definedName>
    <definedName name="Match_Type">Data_Preprocessing!$D$2:$D$1048576</definedName>
    <definedName name="player_of_match">Data_Preprocessing!$L$2:$L$1048576</definedName>
    <definedName name="result">Data_Preprocessing!$U$2:$U$1048576</definedName>
    <definedName name="season">Data_Preprocessing!$A$2:$A$1048576</definedName>
    <definedName name="Slicer_Match_Type">#N/A</definedName>
    <definedName name="Slicer_season">#N/A</definedName>
    <definedName name="Slicer_Team_Name">#N/A</definedName>
    <definedName name="Slicer_venue">#N/A</definedName>
    <definedName name="Team">Data_Preprocessing!$AC$2:$AC$1048576</definedName>
    <definedName name="team_1">Data_Preprocessing!$F$2:$F$1048576</definedName>
    <definedName name="team_1_score">Data_Preprocessing!$G$2:$G$1048576</definedName>
    <definedName name="team_1_wicket">Data_Preprocessing!$H$2:$H$1048576</definedName>
    <definedName name="team_2">Data_Preprocessing!$I$2:$I$1048576</definedName>
    <definedName name="team_2_score">Data_Preprocessing!$J$2:$J$1048576</definedName>
    <definedName name="team_2_wicket">Data_Preprocessing!$K$2:$K$1048576</definedName>
    <definedName name="Team_Name">Data_Preprocessing!$AD$2:$AD$1048576</definedName>
    <definedName name="toss_decision">Data_Preprocessing!$N$2:$N$1048576</definedName>
    <definedName name="toss_winner">Data_Preprocessing!$M$2:$M$1048576</definedName>
    <definedName name="Total_Runs">Data_Preprocessing!$Y$2:$Y$1048576</definedName>
    <definedName name="umpire_1">Data_Preprocessing!$AA$2:$AA$1048576</definedName>
    <definedName name="umpire_2">Data_Preprocessing!$AB$2:$AB$1048576</definedName>
    <definedName name="venue">Data_Preprocessing!$Q$2:$Q$1048576</definedName>
    <definedName name="win_by_runs">Data_Preprocessing!$T$2:$T$1048576</definedName>
    <definedName name="Win_By_Type">Data_Preprocessing!$V$2:$V$1048576</definedName>
    <definedName name="win_by_wickets">Data_Preprocessing!$S$2:$S$1048576</definedName>
    <definedName name="Win_Flag">Data_Preprocessing!$AE$2:$AE$1048576</definedName>
    <definedName name="Win_Margin">Data_Preprocessing!$W$2:$W$1048576</definedName>
    <definedName name="winner">Data_Preprocessing!$O$2:$O$1048576</definedName>
    <definedName name="Year">Data_Preprocessing!$B$2:$B$1048576</definedName>
  </definedNames>
  <calcPr calcId="191029" calcMode="manual"/>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7" i="9" l="1"/>
  <c r="B21" i="9"/>
  <c r="B12" i="9"/>
  <c r="B8" i="9"/>
  <c r="B4" i="9"/>
  <c r="G63" i="4" l="1"/>
  <c r="I108" i="4"/>
  <c r="I107" i="4"/>
  <c r="I114" i="4"/>
  <c r="I113" i="4"/>
  <c r="I112" i="4"/>
  <c r="I111" i="4"/>
  <c r="I110" i="4"/>
  <c r="I109" i="4"/>
  <c r="I115" i="4"/>
  <c r="I116" i="4"/>
  <c r="I106" i="4"/>
  <c r="I105" i="4"/>
  <c r="I104" i="4"/>
  <c r="I103" i="4"/>
  <c r="I102" i="4"/>
  <c r="I101" i="4"/>
  <c r="I100" i="4"/>
  <c r="I99" i="4"/>
  <c r="I98" i="4"/>
  <c r="I97" i="4"/>
  <c r="I96" i="4"/>
  <c r="I95" i="4"/>
  <c r="I94" i="4"/>
  <c r="I93" i="4"/>
  <c r="I92" i="4"/>
  <c r="I91" i="4"/>
  <c r="I90" i="4"/>
  <c r="I89" i="4"/>
  <c r="I88" i="4"/>
  <c r="I87" i="4"/>
  <c r="I86" i="4"/>
  <c r="I85" i="4"/>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G75" i="4"/>
  <c r="G44" i="4"/>
  <c r="G48" i="4"/>
  <c r="G68" i="4"/>
  <c r="G59" i="4"/>
  <c r="G64" i="4"/>
  <c r="G58" i="4"/>
  <c r="G60" i="4"/>
  <c r="G47" i="4"/>
  <c r="G54" i="4"/>
  <c r="G50" i="4"/>
  <c r="G56" i="4"/>
  <c r="G66" i="4"/>
  <c r="G65" i="4"/>
  <c r="G74" i="4"/>
  <c r="G70" i="4"/>
  <c r="G73" i="4"/>
  <c r="G55" i="4"/>
  <c r="G53" i="4"/>
  <c r="G45" i="4"/>
  <c r="G51" i="4"/>
  <c r="G72" i="4"/>
  <c r="G71" i="4"/>
  <c r="G69" i="4"/>
  <c r="G49" i="4"/>
  <c r="G46" i="4"/>
  <c r="G52" i="4"/>
  <c r="G67" i="4"/>
  <c r="G57" i="4"/>
  <c r="G62" i="4"/>
  <c r="G61" i="4"/>
  <c r="AE2" i="5"/>
  <c r="AE3" i="5"/>
  <c r="AE4" i="5"/>
  <c r="AE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E190" i="5"/>
  <c r="AE191" i="5"/>
  <c r="AE192" i="5"/>
  <c r="AE193" i="5"/>
  <c r="AE194" i="5"/>
  <c r="AE195" i="5"/>
  <c r="AE196" i="5"/>
  <c r="AE197" i="5"/>
  <c r="AE198" i="5"/>
  <c r="AE199" i="5"/>
  <c r="AE200" i="5"/>
  <c r="AE201" i="5"/>
  <c r="AE202" i="5"/>
  <c r="AE203" i="5"/>
  <c r="AE204" i="5"/>
  <c r="AE205" i="5"/>
  <c r="AE206" i="5"/>
  <c r="AE207" i="5"/>
  <c r="AE208" i="5"/>
  <c r="AE209" i="5"/>
  <c r="AE210" i="5"/>
  <c r="AE211" i="5"/>
  <c r="AE212" i="5"/>
  <c r="AE213" i="5"/>
  <c r="AE214" i="5"/>
  <c r="AE215"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4" i="5"/>
  <c r="AE245" i="5"/>
  <c r="AE246" i="5"/>
  <c r="AE247" i="5"/>
  <c r="AE248" i="5"/>
  <c r="AE249" i="5"/>
  <c r="AE250" i="5"/>
  <c r="AE251" i="5"/>
  <c r="AE252" i="5"/>
  <c r="AE253" i="5"/>
  <c r="AE254" i="5"/>
  <c r="AE255" i="5"/>
  <c r="AE256" i="5"/>
  <c r="AE257" i="5"/>
  <c r="AE258" i="5"/>
  <c r="AE259" i="5"/>
  <c r="AE260" i="5"/>
  <c r="AE261" i="5"/>
  <c r="AE262"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0" i="5"/>
  <c r="AE311" i="5"/>
  <c r="AE312" i="5"/>
  <c r="AE313" i="5"/>
  <c r="AE314" i="5"/>
  <c r="AE315" i="5"/>
  <c r="AE316" i="5"/>
  <c r="AE317" i="5"/>
  <c r="AE318" i="5"/>
  <c r="AE319" i="5"/>
  <c r="AE320" i="5"/>
  <c r="AE321" i="5"/>
  <c r="AE322" i="5"/>
  <c r="AE323" i="5"/>
  <c r="AE324" i="5"/>
  <c r="AE325" i="5"/>
  <c r="AE326" i="5"/>
  <c r="AE327" i="5"/>
  <c r="AE328" i="5"/>
  <c r="AE329" i="5"/>
  <c r="AE330" i="5"/>
  <c r="AE331" i="5"/>
  <c r="AE332" i="5"/>
  <c r="AE333" i="5"/>
  <c r="AE334" i="5"/>
  <c r="AE335" i="5"/>
  <c r="AE336" i="5"/>
  <c r="AE337" i="5"/>
  <c r="AE338" i="5"/>
  <c r="AE339" i="5"/>
  <c r="AE340" i="5"/>
  <c r="AE341" i="5"/>
  <c r="AE342" i="5"/>
  <c r="AE343" i="5"/>
  <c r="AE344" i="5"/>
  <c r="AE345" i="5"/>
  <c r="AE346" i="5"/>
  <c r="AE347" i="5"/>
  <c r="AE348" i="5"/>
  <c r="AE349" i="5"/>
  <c r="AE350" i="5"/>
  <c r="AE351" i="5"/>
  <c r="AE352" i="5"/>
  <c r="AE353" i="5"/>
  <c r="AE354" i="5"/>
  <c r="AE355" i="5"/>
  <c r="AE356" i="5"/>
  <c r="AE357" i="5"/>
  <c r="AE358" i="5"/>
  <c r="AE359" i="5"/>
  <c r="AE360" i="5"/>
  <c r="AE361" i="5"/>
  <c r="AE362" i="5"/>
  <c r="AE363" i="5"/>
  <c r="AE364" i="5"/>
  <c r="AE365" i="5"/>
  <c r="AE366" i="5"/>
  <c r="AE367" i="5"/>
  <c r="AE368" i="5"/>
  <c r="AE369" i="5"/>
  <c r="AE370" i="5"/>
  <c r="AE371" i="5"/>
  <c r="AE372" i="5"/>
  <c r="AE373" i="5"/>
  <c r="AE374" i="5"/>
  <c r="AE375" i="5"/>
  <c r="AE376" i="5"/>
  <c r="AE377" i="5"/>
  <c r="AE378" i="5"/>
  <c r="AE379" i="5"/>
  <c r="AE380" i="5"/>
  <c r="AE381" i="5"/>
  <c r="AE382" i="5"/>
  <c r="AE383" i="5"/>
  <c r="AE384" i="5"/>
  <c r="AE385" i="5"/>
  <c r="AE386" i="5"/>
  <c r="AE387" i="5"/>
  <c r="AE388" i="5"/>
  <c r="AE389" i="5"/>
  <c r="AE390" i="5"/>
  <c r="AE391" i="5"/>
  <c r="AE392" i="5"/>
  <c r="AE393" i="5"/>
  <c r="AE394" i="5"/>
  <c r="AE395" i="5"/>
  <c r="AE396" i="5"/>
  <c r="AE397" i="5"/>
  <c r="AE398" i="5"/>
  <c r="AE399" i="5"/>
  <c r="AE400" i="5"/>
  <c r="AE401" i="5"/>
  <c r="AE402" i="5"/>
  <c r="AE403" i="5"/>
  <c r="AE404" i="5"/>
  <c r="AE405" i="5"/>
  <c r="AE406" i="5"/>
  <c r="AE407" i="5"/>
  <c r="AE408" i="5"/>
  <c r="AE409" i="5"/>
  <c r="AE410" i="5"/>
  <c r="AE411" i="5"/>
  <c r="AE412" i="5"/>
  <c r="AE413" i="5"/>
  <c r="AE414" i="5"/>
  <c r="AE415" i="5"/>
  <c r="AE416" i="5"/>
  <c r="AE417" i="5"/>
  <c r="AE418" i="5"/>
  <c r="AE419" i="5"/>
  <c r="AE420" i="5"/>
  <c r="AE421" i="5"/>
  <c r="AE422" i="5"/>
  <c r="AE423" i="5"/>
  <c r="AE424" i="5"/>
  <c r="AE425" i="5"/>
  <c r="AE426" i="5"/>
  <c r="AE427" i="5"/>
  <c r="AE428" i="5"/>
  <c r="AE429" i="5"/>
  <c r="AE430" i="5"/>
  <c r="AE431" i="5"/>
  <c r="AE432" i="5"/>
  <c r="AE433" i="5"/>
  <c r="AE434" i="5"/>
  <c r="AE435" i="5"/>
  <c r="AE436" i="5"/>
  <c r="AE437" i="5"/>
  <c r="AE438" i="5"/>
  <c r="AE439" i="5"/>
  <c r="AE440" i="5"/>
  <c r="AE441" i="5"/>
  <c r="AE442" i="5"/>
  <c r="AE443" i="5"/>
  <c r="AE444" i="5"/>
  <c r="AE445" i="5"/>
  <c r="AE446" i="5"/>
  <c r="AE447" i="5"/>
  <c r="AE448" i="5"/>
  <c r="AE449" i="5"/>
  <c r="AE450" i="5"/>
  <c r="AE451" i="5"/>
  <c r="AE452" i="5"/>
  <c r="AE453" i="5"/>
  <c r="AE454" i="5"/>
  <c r="AE455" i="5"/>
  <c r="AE456" i="5"/>
  <c r="AE457" i="5"/>
  <c r="AE458" i="5"/>
  <c r="AE459" i="5"/>
  <c r="AE460" i="5"/>
  <c r="AE461" i="5"/>
  <c r="AE462" i="5"/>
  <c r="AE463" i="5"/>
  <c r="AE464" i="5"/>
  <c r="AE465" i="5"/>
  <c r="AE466" i="5"/>
  <c r="AE467" i="5"/>
  <c r="AE468" i="5"/>
  <c r="AE469" i="5"/>
  <c r="AE470" i="5"/>
  <c r="AE471" i="5"/>
  <c r="AE472" i="5"/>
  <c r="AE473" i="5"/>
  <c r="AE474" i="5"/>
  <c r="AE475" i="5"/>
  <c r="AE476" i="5"/>
  <c r="AE477" i="5"/>
  <c r="AE478" i="5"/>
  <c r="AE479" i="5"/>
  <c r="AE480" i="5"/>
  <c r="AE481" i="5"/>
  <c r="AE482" i="5"/>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Y2" i="3"/>
  <c r="Z2" i="3" s="1"/>
  <c r="Y3" i="3"/>
  <c r="Z3" i="3" s="1"/>
  <c r="Y4" i="3"/>
  <c r="Z4" i="3" s="1"/>
  <c r="Y5" i="3"/>
  <c r="Z5" i="3" s="1"/>
  <c r="Y6" i="3"/>
  <c r="Z6" i="3" s="1"/>
  <c r="Y7" i="3"/>
  <c r="Z7" i="3" s="1"/>
  <c r="Y8" i="3"/>
  <c r="Z8" i="3" s="1"/>
  <c r="Y9" i="3"/>
  <c r="Z9" i="3" s="1"/>
  <c r="Y10" i="3"/>
  <c r="Z10" i="3" s="1"/>
  <c r="Y11" i="3"/>
  <c r="Z11" i="3" s="1"/>
  <c r="Y12" i="3"/>
  <c r="Z12" i="3" s="1"/>
  <c r="Y13" i="3"/>
  <c r="Z13" i="3" s="1"/>
  <c r="Y14" i="3"/>
  <c r="Z14" i="3" s="1"/>
  <c r="Y15" i="3"/>
  <c r="Z15" i="3" s="1"/>
  <c r="Y16" i="3"/>
  <c r="Z16" i="3" s="1"/>
  <c r="Y17" i="3"/>
  <c r="Z17" i="3" s="1"/>
  <c r="Y18" i="3"/>
  <c r="Z18" i="3" s="1"/>
  <c r="Y19" i="3"/>
  <c r="Z19" i="3" s="1"/>
  <c r="Y20" i="3"/>
  <c r="Z20" i="3" s="1"/>
  <c r="Y21" i="3"/>
  <c r="Z21" i="3" s="1"/>
  <c r="Y22" i="3"/>
  <c r="Z22" i="3" s="1"/>
  <c r="Y23" i="3"/>
  <c r="Z23" i="3" s="1"/>
  <c r="Y24" i="3"/>
  <c r="Z24" i="3" s="1"/>
  <c r="Y25" i="3"/>
  <c r="Z25" i="3" s="1"/>
  <c r="Y26" i="3"/>
  <c r="Z26" i="3" s="1"/>
  <c r="Y27" i="3"/>
  <c r="Z27" i="3" s="1"/>
  <c r="Y28" i="3"/>
  <c r="Z28" i="3" s="1"/>
  <c r="Y29" i="3"/>
  <c r="Z29" i="3" s="1"/>
  <c r="Y30" i="3"/>
  <c r="Z30" i="3" s="1"/>
  <c r="Y31" i="3"/>
  <c r="Z31" i="3" s="1"/>
  <c r="Y32" i="3"/>
  <c r="Z32" i="3" s="1"/>
  <c r="Y33" i="3"/>
  <c r="Z33" i="3" s="1"/>
  <c r="Y34" i="3"/>
  <c r="Z34" i="3" s="1"/>
  <c r="Y35" i="3"/>
  <c r="Z35" i="3" s="1"/>
  <c r="Y36" i="3"/>
  <c r="Z36" i="3" s="1"/>
  <c r="Y37" i="3"/>
  <c r="Z37" i="3" s="1"/>
  <c r="Y38" i="3"/>
  <c r="Z38" i="3" s="1"/>
  <c r="Y39" i="3"/>
  <c r="Z39" i="3" s="1"/>
  <c r="Y40" i="3"/>
  <c r="Z40" i="3" s="1"/>
  <c r="Y41" i="3"/>
  <c r="Z41" i="3" s="1"/>
  <c r="Y42" i="3"/>
  <c r="Z42" i="3" s="1"/>
  <c r="Y43" i="3"/>
  <c r="Z43" i="3" s="1"/>
  <c r="Y44" i="3"/>
  <c r="Z44" i="3" s="1"/>
  <c r="Y45" i="3"/>
  <c r="Z45" i="3" s="1"/>
  <c r="Y46" i="3"/>
  <c r="Z46" i="3" s="1"/>
  <c r="Y47" i="3"/>
  <c r="Z47" i="3" s="1"/>
  <c r="Y48" i="3"/>
  <c r="Z48" i="3" s="1"/>
  <c r="Y49" i="3"/>
  <c r="Z49" i="3" s="1"/>
  <c r="Y50" i="3"/>
  <c r="Z50" i="3" s="1"/>
  <c r="Y51" i="3"/>
  <c r="Z51" i="3" s="1"/>
  <c r="Y52" i="3"/>
  <c r="Z52" i="3" s="1"/>
  <c r="Y53" i="3"/>
  <c r="Z53" i="3" s="1"/>
  <c r="Y54" i="3"/>
  <c r="Z54" i="3" s="1"/>
  <c r="Y55" i="3"/>
  <c r="Z55" i="3" s="1"/>
  <c r="Y56" i="3"/>
  <c r="Z56" i="3" s="1"/>
  <c r="Y57" i="3"/>
  <c r="Z57" i="3" s="1"/>
  <c r="Y58" i="3"/>
  <c r="Z58" i="3" s="1"/>
  <c r="Y59" i="3"/>
  <c r="Z59" i="3" s="1"/>
  <c r="Y60" i="3"/>
  <c r="Z60" i="3" s="1"/>
  <c r="Y61" i="3"/>
  <c r="Z61" i="3" s="1"/>
  <c r="Y62" i="3"/>
  <c r="Z62" i="3" s="1"/>
  <c r="Y63" i="3"/>
  <c r="Z63" i="3" s="1"/>
  <c r="Y64" i="3"/>
  <c r="Z64" i="3" s="1"/>
  <c r="Y65" i="3"/>
  <c r="Z65" i="3" s="1"/>
  <c r="Y66" i="3"/>
  <c r="Z66" i="3" s="1"/>
  <c r="Y67" i="3"/>
  <c r="Z67" i="3" s="1"/>
  <c r="Y68" i="3"/>
  <c r="Z68" i="3" s="1"/>
  <c r="Y69" i="3"/>
  <c r="Z69" i="3" s="1"/>
  <c r="Y70" i="3"/>
  <c r="Z70" i="3" s="1"/>
  <c r="Y71" i="3"/>
  <c r="Z71" i="3" s="1"/>
  <c r="Y72" i="3"/>
  <c r="Z72" i="3" s="1"/>
  <c r="Y73" i="3"/>
  <c r="Z73" i="3" s="1"/>
  <c r="Y74" i="3"/>
  <c r="Z74" i="3" s="1"/>
  <c r="Y75" i="3"/>
  <c r="Z75" i="3" s="1"/>
  <c r="Y76" i="3"/>
  <c r="Z76" i="3" s="1"/>
  <c r="Y77" i="3"/>
  <c r="Z77" i="3" s="1"/>
  <c r="Y78" i="3"/>
  <c r="Z78" i="3" s="1"/>
  <c r="Y79" i="3"/>
  <c r="Z79" i="3" s="1"/>
  <c r="Y80" i="3"/>
  <c r="Z80" i="3" s="1"/>
  <c r="Y81" i="3"/>
  <c r="Z81" i="3" s="1"/>
  <c r="Y82" i="3"/>
  <c r="Z82" i="3" s="1"/>
  <c r="Y83" i="3"/>
  <c r="Z83" i="3" s="1"/>
  <c r="Y84" i="3"/>
  <c r="Z84" i="3" s="1"/>
  <c r="Y85" i="3"/>
  <c r="Z85" i="3" s="1"/>
  <c r="Y86" i="3"/>
  <c r="Z86" i="3" s="1"/>
  <c r="Y87" i="3"/>
  <c r="Z87" i="3" s="1"/>
  <c r="Y88" i="3"/>
  <c r="Z88" i="3" s="1"/>
  <c r="Y89" i="3"/>
  <c r="Z89" i="3" s="1"/>
  <c r="Y90" i="3"/>
  <c r="Z90" i="3" s="1"/>
  <c r="Y91" i="3"/>
  <c r="Z91" i="3" s="1"/>
  <c r="Y92" i="3"/>
  <c r="Z92" i="3" s="1"/>
  <c r="Y93" i="3"/>
  <c r="Z93" i="3" s="1"/>
  <c r="Y94" i="3"/>
  <c r="Z94" i="3" s="1"/>
  <c r="Y95" i="3"/>
  <c r="Z95" i="3" s="1"/>
  <c r="Y96" i="3"/>
  <c r="Z96" i="3" s="1"/>
  <c r="Y97" i="3"/>
  <c r="Z97" i="3" s="1"/>
  <c r="Y98" i="3"/>
  <c r="Z98" i="3" s="1"/>
  <c r="Y99" i="3"/>
  <c r="Z99" i="3" s="1"/>
  <c r="Y100" i="3"/>
  <c r="Z100" i="3" s="1"/>
  <c r="Y101" i="3"/>
  <c r="Z101" i="3" s="1"/>
  <c r="Y102" i="3"/>
  <c r="Z102" i="3" s="1"/>
  <c r="Y103" i="3"/>
  <c r="Z103" i="3" s="1"/>
  <c r="Y104" i="3"/>
  <c r="Z104" i="3" s="1"/>
  <c r="Y105" i="3"/>
  <c r="Z105" i="3" s="1"/>
  <c r="Y106" i="3"/>
  <c r="Z106" i="3" s="1"/>
  <c r="Y107" i="3"/>
  <c r="Z107" i="3" s="1"/>
  <c r="Y108" i="3"/>
  <c r="Z108" i="3" s="1"/>
  <c r="Y109" i="3"/>
  <c r="Z109" i="3" s="1"/>
  <c r="Y110" i="3"/>
  <c r="Z110" i="3" s="1"/>
  <c r="Y111" i="3"/>
  <c r="Z111" i="3" s="1"/>
  <c r="Y112" i="3"/>
  <c r="Z112" i="3" s="1"/>
  <c r="Y113" i="3"/>
  <c r="Z113" i="3" s="1"/>
  <c r="Y114" i="3"/>
  <c r="Z114" i="3" s="1"/>
  <c r="Y115" i="3"/>
  <c r="Z115" i="3" s="1"/>
  <c r="Y116" i="3"/>
  <c r="Z116" i="3" s="1"/>
  <c r="Y117" i="3"/>
  <c r="Z117" i="3" s="1"/>
  <c r="Y118" i="3"/>
  <c r="Z118" i="3" s="1"/>
  <c r="Y119" i="3"/>
  <c r="Z119" i="3" s="1"/>
  <c r="Y120" i="3"/>
  <c r="Z120" i="3" s="1"/>
  <c r="Y121" i="3"/>
  <c r="Z121" i="3" s="1"/>
  <c r="Y122" i="3"/>
  <c r="Z122" i="3" s="1"/>
  <c r="Y123" i="3"/>
  <c r="Z123" i="3" s="1"/>
  <c r="Y124" i="3"/>
  <c r="Z124" i="3" s="1"/>
  <c r="Y125" i="3"/>
  <c r="Z125" i="3" s="1"/>
  <c r="Y126" i="3"/>
  <c r="Z126" i="3" s="1"/>
  <c r="Y127" i="3"/>
  <c r="Z127" i="3" s="1"/>
  <c r="Y128" i="3"/>
  <c r="Z128" i="3" s="1"/>
  <c r="Y129" i="3"/>
  <c r="Z129" i="3" s="1"/>
  <c r="Y130" i="3"/>
  <c r="Z130" i="3" s="1"/>
  <c r="Y131" i="3"/>
  <c r="Z131" i="3" s="1"/>
  <c r="Y132" i="3"/>
  <c r="Z132" i="3" s="1"/>
  <c r="Y133" i="3"/>
  <c r="Z133" i="3" s="1"/>
  <c r="Y134" i="3"/>
  <c r="Z134" i="3" s="1"/>
  <c r="Y135" i="3"/>
  <c r="Z135" i="3" s="1"/>
  <c r="Y136" i="3"/>
  <c r="Z136" i="3" s="1"/>
  <c r="Y137" i="3"/>
  <c r="Z137" i="3" s="1"/>
  <c r="Y138" i="3"/>
  <c r="Z138" i="3" s="1"/>
  <c r="Y139" i="3"/>
  <c r="Z139" i="3" s="1"/>
  <c r="Y140" i="3"/>
  <c r="Z140" i="3" s="1"/>
  <c r="Y141" i="3"/>
  <c r="Z141" i="3" s="1"/>
  <c r="Y142" i="3"/>
  <c r="Z142" i="3" s="1"/>
  <c r="Y143" i="3"/>
  <c r="Z143" i="3" s="1"/>
  <c r="Y144" i="3"/>
  <c r="Z144" i="3" s="1"/>
  <c r="Y145" i="3"/>
  <c r="Z145" i="3" s="1"/>
  <c r="Y146" i="3"/>
  <c r="Z146" i="3" s="1"/>
  <c r="Y147" i="3"/>
  <c r="Z147" i="3" s="1"/>
  <c r="Y148" i="3"/>
  <c r="Z148" i="3" s="1"/>
  <c r="Y149" i="3"/>
  <c r="Z149" i="3" s="1"/>
  <c r="Y150" i="3"/>
  <c r="Z150" i="3" s="1"/>
  <c r="Y151" i="3"/>
  <c r="Z151" i="3" s="1"/>
  <c r="Y152" i="3"/>
  <c r="Z152" i="3" s="1"/>
  <c r="Y153" i="3"/>
  <c r="Z153" i="3" s="1"/>
  <c r="Y154" i="3"/>
  <c r="Z154" i="3" s="1"/>
  <c r="Y155" i="3"/>
  <c r="Z155" i="3" s="1"/>
  <c r="Y156" i="3"/>
  <c r="Z156" i="3" s="1"/>
  <c r="Y157" i="3"/>
  <c r="Z157" i="3" s="1"/>
  <c r="Y158" i="3"/>
  <c r="Z158" i="3" s="1"/>
  <c r="Y159" i="3"/>
  <c r="Z159" i="3" s="1"/>
  <c r="Y160" i="3"/>
  <c r="Z160" i="3" s="1"/>
  <c r="Y161" i="3"/>
  <c r="Z161" i="3" s="1"/>
  <c r="Y162" i="3"/>
  <c r="Z162" i="3" s="1"/>
  <c r="Y163" i="3"/>
  <c r="Z163" i="3" s="1"/>
  <c r="Y164" i="3"/>
  <c r="Z164" i="3" s="1"/>
  <c r="Y165" i="3"/>
  <c r="Z165" i="3" s="1"/>
  <c r="Y166" i="3"/>
  <c r="Z166" i="3" s="1"/>
  <c r="Y167" i="3"/>
  <c r="Z167" i="3" s="1"/>
  <c r="Y168" i="3"/>
  <c r="Z168" i="3" s="1"/>
  <c r="Y169" i="3"/>
  <c r="Z169" i="3" s="1"/>
  <c r="Y170" i="3"/>
  <c r="Z170" i="3" s="1"/>
  <c r="Y171" i="3"/>
  <c r="Z171" i="3" s="1"/>
  <c r="Y172" i="3"/>
  <c r="Z172" i="3" s="1"/>
  <c r="Y173" i="3"/>
  <c r="Z173" i="3" s="1"/>
  <c r="Y174" i="3"/>
  <c r="Z174" i="3" s="1"/>
  <c r="Y175" i="3"/>
  <c r="Z175" i="3" s="1"/>
  <c r="Y176" i="3"/>
  <c r="Z176" i="3" s="1"/>
  <c r="Y177" i="3"/>
  <c r="Z177" i="3" s="1"/>
  <c r="Y178" i="3"/>
  <c r="Z178" i="3" s="1"/>
  <c r="Y179" i="3"/>
  <c r="Z179" i="3" s="1"/>
  <c r="Y180" i="3"/>
  <c r="Z180" i="3" s="1"/>
  <c r="Y181" i="3"/>
  <c r="Z181" i="3" s="1"/>
  <c r="Y182" i="3"/>
  <c r="Z182" i="3" s="1"/>
  <c r="Y183" i="3"/>
  <c r="Z183" i="3" s="1"/>
  <c r="Y184" i="3"/>
  <c r="Z184" i="3" s="1"/>
  <c r="Y185" i="3"/>
  <c r="Z185" i="3" s="1"/>
  <c r="Y186" i="3"/>
  <c r="Z186" i="3" s="1"/>
  <c r="Y187" i="3"/>
  <c r="Z187" i="3" s="1"/>
  <c r="Y188" i="3"/>
  <c r="Z188" i="3" s="1"/>
  <c r="Y189" i="3"/>
  <c r="Z189" i="3" s="1"/>
  <c r="Y190" i="3"/>
  <c r="Z190" i="3" s="1"/>
  <c r="Y191" i="3"/>
  <c r="Z191" i="3" s="1"/>
  <c r="Y192" i="3"/>
  <c r="Z192" i="3" s="1"/>
  <c r="Y193" i="3"/>
  <c r="Z193" i="3" s="1"/>
  <c r="Y194" i="3"/>
  <c r="Z194" i="3" s="1"/>
  <c r="Y195" i="3"/>
  <c r="Z195" i="3" s="1"/>
  <c r="Y196" i="3"/>
  <c r="Z196" i="3" s="1"/>
  <c r="Y197" i="3"/>
  <c r="Z197" i="3" s="1"/>
  <c r="Y198" i="3"/>
  <c r="Z198" i="3" s="1"/>
  <c r="Y199" i="3"/>
  <c r="Z199" i="3" s="1"/>
  <c r="Y200" i="3"/>
  <c r="Z200" i="3" s="1"/>
  <c r="Y201" i="3"/>
  <c r="Z201" i="3" s="1"/>
  <c r="Y202" i="3"/>
  <c r="Z202" i="3" s="1"/>
  <c r="Y203" i="3"/>
  <c r="Z203" i="3" s="1"/>
  <c r="Y204" i="3"/>
  <c r="Z204" i="3" s="1"/>
  <c r="Y205" i="3"/>
  <c r="Z205" i="3" s="1"/>
  <c r="Y206" i="3"/>
  <c r="Z206" i="3" s="1"/>
  <c r="Y207" i="3"/>
  <c r="Z207" i="3" s="1"/>
  <c r="Y208" i="3"/>
  <c r="Z208" i="3" s="1"/>
  <c r="Y209" i="3"/>
  <c r="Z209" i="3" s="1"/>
  <c r="Y210" i="3"/>
  <c r="Z210" i="3" s="1"/>
  <c r="Y211" i="3"/>
  <c r="Z211" i="3" s="1"/>
  <c r="Y212" i="3"/>
  <c r="Z212" i="3" s="1"/>
  <c r="Y213" i="3"/>
  <c r="Z213" i="3" s="1"/>
  <c r="Y214" i="3"/>
  <c r="Z214" i="3" s="1"/>
  <c r="Y215" i="3"/>
  <c r="Z215" i="3" s="1"/>
  <c r="Y216" i="3"/>
  <c r="Z216" i="3" s="1"/>
  <c r="Y217" i="3"/>
  <c r="Z217" i="3" s="1"/>
  <c r="Y218" i="3"/>
  <c r="Z218" i="3" s="1"/>
  <c r="Y219" i="3"/>
  <c r="Z219" i="3" s="1"/>
  <c r="Y220" i="3"/>
  <c r="Z220" i="3" s="1"/>
  <c r="Y221" i="3"/>
  <c r="Z221" i="3" s="1"/>
  <c r="Y222" i="3"/>
  <c r="Z222" i="3" s="1"/>
  <c r="Y223" i="3"/>
  <c r="Z223" i="3" s="1"/>
  <c r="Y224" i="3"/>
  <c r="Z224" i="3" s="1"/>
  <c r="Y225" i="3"/>
  <c r="Z225" i="3" s="1"/>
  <c r="Y226" i="3"/>
  <c r="Z226" i="3" s="1"/>
  <c r="Y227" i="3"/>
  <c r="Z227" i="3" s="1"/>
  <c r="Y228" i="3"/>
  <c r="Z228" i="3" s="1"/>
  <c r="Y229" i="3"/>
  <c r="Z229" i="3" s="1"/>
  <c r="Y230" i="3"/>
  <c r="Z230" i="3" s="1"/>
  <c r="Y231" i="3"/>
  <c r="Z231" i="3" s="1"/>
  <c r="Y232" i="3"/>
  <c r="Z232" i="3" s="1"/>
  <c r="Y233" i="3"/>
  <c r="Z233" i="3" s="1"/>
  <c r="Y234" i="3"/>
  <c r="Z234" i="3" s="1"/>
  <c r="Y235" i="3"/>
  <c r="Z235" i="3" s="1"/>
  <c r="Y236" i="3"/>
  <c r="Z236" i="3" s="1"/>
  <c r="Y237" i="3"/>
  <c r="Z237" i="3" s="1"/>
  <c r="Y238" i="3"/>
  <c r="Z238" i="3" s="1"/>
  <c r="Y239" i="3"/>
  <c r="Z239" i="3" s="1"/>
  <c r="Y240" i="3"/>
  <c r="Z240" i="3" s="1"/>
  <c r="Y241" i="3"/>
  <c r="Z241" i="3" s="1"/>
  <c r="Y242" i="3"/>
  <c r="Z242" i="3" s="1"/>
  <c r="Y243" i="3"/>
  <c r="Z243" i="3" s="1"/>
  <c r="Y244" i="3"/>
  <c r="Z244" i="3" s="1"/>
  <c r="Y245" i="3"/>
  <c r="Z245" i="3" s="1"/>
  <c r="Y246" i="3"/>
  <c r="Z246" i="3" s="1"/>
  <c r="Y247" i="3"/>
  <c r="Z247" i="3" s="1"/>
  <c r="Y248" i="3"/>
  <c r="Z248" i="3" s="1"/>
  <c r="Y249" i="3"/>
  <c r="Z249" i="3" s="1"/>
  <c r="Y250" i="3"/>
  <c r="Z250" i="3" s="1"/>
  <c r="Y251" i="3"/>
  <c r="Z251" i="3" s="1"/>
  <c r="Y252" i="3"/>
  <c r="Z252" i="3" s="1"/>
  <c r="Y253" i="3"/>
  <c r="Z253" i="3" s="1"/>
  <c r="Y254" i="3"/>
  <c r="Z254" i="3" s="1"/>
  <c r="Y255" i="3"/>
  <c r="Z255" i="3" s="1"/>
  <c r="Y256" i="3"/>
  <c r="Z256" i="3" s="1"/>
  <c r="Y257" i="3"/>
  <c r="Z257" i="3" s="1"/>
  <c r="Y258" i="3"/>
  <c r="Z258" i="3" s="1"/>
  <c r="Y259" i="3"/>
  <c r="Z259" i="3" s="1"/>
  <c r="Y260" i="3"/>
  <c r="Z260" i="3" s="1"/>
  <c r="Y261" i="3"/>
  <c r="Z261" i="3" s="1"/>
  <c r="Y262" i="3"/>
  <c r="Z262" i="3" s="1"/>
  <c r="Y263" i="3"/>
  <c r="Z263" i="3" s="1"/>
  <c r="Y264" i="3"/>
  <c r="Z264" i="3" s="1"/>
  <c r="Y265" i="3"/>
  <c r="Z265" i="3" s="1"/>
  <c r="Y266" i="3"/>
  <c r="Z266" i="3" s="1"/>
  <c r="Y267" i="3"/>
  <c r="Z267" i="3" s="1"/>
  <c r="Y268" i="3"/>
  <c r="Z268" i="3" s="1"/>
  <c r="Y269" i="3"/>
  <c r="Z269" i="3" s="1"/>
  <c r="Y270" i="3"/>
  <c r="Z270" i="3" s="1"/>
  <c r="Y271" i="3"/>
  <c r="Z271" i="3" s="1"/>
  <c r="Y272" i="3"/>
  <c r="Z272" i="3" s="1"/>
  <c r="Y273" i="3"/>
  <c r="Z273" i="3" s="1"/>
  <c r="Y274" i="3"/>
  <c r="Z274" i="3" s="1"/>
  <c r="Y275" i="3"/>
  <c r="Z275" i="3" s="1"/>
  <c r="Y276" i="3"/>
  <c r="Z276" i="3" s="1"/>
  <c r="Y277" i="3"/>
  <c r="Z277" i="3" s="1"/>
  <c r="Y278" i="3"/>
  <c r="Z278" i="3" s="1"/>
  <c r="Y279" i="3"/>
  <c r="Z279" i="3" s="1"/>
  <c r="Y280" i="3"/>
  <c r="Z280" i="3" s="1"/>
  <c r="Y281" i="3"/>
  <c r="Z281" i="3" s="1"/>
  <c r="Y282" i="3"/>
  <c r="Z282" i="3" s="1"/>
  <c r="Y283" i="3"/>
  <c r="Z283" i="3" s="1"/>
  <c r="Y284" i="3"/>
  <c r="Z284" i="3" s="1"/>
  <c r="Y285" i="3"/>
  <c r="Z285" i="3" s="1"/>
  <c r="Y286" i="3"/>
  <c r="Z286" i="3" s="1"/>
  <c r="Y287" i="3"/>
  <c r="Z287" i="3" s="1"/>
  <c r="Y288" i="3"/>
  <c r="Z288" i="3" s="1"/>
  <c r="Y289" i="3"/>
  <c r="Z289" i="3" s="1"/>
  <c r="Y290" i="3"/>
  <c r="Z290" i="3" s="1"/>
  <c r="Y291" i="3"/>
  <c r="Z291" i="3" s="1"/>
  <c r="Y292" i="3"/>
  <c r="Z292" i="3" s="1"/>
  <c r="Y293" i="3"/>
  <c r="Z293" i="3" s="1"/>
  <c r="Y294" i="3"/>
  <c r="Z294" i="3" s="1"/>
  <c r="Y295" i="3"/>
  <c r="Z295" i="3" s="1"/>
  <c r="Y296" i="3"/>
  <c r="Z296" i="3" s="1"/>
  <c r="Y297" i="3"/>
  <c r="Z297" i="3" s="1"/>
  <c r="Y298" i="3"/>
  <c r="Z298" i="3" s="1"/>
  <c r="Y299" i="3"/>
  <c r="Z299" i="3" s="1"/>
  <c r="Y300" i="3"/>
  <c r="Z300" i="3" s="1"/>
  <c r="Y301" i="3"/>
  <c r="Z301" i="3" s="1"/>
  <c r="Y302" i="3"/>
  <c r="Z302" i="3" s="1"/>
  <c r="Y303" i="3"/>
  <c r="Z303" i="3" s="1"/>
  <c r="Y304" i="3"/>
  <c r="Z304" i="3" s="1"/>
  <c r="Y305" i="3"/>
  <c r="Z305" i="3" s="1"/>
  <c r="Y306" i="3"/>
  <c r="Z306" i="3" s="1"/>
  <c r="Y307" i="3"/>
  <c r="Z307" i="3" s="1"/>
  <c r="Y308" i="3"/>
  <c r="Z308" i="3" s="1"/>
  <c r="Y309" i="3"/>
  <c r="Z309" i="3" s="1"/>
  <c r="Y310" i="3"/>
  <c r="Z310" i="3" s="1"/>
  <c r="Y311" i="3"/>
  <c r="Z311" i="3" s="1"/>
  <c r="Y312" i="3"/>
  <c r="Z312" i="3" s="1"/>
  <c r="Y313" i="3"/>
  <c r="Z313" i="3" s="1"/>
  <c r="Y314" i="3"/>
  <c r="Z314" i="3" s="1"/>
  <c r="Y315" i="3"/>
  <c r="Z315" i="3" s="1"/>
  <c r="Y316" i="3"/>
  <c r="Z316" i="3" s="1"/>
  <c r="Y317" i="3"/>
  <c r="Z317" i="3" s="1"/>
  <c r="Y318" i="3"/>
  <c r="Z318" i="3" s="1"/>
  <c r="Y319" i="3"/>
  <c r="Z319" i="3" s="1"/>
  <c r="Y320" i="3"/>
  <c r="Z320" i="3" s="1"/>
  <c r="Y321" i="3"/>
  <c r="Z321" i="3" s="1"/>
  <c r="Y322" i="3"/>
  <c r="Z322" i="3" s="1"/>
  <c r="Y323" i="3"/>
  <c r="Z323" i="3" s="1"/>
  <c r="Y324" i="3"/>
  <c r="Z324" i="3" s="1"/>
  <c r="Y325" i="3"/>
  <c r="Z325" i="3" s="1"/>
  <c r="Y326" i="3"/>
  <c r="Z326" i="3" s="1"/>
  <c r="Y327" i="3"/>
  <c r="Z327" i="3" s="1"/>
  <c r="Y328" i="3"/>
  <c r="Z328" i="3" s="1"/>
  <c r="Y329" i="3"/>
  <c r="Z329" i="3" s="1"/>
  <c r="Y330" i="3"/>
  <c r="Z330" i="3" s="1"/>
  <c r="Y331" i="3"/>
  <c r="Z331" i="3" s="1"/>
  <c r="Y332" i="3"/>
  <c r="Z332" i="3" s="1"/>
  <c r="Y333" i="3"/>
  <c r="Z333" i="3" s="1"/>
  <c r="Y334" i="3"/>
  <c r="Z334" i="3" s="1"/>
  <c r="Y335" i="3"/>
  <c r="Z335" i="3" s="1"/>
  <c r="Y336" i="3"/>
  <c r="Z336" i="3" s="1"/>
  <c r="Y337" i="3"/>
  <c r="Z337" i="3" s="1"/>
  <c r="Y338" i="3"/>
  <c r="Z338" i="3" s="1"/>
  <c r="Y339" i="3"/>
  <c r="Z339" i="3" s="1"/>
  <c r="Y340" i="3"/>
  <c r="Z340" i="3" s="1"/>
  <c r="Y341" i="3"/>
  <c r="Z341" i="3" s="1"/>
  <c r="Y342" i="3"/>
  <c r="Z342" i="3" s="1"/>
  <c r="Y343" i="3"/>
  <c r="Z343" i="3" s="1"/>
  <c r="Y344" i="3"/>
  <c r="Z344" i="3" s="1"/>
  <c r="Y345" i="3"/>
  <c r="Z345" i="3" s="1"/>
  <c r="Y346" i="3"/>
  <c r="Z346" i="3" s="1"/>
  <c r="Y347" i="3"/>
  <c r="Z347" i="3" s="1"/>
  <c r="Y348" i="3"/>
  <c r="Z348" i="3" s="1"/>
  <c r="Y349" i="3"/>
  <c r="Z349" i="3" s="1"/>
  <c r="Y350" i="3"/>
  <c r="Z350" i="3" s="1"/>
  <c r="Y351" i="3"/>
  <c r="Z351" i="3" s="1"/>
  <c r="Y352" i="3"/>
  <c r="Z352" i="3" s="1"/>
  <c r="Y353" i="3"/>
  <c r="Z353" i="3" s="1"/>
  <c r="Y354" i="3"/>
  <c r="Z354" i="3" s="1"/>
  <c r="Y355" i="3"/>
  <c r="Z355" i="3" s="1"/>
  <c r="Y356" i="3"/>
  <c r="Z356" i="3" s="1"/>
  <c r="Y357" i="3"/>
  <c r="Z357" i="3" s="1"/>
  <c r="Y358" i="3"/>
  <c r="Z358" i="3" s="1"/>
  <c r="Y359" i="3"/>
  <c r="Z359" i="3" s="1"/>
  <c r="Y360" i="3"/>
  <c r="Z360" i="3" s="1"/>
  <c r="Y361" i="3"/>
  <c r="Z361" i="3" s="1"/>
  <c r="Y362" i="3"/>
  <c r="Z362" i="3" s="1"/>
  <c r="Y363" i="3"/>
  <c r="Z363" i="3" s="1"/>
  <c r="Y364" i="3"/>
  <c r="Z364" i="3" s="1"/>
  <c r="Y365" i="3"/>
  <c r="Z365" i="3" s="1"/>
  <c r="Y366" i="3"/>
  <c r="Z366" i="3" s="1"/>
  <c r="Y367" i="3"/>
  <c r="Z367" i="3" s="1"/>
  <c r="Y368" i="3"/>
  <c r="Z368" i="3" s="1"/>
  <c r="Y369" i="3"/>
  <c r="Z369" i="3" s="1"/>
  <c r="Y370" i="3"/>
  <c r="Z370" i="3" s="1"/>
  <c r="Y371" i="3"/>
  <c r="Z371" i="3" s="1"/>
  <c r="Y372" i="3"/>
  <c r="Z372" i="3" s="1"/>
  <c r="Y373" i="3"/>
  <c r="Z373" i="3" s="1"/>
  <c r="Y374" i="3"/>
  <c r="Z374" i="3" s="1"/>
  <c r="Y375" i="3"/>
  <c r="Z375" i="3" s="1"/>
  <c r="Y376" i="3"/>
  <c r="Z376" i="3" s="1"/>
  <c r="Y377" i="3"/>
  <c r="Z377" i="3" s="1"/>
  <c r="Y378" i="3"/>
  <c r="Z378" i="3" s="1"/>
  <c r="Y379" i="3"/>
  <c r="Z379" i="3" s="1"/>
  <c r="Y380" i="3"/>
  <c r="Z380" i="3" s="1"/>
  <c r="Y381" i="3"/>
  <c r="Z381" i="3" s="1"/>
  <c r="Y382" i="3"/>
  <c r="Z382" i="3" s="1"/>
  <c r="Y383" i="3"/>
  <c r="Z383" i="3" s="1"/>
  <c r="Y384" i="3"/>
  <c r="Z384" i="3" s="1"/>
  <c r="Y385" i="3"/>
  <c r="Z385" i="3" s="1"/>
  <c r="Y386" i="3"/>
  <c r="Z386" i="3" s="1"/>
  <c r="Y387" i="3"/>
  <c r="Z387" i="3" s="1"/>
  <c r="Y388" i="3"/>
  <c r="Z388" i="3" s="1"/>
  <c r="Y389" i="3"/>
  <c r="Z389" i="3" s="1"/>
  <c r="Y390" i="3"/>
  <c r="Z390" i="3" s="1"/>
  <c r="Y391" i="3"/>
  <c r="Z391" i="3" s="1"/>
  <c r="Y392" i="3"/>
  <c r="Z392" i="3" s="1"/>
  <c r="Y393" i="3"/>
  <c r="Z393" i="3" s="1"/>
  <c r="Y394" i="3"/>
  <c r="Z394" i="3" s="1"/>
  <c r="Y395" i="3"/>
  <c r="Z395" i="3" s="1"/>
  <c r="Y396" i="3"/>
  <c r="Z396" i="3" s="1"/>
  <c r="Y397" i="3"/>
  <c r="Z397" i="3" s="1"/>
  <c r="Y398" i="3"/>
  <c r="Z398" i="3" s="1"/>
  <c r="Y399" i="3"/>
  <c r="Z399" i="3" s="1"/>
  <c r="Y400" i="3"/>
  <c r="Z400" i="3" s="1"/>
  <c r="Y401" i="3"/>
  <c r="Z401" i="3" s="1"/>
  <c r="Y402" i="3"/>
  <c r="Z402" i="3" s="1"/>
  <c r="Y403" i="3"/>
  <c r="Z403" i="3" s="1"/>
  <c r="Y404" i="3"/>
  <c r="Z404" i="3" s="1"/>
  <c r="Y405" i="3"/>
  <c r="Z405" i="3" s="1"/>
  <c r="Y406" i="3"/>
  <c r="Z406" i="3" s="1"/>
  <c r="Y407" i="3"/>
  <c r="Z407" i="3" s="1"/>
  <c r="Y408" i="3"/>
  <c r="Z408" i="3" s="1"/>
  <c r="Y409" i="3"/>
  <c r="Z409" i="3" s="1"/>
  <c r="Y410" i="3"/>
  <c r="Z410" i="3" s="1"/>
  <c r="Y411" i="3"/>
  <c r="Z411" i="3" s="1"/>
  <c r="Y412" i="3"/>
  <c r="Z412" i="3" s="1"/>
  <c r="Y413" i="3"/>
  <c r="Z413" i="3" s="1"/>
  <c r="Y414" i="3"/>
  <c r="Z414" i="3" s="1"/>
  <c r="Y415" i="3"/>
  <c r="Z415" i="3" s="1"/>
  <c r="Y416" i="3"/>
  <c r="Z416" i="3" s="1"/>
  <c r="Y417" i="3"/>
  <c r="Z417" i="3" s="1"/>
  <c r="Y418" i="3"/>
  <c r="Z418" i="3" s="1"/>
  <c r="Y419" i="3"/>
  <c r="Z419" i="3" s="1"/>
  <c r="Y420" i="3"/>
  <c r="Z420" i="3" s="1"/>
  <c r="Y421" i="3"/>
  <c r="Z421" i="3" s="1"/>
  <c r="Y422" i="3"/>
  <c r="Z422" i="3" s="1"/>
  <c r="Y423" i="3"/>
  <c r="Z423" i="3" s="1"/>
  <c r="Y424" i="3"/>
  <c r="Z424" i="3" s="1"/>
  <c r="Y425" i="3"/>
  <c r="Z425" i="3" s="1"/>
  <c r="Y426" i="3"/>
  <c r="Z426" i="3" s="1"/>
  <c r="Y427" i="3"/>
  <c r="Z427" i="3" s="1"/>
  <c r="Y428" i="3"/>
  <c r="Z428" i="3" s="1"/>
  <c r="Y429" i="3"/>
  <c r="Z429" i="3" s="1"/>
  <c r="Y430" i="3"/>
  <c r="Z430" i="3" s="1"/>
  <c r="Y431" i="3"/>
  <c r="Z431" i="3" s="1"/>
  <c r="Y432" i="3"/>
  <c r="Z432" i="3" s="1"/>
  <c r="Y433" i="3"/>
  <c r="Z433" i="3" s="1"/>
  <c r="Y434" i="3"/>
  <c r="Z434" i="3" s="1"/>
  <c r="Y435" i="3"/>
  <c r="Z435" i="3" s="1"/>
  <c r="Y436" i="3"/>
  <c r="Z436" i="3" s="1"/>
  <c r="Y437" i="3"/>
  <c r="Z437" i="3" s="1"/>
  <c r="Y438" i="3"/>
  <c r="Z438" i="3" s="1"/>
  <c r="Y439" i="3"/>
  <c r="Z439" i="3" s="1"/>
  <c r="Y440" i="3"/>
  <c r="Z440" i="3" s="1"/>
  <c r="Y441" i="3"/>
  <c r="Z441" i="3" s="1"/>
  <c r="Y442" i="3"/>
  <c r="Z442" i="3" s="1"/>
  <c r="Y443" i="3"/>
  <c r="Z443" i="3" s="1"/>
  <c r="Y444" i="3"/>
  <c r="Z444" i="3" s="1"/>
  <c r="Y445" i="3"/>
  <c r="Z445" i="3" s="1"/>
  <c r="Y446" i="3"/>
  <c r="Z446" i="3" s="1"/>
  <c r="Y447" i="3"/>
  <c r="Z447" i="3" s="1"/>
  <c r="Y448" i="3"/>
  <c r="Z448" i="3" s="1"/>
  <c r="Y449" i="3"/>
  <c r="Z449" i="3" s="1"/>
  <c r="Y450" i="3"/>
  <c r="Z450" i="3" s="1"/>
  <c r="Y451" i="3"/>
  <c r="Z451" i="3" s="1"/>
  <c r="Y452" i="3"/>
  <c r="Z452" i="3" s="1"/>
  <c r="Y453" i="3"/>
  <c r="Z453" i="3" s="1"/>
  <c r="Y454" i="3"/>
  <c r="Z454" i="3" s="1"/>
  <c r="Y455" i="3"/>
  <c r="Z455" i="3" s="1"/>
  <c r="Y456" i="3"/>
  <c r="Z456" i="3" s="1"/>
  <c r="Y457" i="3"/>
  <c r="Z457" i="3" s="1"/>
  <c r="Y458" i="3"/>
  <c r="Z458" i="3" s="1"/>
  <c r="Y459" i="3"/>
  <c r="Z459" i="3" s="1"/>
  <c r="Y460" i="3"/>
  <c r="Z460" i="3" s="1"/>
  <c r="Y461" i="3"/>
  <c r="Z461" i="3" s="1"/>
  <c r="Y462" i="3"/>
  <c r="Z462" i="3" s="1"/>
  <c r="Y463" i="3"/>
  <c r="Z463" i="3" s="1"/>
  <c r="Y464" i="3"/>
  <c r="Z464" i="3" s="1"/>
  <c r="Y465" i="3"/>
  <c r="Z465" i="3" s="1"/>
  <c r="Y466" i="3"/>
  <c r="Z466" i="3" s="1"/>
  <c r="Y467" i="3"/>
  <c r="Z467" i="3" s="1"/>
  <c r="Y468" i="3"/>
  <c r="Z468" i="3" s="1"/>
  <c r="Y469" i="3"/>
  <c r="Z469" i="3" s="1"/>
  <c r="Y470" i="3"/>
  <c r="Z470" i="3" s="1"/>
  <c r="Y471" i="3"/>
  <c r="Z471" i="3" s="1"/>
  <c r="Y472" i="3"/>
  <c r="Z472" i="3" s="1"/>
  <c r="Y473" i="3"/>
  <c r="Z473" i="3" s="1"/>
  <c r="Y474" i="3"/>
  <c r="Z474" i="3" s="1"/>
  <c r="Y475" i="3"/>
  <c r="Z475" i="3" s="1"/>
  <c r="Y476" i="3"/>
  <c r="Z476" i="3" s="1"/>
  <c r="Y477" i="3"/>
  <c r="Z477" i="3" s="1"/>
  <c r="Y478" i="3"/>
  <c r="Z478" i="3" s="1"/>
  <c r="Y479" i="3"/>
  <c r="Z479" i="3" s="1"/>
  <c r="Y480" i="3"/>
  <c r="Z480" i="3" s="1"/>
  <c r="Y481" i="3"/>
  <c r="Z481" i="3" s="1"/>
  <c r="Y482" i="3"/>
  <c r="Z482" i="3" s="1"/>
  <c r="W2" i="3"/>
  <c r="X2" i="3" s="1"/>
  <c r="W3" i="3"/>
  <c r="X3" i="3" s="1"/>
  <c r="W4" i="3"/>
  <c r="X4" i="3" s="1"/>
  <c r="W5" i="3"/>
  <c r="X5" i="3" s="1"/>
  <c r="W6" i="3"/>
  <c r="X6" i="3" s="1"/>
  <c r="W7" i="3"/>
  <c r="X7" i="3" s="1"/>
  <c r="W8" i="3"/>
  <c r="X8" i="3" s="1"/>
  <c r="W9" i="3"/>
  <c r="X9" i="3" s="1"/>
  <c r="W10" i="3"/>
  <c r="X10" i="3" s="1"/>
  <c r="W11" i="3"/>
  <c r="X11" i="3" s="1"/>
  <c r="W12" i="3"/>
  <c r="X12" i="3" s="1"/>
  <c r="W13" i="3"/>
  <c r="X13" i="3" s="1"/>
  <c r="W14" i="3"/>
  <c r="X14" i="3" s="1"/>
  <c r="W15" i="3"/>
  <c r="X15" i="3" s="1"/>
  <c r="W16" i="3"/>
  <c r="X16" i="3" s="1"/>
  <c r="W17" i="3"/>
  <c r="X17" i="3" s="1"/>
  <c r="W18" i="3"/>
  <c r="X18" i="3" s="1"/>
  <c r="W19" i="3"/>
  <c r="X19" i="3" s="1"/>
  <c r="W20" i="3"/>
  <c r="X20" i="3" s="1"/>
  <c r="W21" i="3"/>
  <c r="X21" i="3" s="1"/>
  <c r="W22" i="3"/>
  <c r="X22" i="3" s="1"/>
  <c r="W23" i="3"/>
  <c r="X23" i="3" s="1"/>
  <c r="W24" i="3"/>
  <c r="X24" i="3" s="1"/>
  <c r="W25" i="3"/>
  <c r="X25" i="3" s="1"/>
  <c r="W26" i="3"/>
  <c r="X26" i="3" s="1"/>
  <c r="W27" i="3"/>
  <c r="X27" i="3" s="1"/>
  <c r="W28" i="3"/>
  <c r="X28" i="3" s="1"/>
  <c r="W29" i="3"/>
  <c r="X29" i="3" s="1"/>
  <c r="W30" i="3"/>
  <c r="X30" i="3" s="1"/>
  <c r="W31" i="3"/>
  <c r="X31" i="3" s="1"/>
  <c r="W32" i="3"/>
  <c r="X32" i="3" s="1"/>
  <c r="W33" i="3"/>
  <c r="X33" i="3" s="1"/>
  <c r="W34" i="3"/>
  <c r="X34" i="3" s="1"/>
  <c r="W35" i="3"/>
  <c r="X35" i="3" s="1"/>
  <c r="W36" i="3"/>
  <c r="X36" i="3" s="1"/>
  <c r="W37" i="3"/>
  <c r="X37" i="3" s="1"/>
  <c r="W38" i="3"/>
  <c r="X38" i="3" s="1"/>
  <c r="W39" i="3"/>
  <c r="X39" i="3" s="1"/>
  <c r="W40" i="3"/>
  <c r="X40" i="3" s="1"/>
  <c r="W41" i="3"/>
  <c r="X41" i="3" s="1"/>
  <c r="W42" i="3"/>
  <c r="X42" i="3" s="1"/>
  <c r="W43" i="3"/>
  <c r="X43" i="3" s="1"/>
  <c r="W44" i="3"/>
  <c r="X44" i="3" s="1"/>
  <c r="W45" i="3"/>
  <c r="X45" i="3" s="1"/>
  <c r="W46" i="3"/>
  <c r="X46" i="3" s="1"/>
  <c r="W47" i="3"/>
  <c r="X47" i="3" s="1"/>
  <c r="W48" i="3"/>
  <c r="X48" i="3" s="1"/>
  <c r="W49" i="3"/>
  <c r="X49" i="3" s="1"/>
  <c r="W50" i="3"/>
  <c r="X50" i="3" s="1"/>
  <c r="W51" i="3"/>
  <c r="X51" i="3" s="1"/>
  <c r="W52" i="3"/>
  <c r="X52" i="3" s="1"/>
  <c r="W53" i="3"/>
  <c r="X53" i="3" s="1"/>
  <c r="W54" i="3"/>
  <c r="X54" i="3" s="1"/>
  <c r="W55" i="3"/>
  <c r="X55" i="3" s="1"/>
  <c r="W56" i="3"/>
  <c r="X56" i="3" s="1"/>
  <c r="W57" i="3"/>
  <c r="X57" i="3" s="1"/>
  <c r="W58" i="3"/>
  <c r="X58" i="3" s="1"/>
  <c r="W59" i="3"/>
  <c r="X59" i="3" s="1"/>
  <c r="W60" i="3"/>
  <c r="X60" i="3" s="1"/>
  <c r="W61" i="3"/>
  <c r="X61" i="3" s="1"/>
  <c r="W62" i="3"/>
  <c r="X62" i="3" s="1"/>
  <c r="W63" i="3"/>
  <c r="X63" i="3" s="1"/>
  <c r="W64" i="3"/>
  <c r="X64" i="3" s="1"/>
  <c r="W65" i="3"/>
  <c r="X65" i="3" s="1"/>
  <c r="W66" i="3"/>
  <c r="X66" i="3" s="1"/>
  <c r="W67" i="3"/>
  <c r="X67" i="3" s="1"/>
  <c r="W68" i="3"/>
  <c r="X68" i="3" s="1"/>
  <c r="W69" i="3"/>
  <c r="X69" i="3" s="1"/>
  <c r="W70" i="3"/>
  <c r="X70" i="3" s="1"/>
  <c r="W71" i="3"/>
  <c r="X71" i="3" s="1"/>
  <c r="W72" i="3"/>
  <c r="X72" i="3" s="1"/>
  <c r="W73" i="3"/>
  <c r="X73" i="3" s="1"/>
  <c r="W74" i="3"/>
  <c r="X74" i="3" s="1"/>
  <c r="W75" i="3"/>
  <c r="X75" i="3" s="1"/>
  <c r="W76" i="3"/>
  <c r="X76" i="3" s="1"/>
  <c r="W77" i="3"/>
  <c r="X77" i="3" s="1"/>
  <c r="W78" i="3"/>
  <c r="X78" i="3" s="1"/>
  <c r="W79" i="3"/>
  <c r="X79" i="3" s="1"/>
  <c r="W80" i="3"/>
  <c r="X80" i="3" s="1"/>
  <c r="W81" i="3"/>
  <c r="X81" i="3" s="1"/>
  <c r="W82" i="3"/>
  <c r="X82" i="3" s="1"/>
  <c r="W83" i="3"/>
  <c r="X83" i="3" s="1"/>
  <c r="W84" i="3"/>
  <c r="X84" i="3" s="1"/>
  <c r="W85" i="3"/>
  <c r="X85" i="3" s="1"/>
  <c r="W86" i="3"/>
  <c r="X86" i="3" s="1"/>
  <c r="W87" i="3"/>
  <c r="X87" i="3" s="1"/>
  <c r="W88" i="3"/>
  <c r="X88" i="3" s="1"/>
  <c r="W89" i="3"/>
  <c r="X89" i="3" s="1"/>
  <c r="W90" i="3"/>
  <c r="X90" i="3" s="1"/>
  <c r="W91" i="3"/>
  <c r="X91" i="3" s="1"/>
  <c r="W92" i="3"/>
  <c r="X92" i="3" s="1"/>
  <c r="W93" i="3"/>
  <c r="X93" i="3" s="1"/>
  <c r="W94" i="3"/>
  <c r="X94" i="3" s="1"/>
  <c r="W95" i="3"/>
  <c r="X95" i="3" s="1"/>
  <c r="W96" i="3"/>
  <c r="X96" i="3" s="1"/>
  <c r="W97" i="3"/>
  <c r="X97" i="3" s="1"/>
  <c r="W98" i="3"/>
  <c r="X98" i="3" s="1"/>
  <c r="W99" i="3"/>
  <c r="X99" i="3" s="1"/>
  <c r="W100" i="3"/>
  <c r="X100" i="3" s="1"/>
  <c r="W101" i="3"/>
  <c r="X101" i="3" s="1"/>
  <c r="W102" i="3"/>
  <c r="X102" i="3" s="1"/>
  <c r="W103" i="3"/>
  <c r="X103" i="3" s="1"/>
  <c r="W104" i="3"/>
  <c r="X104" i="3" s="1"/>
  <c r="W105" i="3"/>
  <c r="X105" i="3" s="1"/>
  <c r="W106" i="3"/>
  <c r="X106" i="3" s="1"/>
  <c r="W107" i="3"/>
  <c r="X107" i="3" s="1"/>
  <c r="W108" i="3"/>
  <c r="X108" i="3" s="1"/>
  <c r="W109" i="3"/>
  <c r="X109" i="3" s="1"/>
  <c r="W110" i="3"/>
  <c r="X110" i="3" s="1"/>
  <c r="W111" i="3"/>
  <c r="X111" i="3" s="1"/>
  <c r="W112" i="3"/>
  <c r="X112" i="3" s="1"/>
  <c r="W113" i="3"/>
  <c r="X113" i="3" s="1"/>
  <c r="W114" i="3"/>
  <c r="X114" i="3" s="1"/>
  <c r="W115" i="3"/>
  <c r="X115" i="3" s="1"/>
  <c r="W116" i="3"/>
  <c r="X116" i="3" s="1"/>
  <c r="W117" i="3"/>
  <c r="X117" i="3" s="1"/>
  <c r="W118" i="3"/>
  <c r="X118" i="3" s="1"/>
  <c r="W119" i="3"/>
  <c r="X119" i="3" s="1"/>
  <c r="W120" i="3"/>
  <c r="X120" i="3" s="1"/>
  <c r="W121" i="3"/>
  <c r="X121" i="3" s="1"/>
  <c r="W122" i="3"/>
  <c r="X122" i="3" s="1"/>
  <c r="W123" i="3"/>
  <c r="X123" i="3" s="1"/>
  <c r="W124" i="3"/>
  <c r="X124" i="3" s="1"/>
  <c r="W125" i="3"/>
  <c r="X125" i="3" s="1"/>
  <c r="W126" i="3"/>
  <c r="X126" i="3" s="1"/>
  <c r="W127" i="3"/>
  <c r="X127" i="3" s="1"/>
  <c r="W128" i="3"/>
  <c r="X128" i="3" s="1"/>
  <c r="W129" i="3"/>
  <c r="X129" i="3" s="1"/>
  <c r="W130" i="3"/>
  <c r="X130" i="3" s="1"/>
  <c r="W131" i="3"/>
  <c r="X131" i="3" s="1"/>
  <c r="W132" i="3"/>
  <c r="X132" i="3" s="1"/>
  <c r="W133" i="3"/>
  <c r="X133" i="3" s="1"/>
  <c r="W134" i="3"/>
  <c r="X134" i="3" s="1"/>
  <c r="W135" i="3"/>
  <c r="X135" i="3" s="1"/>
  <c r="W136" i="3"/>
  <c r="X136" i="3" s="1"/>
  <c r="W137" i="3"/>
  <c r="X137" i="3" s="1"/>
  <c r="W138" i="3"/>
  <c r="X138" i="3" s="1"/>
  <c r="W139" i="3"/>
  <c r="X139" i="3" s="1"/>
  <c r="W140" i="3"/>
  <c r="X140" i="3" s="1"/>
  <c r="W141" i="3"/>
  <c r="X141" i="3" s="1"/>
  <c r="W142" i="3"/>
  <c r="X142" i="3" s="1"/>
  <c r="W143" i="3"/>
  <c r="X143" i="3" s="1"/>
  <c r="W144" i="3"/>
  <c r="X144" i="3" s="1"/>
  <c r="W145" i="3"/>
  <c r="X145" i="3" s="1"/>
  <c r="W146" i="3"/>
  <c r="X146" i="3" s="1"/>
  <c r="W147" i="3"/>
  <c r="X147" i="3" s="1"/>
  <c r="W148" i="3"/>
  <c r="X148" i="3" s="1"/>
  <c r="W149" i="3"/>
  <c r="X149" i="3" s="1"/>
  <c r="W150" i="3"/>
  <c r="X150" i="3" s="1"/>
  <c r="W151" i="3"/>
  <c r="X151" i="3" s="1"/>
  <c r="W152" i="3"/>
  <c r="X152" i="3" s="1"/>
  <c r="W153" i="3"/>
  <c r="X153" i="3" s="1"/>
  <c r="W154" i="3"/>
  <c r="X154" i="3" s="1"/>
  <c r="W155" i="3"/>
  <c r="X155" i="3" s="1"/>
  <c r="W156" i="3"/>
  <c r="X156" i="3" s="1"/>
  <c r="W157" i="3"/>
  <c r="X157" i="3" s="1"/>
  <c r="W158" i="3"/>
  <c r="X158" i="3" s="1"/>
  <c r="W159" i="3"/>
  <c r="X159" i="3" s="1"/>
  <c r="W160" i="3"/>
  <c r="X160" i="3" s="1"/>
  <c r="W161" i="3"/>
  <c r="X161" i="3" s="1"/>
  <c r="W162" i="3"/>
  <c r="X162" i="3" s="1"/>
  <c r="W163" i="3"/>
  <c r="X163" i="3" s="1"/>
  <c r="W164" i="3"/>
  <c r="X164" i="3" s="1"/>
  <c r="W165" i="3"/>
  <c r="X165" i="3" s="1"/>
  <c r="W166" i="3"/>
  <c r="X166" i="3" s="1"/>
  <c r="W167" i="3"/>
  <c r="X167" i="3" s="1"/>
  <c r="W168" i="3"/>
  <c r="X168" i="3" s="1"/>
  <c r="W169" i="3"/>
  <c r="X169" i="3" s="1"/>
  <c r="W170" i="3"/>
  <c r="X170" i="3" s="1"/>
  <c r="W171" i="3"/>
  <c r="X171" i="3" s="1"/>
  <c r="W172" i="3"/>
  <c r="X172" i="3" s="1"/>
  <c r="W173" i="3"/>
  <c r="X173" i="3" s="1"/>
  <c r="W174" i="3"/>
  <c r="X174" i="3" s="1"/>
  <c r="W175" i="3"/>
  <c r="X175" i="3" s="1"/>
  <c r="W176" i="3"/>
  <c r="X176" i="3" s="1"/>
  <c r="W177" i="3"/>
  <c r="X177" i="3" s="1"/>
  <c r="W178" i="3"/>
  <c r="X178" i="3" s="1"/>
  <c r="W179" i="3"/>
  <c r="X179" i="3" s="1"/>
  <c r="W180" i="3"/>
  <c r="X180" i="3" s="1"/>
  <c r="W181" i="3"/>
  <c r="X181" i="3" s="1"/>
  <c r="W182" i="3"/>
  <c r="X182" i="3" s="1"/>
  <c r="W183" i="3"/>
  <c r="X183" i="3" s="1"/>
  <c r="W184" i="3"/>
  <c r="X184" i="3" s="1"/>
  <c r="W185" i="3"/>
  <c r="X185" i="3" s="1"/>
  <c r="W186" i="3"/>
  <c r="X186" i="3" s="1"/>
  <c r="W187" i="3"/>
  <c r="X187" i="3" s="1"/>
  <c r="W188" i="3"/>
  <c r="X188" i="3" s="1"/>
  <c r="W189" i="3"/>
  <c r="X189" i="3" s="1"/>
  <c r="W190" i="3"/>
  <c r="X190" i="3" s="1"/>
  <c r="W191" i="3"/>
  <c r="X191" i="3" s="1"/>
  <c r="W192" i="3"/>
  <c r="X192" i="3" s="1"/>
  <c r="W193" i="3"/>
  <c r="X193" i="3" s="1"/>
  <c r="W194" i="3"/>
  <c r="X194" i="3" s="1"/>
  <c r="W195" i="3"/>
  <c r="X195" i="3" s="1"/>
  <c r="W196" i="3"/>
  <c r="X196" i="3" s="1"/>
  <c r="W197" i="3"/>
  <c r="X197" i="3" s="1"/>
  <c r="W198" i="3"/>
  <c r="X198" i="3" s="1"/>
  <c r="W199" i="3"/>
  <c r="X199" i="3" s="1"/>
  <c r="W200" i="3"/>
  <c r="X200" i="3" s="1"/>
  <c r="W201" i="3"/>
  <c r="X201" i="3" s="1"/>
  <c r="W202" i="3"/>
  <c r="X202" i="3" s="1"/>
  <c r="W203" i="3"/>
  <c r="X203" i="3" s="1"/>
  <c r="W204" i="3"/>
  <c r="X204" i="3" s="1"/>
  <c r="W205" i="3"/>
  <c r="X205" i="3" s="1"/>
  <c r="W206" i="3"/>
  <c r="X206" i="3" s="1"/>
  <c r="W207" i="3"/>
  <c r="X207" i="3" s="1"/>
  <c r="W208" i="3"/>
  <c r="X208" i="3" s="1"/>
  <c r="W209" i="3"/>
  <c r="X209" i="3" s="1"/>
  <c r="W210" i="3"/>
  <c r="X210" i="3" s="1"/>
  <c r="W211" i="3"/>
  <c r="X211" i="3" s="1"/>
  <c r="W212" i="3"/>
  <c r="X212" i="3" s="1"/>
  <c r="W213" i="3"/>
  <c r="X213" i="3" s="1"/>
  <c r="W214" i="3"/>
  <c r="X214" i="3" s="1"/>
  <c r="W215" i="3"/>
  <c r="X215" i="3" s="1"/>
  <c r="W216" i="3"/>
  <c r="X216" i="3" s="1"/>
  <c r="W217" i="3"/>
  <c r="X217" i="3" s="1"/>
  <c r="W218" i="3"/>
  <c r="X218" i="3" s="1"/>
  <c r="W219" i="3"/>
  <c r="X219" i="3" s="1"/>
  <c r="W220" i="3"/>
  <c r="X220" i="3" s="1"/>
  <c r="W221" i="3"/>
  <c r="X221" i="3" s="1"/>
  <c r="W222" i="3"/>
  <c r="X222" i="3" s="1"/>
  <c r="W223" i="3"/>
  <c r="X223" i="3" s="1"/>
  <c r="W224" i="3"/>
  <c r="X224" i="3" s="1"/>
  <c r="W225" i="3"/>
  <c r="X225" i="3" s="1"/>
  <c r="W226" i="3"/>
  <c r="X226" i="3" s="1"/>
  <c r="W227" i="3"/>
  <c r="X227" i="3" s="1"/>
  <c r="W228" i="3"/>
  <c r="X228" i="3" s="1"/>
  <c r="W229" i="3"/>
  <c r="X229" i="3" s="1"/>
  <c r="W230" i="3"/>
  <c r="X230" i="3" s="1"/>
  <c r="W231" i="3"/>
  <c r="X231" i="3" s="1"/>
  <c r="W232" i="3"/>
  <c r="X232" i="3" s="1"/>
  <c r="W233" i="3"/>
  <c r="X233" i="3" s="1"/>
  <c r="W234" i="3"/>
  <c r="X234" i="3" s="1"/>
  <c r="W235" i="3"/>
  <c r="X235" i="3" s="1"/>
  <c r="W236" i="3"/>
  <c r="X236" i="3" s="1"/>
  <c r="W237" i="3"/>
  <c r="X237" i="3" s="1"/>
  <c r="W238" i="3"/>
  <c r="X238" i="3" s="1"/>
  <c r="W239" i="3"/>
  <c r="X239" i="3" s="1"/>
  <c r="W240" i="3"/>
  <c r="X240" i="3" s="1"/>
  <c r="W241" i="3"/>
  <c r="X241" i="3" s="1"/>
  <c r="W242" i="3"/>
  <c r="X242" i="3" s="1"/>
  <c r="W243" i="3"/>
  <c r="X243" i="3" s="1"/>
  <c r="W244" i="3"/>
  <c r="X244" i="3" s="1"/>
  <c r="W245" i="3"/>
  <c r="X245" i="3" s="1"/>
  <c r="W246" i="3"/>
  <c r="X246" i="3" s="1"/>
  <c r="W247" i="3"/>
  <c r="X247" i="3" s="1"/>
  <c r="W248" i="3"/>
  <c r="X248" i="3" s="1"/>
  <c r="W249" i="3"/>
  <c r="X249" i="3" s="1"/>
  <c r="W250" i="3"/>
  <c r="X250" i="3" s="1"/>
  <c r="W251" i="3"/>
  <c r="X251" i="3" s="1"/>
  <c r="W252" i="3"/>
  <c r="X252" i="3" s="1"/>
  <c r="W253" i="3"/>
  <c r="X253" i="3" s="1"/>
  <c r="W254" i="3"/>
  <c r="X254" i="3" s="1"/>
  <c r="W255" i="3"/>
  <c r="X255" i="3" s="1"/>
  <c r="W256" i="3"/>
  <c r="X256" i="3" s="1"/>
  <c r="W257" i="3"/>
  <c r="X257" i="3" s="1"/>
  <c r="W258" i="3"/>
  <c r="X258" i="3" s="1"/>
  <c r="W259" i="3"/>
  <c r="X259" i="3" s="1"/>
  <c r="W260" i="3"/>
  <c r="X260" i="3" s="1"/>
  <c r="W261" i="3"/>
  <c r="X261" i="3" s="1"/>
  <c r="W262" i="3"/>
  <c r="X262" i="3" s="1"/>
  <c r="W263" i="3"/>
  <c r="X263" i="3" s="1"/>
  <c r="W264" i="3"/>
  <c r="X264" i="3" s="1"/>
  <c r="W265" i="3"/>
  <c r="X265" i="3" s="1"/>
  <c r="W266" i="3"/>
  <c r="X266" i="3" s="1"/>
  <c r="W267" i="3"/>
  <c r="X267" i="3" s="1"/>
  <c r="W268" i="3"/>
  <c r="X268" i="3" s="1"/>
  <c r="W269" i="3"/>
  <c r="X269" i="3" s="1"/>
  <c r="W270" i="3"/>
  <c r="X270" i="3" s="1"/>
  <c r="W271" i="3"/>
  <c r="X271" i="3" s="1"/>
  <c r="W272" i="3"/>
  <c r="X272" i="3" s="1"/>
  <c r="W273" i="3"/>
  <c r="X273" i="3" s="1"/>
  <c r="W274" i="3"/>
  <c r="X274" i="3" s="1"/>
  <c r="W275" i="3"/>
  <c r="X275" i="3" s="1"/>
  <c r="W276" i="3"/>
  <c r="X276" i="3" s="1"/>
  <c r="W277" i="3"/>
  <c r="X277" i="3" s="1"/>
  <c r="W278" i="3"/>
  <c r="X278" i="3" s="1"/>
  <c r="W279" i="3"/>
  <c r="X279" i="3" s="1"/>
  <c r="W280" i="3"/>
  <c r="X280" i="3" s="1"/>
  <c r="W281" i="3"/>
  <c r="X281" i="3" s="1"/>
  <c r="W282" i="3"/>
  <c r="X282" i="3" s="1"/>
  <c r="W283" i="3"/>
  <c r="X283" i="3" s="1"/>
  <c r="W284" i="3"/>
  <c r="X284" i="3" s="1"/>
  <c r="W285" i="3"/>
  <c r="X285" i="3" s="1"/>
  <c r="W286" i="3"/>
  <c r="X286" i="3" s="1"/>
  <c r="W287" i="3"/>
  <c r="X287" i="3" s="1"/>
  <c r="W288" i="3"/>
  <c r="X288" i="3" s="1"/>
  <c r="W289" i="3"/>
  <c r="X289" i="3" s="1"/>
  <c r="W290" i="3"/>
  <c r="X290" i="3" s="1"/>
  <c r="W291" i="3"/>
  <c r="X291" i="3" s="1"/>
  <c r="W292" i="3"/>
  <c r="X292" i="3" s="1"/>
  <c r="W293" i="3"/>
  <c r="X293" i="3" s="1"/>
  <c r="W294" i="3"/>
  <c r="X294" i="3" s="1"/>
  <c r="W295" i="3"/>
  <c r="X295" i="3" s="1"/>
  <c r="W296" i="3"/>
  <c r="X296" i="3" s="1"/>
  <c r="W297" i="3"/>
  <c r="X297" i="3" s="1"/>
  <c r="W298" i="3"/>
  <c r="X298" i="3" s="1"/>
  <c r="W299" i="3"/>
  <c r="X299" i="3" s="1"/>
  <c r="W300" i="3"/>
  <c r="X300" i="3" s="1"/>
  <c r="W301" i="3"/>
  <c r="X301" i="3" s="1"/>
  <c r="W302" i="3"/>
  <c r="X302" i="3" s="1"/>
  <c r="W303" i="3"/>
  <c r="X303" i="3" s="1"/>
  <c r="W304" i="3"/>
  <c r="X304" i="3" s="1"/>
  <c r="W305" i="3"/>
  <c r="X305" i="3" s="1"/>
  <c r="W306" i="3"/>
  <c r="X306" i="3" s="1"/>
  <c r="W307" i="3"/>
  <c r="X307" i="3" s="1"/>
  <c r="W308" i="3"/>
  <c r="X308" i="3" s="1"/>
  <c r="W309" i="3"/>
  <c r="X309" i="3" s="1"/>
  <c r="W310" i="3"/>
  <c r="X310" i="3" s="1"/>
  <c r="W311" i="3"/>
  <c r="X311" i="3" s="1"/>
  <c r="W312" i="3"/>
  <c r="X312" i="3" s="1"/>
  <c r="W313" i="3"/>
  <c r="X313" i="3" s="1"/>
  <c r="W314" i="3"/>
  <c r="X314" i="3" s="1"/>
  <c r="W315" i="3"/>
  <c r="X315" i="3" s="1"/>
  <c r="W316" i="3"/>
  <c r="X316" i="3" s="1"/>
  <c r="W317" i="3"/>
  <c r="X317" i="3" s="1"/>
  <c r="W318" i="3"/>
  <c r="X318" i="3" s="1"/>
  <c r="W319" i="3"/>
  <c r="X319" i="3" s="1"/>
  <c r="W320" i="3"/>
  <c r="X320" i="3" s="1"/>
  <c r="W321" i="3"/>
  <c r="X321" i="3" s="1"/>
  <c r="W322" i="3"/>
  <c r="X322" i="3" s="1"/>
  <c r="W323" i="3"/>
  <c r="X323" i="3" s="1"/>
  <c r="W324" i="3"/>
  <c r="X324" i="3" s="1"/>
  <c r="W325" i="3"/>
  <c r="X325" i="3" s="1"/>
  <c r="W326" i="3"/>
  <c r="X326" i="3" s="1"/>
  <c r="W327" i="3"/>
  <c r="X327" i="3" s="1"/>
  <c r="W328" i="3"/>
  <c r="X328" i="3" s="1"/>
  <c r="W329" i="3"/>
  <c r="X329" i="3" s="1"/>
  <c r="W330" i="3"/>
  <c r="X330" i="3" s="1"/>
  <c r="W331" i="3"/>
  <c r="X331" i="3" s="1"/>
  <c r="W332" i="3"/>
  <c r="X332" i="3" s="1"/>
  <c r="W333" i="3"/>
  <c r="X333" i="3" s="1"/>
  <c r="W334" i="3"/>
  <c r="X334" i="3" s="1"/>
  <c r="W335" i="3"/>
  <c r="X335" i="3" s="1"/>
  <c r="W336" i="3"/>
  <c r="X336" i="3" s="1"/>
  <c r="W337" i="3"/>
  <c r="X337" i="3" s="1"/>
  <c r="W338" i="3"/>
  <c r="X338" i="3" s="1"/>
  <c r="W339" i="3"/>
  <c r="X339" i="3" s="1"/>
  <c r="W340" i="3"/>
  <c r="X340" i="3" s="1"/>
  <c r="W341" i="3"/>
  <c r="X341" i="3" s="1"/>
  <c r="W342" i="3"/>
  <c r="X342" i="3" s="1"/>
  <c r="W343" i="3"/>
  <c r="X343" i="3" s="1"/>
  <c r="W344" i="3"/>
  <c r="X344" i="3" s="1"/>
  <c r="W345" i="3"/>
  <c r="X345" i="3" s="1"/>
  <c r="W346" i="3"/>
  <c r="X346" i="3" s="1"/>
  <c r="W347" i="3"/>
  <c r="X347" i="3" s="1"/>
  <c r="W348" i="3"/>
  <c r="X348" i="3" s="1"/>
  <c r="W349" i="3"/>
  <c r="X349" i="3" s="1"/>
  <c r="W350" i="3"/>
  <c r="X350" i="3" s="1"/>
  <c r="W351" i="3"/>
  <c r="X351" i="3" s="1"/>
  <c r="W352" i="3"/>
  <c r="X352" i="3" s="1"/>
  <c r="W353" i="3"/>
  <c r="X353" i="3" s="1"/>
  <c r="W354" i="3"/>
  <c r="X354" i="3" s="1"/>
  <c r="W355" i="3"/>
  <c r="X355" i="3" s="1"/>
  <c r="W356" i="3"/>
  <c r="X356" i="3" s="1"/>
  <c r="W357" i="3"/>
  <c r="X357" i="3" s="1"/>
  <c r="W358" i="3"/>
  <c r="X358" i="3" s="1"/>
  <c r="W359" i="3"/>
  <c r="X359" i="3" s="1"/>
  <c r="W360" i="3"/>
  <c r="X360" i="3" s="1"/>
  <c r="W361" i="3"/>
  <c r="X361" i="3" s="1"/>
  <c r="W362" i="3"/>
  <c r="X362" i="3" s="1"/>
  <c r="W363" i="3"/>
  <c r="X363" i="3" s="1"/>
  <c r="W364" i="3"/>
  <c r="X364" i="3" s="1"/>
  <c r="W365" i="3"/>
  <c r="X365" i="3" s="1"/>
  <c r="W366" i="3"/>
  <c r="X366" i="3" s="1"/>
  <c r="W367" i="3"/>
  <c r="X367" i="3" s="1"/>
  <c r="W368" i="3"/>
  <c r="X368" i="3" s="1"/>
  <c r="W369" i="3"/>
  <c r="X369" i="3" s="1"/>
  <c r="W370" i="3"/>
  <c r="X370" i="3" s="1"/>
  <c r="W371" i="3"/>
  <c r="X371" i="3" s="1"/>
  <c r="W372" i="3"/>
  <c r="X372" i="3" s="1"/>
  <c r="W373" i="3"/>
  <c r="X373" i="3" s="1"/>
  <c r="W374" i="3"/>
  <c r="X374" i="3" s="1"/>
  <c r="W375" i="3"/>
  <c r="X375" i="3" s="1"/>
  <c r="W376" i="3"/>
  <c r="X376" i="3" s="1"/>
  <c r="W377" i="3"/>
  <c r="X377" i="3" s="1"/>
  <c r="W378" i="3"/>
  <c r="X378" i="3" s="1"/>
  <c r="W379" i="3"/>
  <c r="X379" i="3" s="1"/>
  <c r="W380" i="3"/>
  <c r="X380" i="3" s="1"/>
  <c r="W381" i="3"/>
  <c r="X381" i="3" s="1"/>
  <c r="W382" i="3"/>
  <c r="X382" i="3" s="1"/>
  <c r="W383" i="3"/>
  <c r="X383" i="3" s="1"/>
  <c r="W384" i="3"/>
  <c r="X384" i="3" s="1"/>
  <c r="W385" i="3"/>
  <c r="X385" i="3" s="1"/>
  <c r="W386" i="3"/>
  <c r="X386" i="3" s="1"/>
  <c r="W387" i="3"/>
  <c r="X387" i="3" s="1"/>
  <c r="W388" i="3"/>
  <c r="X388" i="3" s="1"/>
  <c r="W389" i="3"/>
  <c r="X389" i="3" s="1"/>
  <c r="W390" i="3"/>
  <c r="X390" i="3" s="1"/>
  <c r="W391" i="3"/>
  <c r="X391" i="3" s="1"/>
  <c r="W392" i="3"/>
  <c r="X392" i="3" s="1"/>
  <c r="W393" i="3"/>
  <c r="X393" i="3" s="1"/>
  <c r="W394" i="3"/>
  <c r="X394" i="3" s="1"/>
  <c r="W395" i="3"/>
  <c r="X395" i="3" s="1"/>
  <c r="W396" i="3"/>
  <c r="X396" i="3" s="1"/>
  <c r="W397" i="3"/>
  <c r="X397" i="3" s="1"/>
  <c r="W398" i="3"/>
  <c r="X398" i="3" s="1"/>
  <c r="W399" i="3"/>
  <c r="X399" i="3" s="1"/>
  <c r="W400" i="3"/>
  <c r="X400" i="3" s="1"/>
  <c r="W401" i="3"/>
  <c r="X401" i="3" s="1"/>
  <c r="W402" i="3"/>
  <c r="X402" i="3" s="1"/>
  <c r="W403" i="3"/>
  <c r="X403" i="3" s="1"/>
  <c r="W404" i="3"/>
  <c r="X404" i="3" s="1"/>
  <c r="W405" i="3"/>
  <c r="X405" i="3" s="1"/>
  <c r="W406" i="3"/>
  <c r="X406" i="3" s="1"/>
  <c r="W407" i="3"/>
  <c r="X407" i="3" s="1"/>
  <c r="W408" i="3"/>
  <c r="X408" i="3" s="1"/>
  <c r="W409" i="3"/>
  <c r="X409" i="3" s="1"/>
  <c r="W410" i="3"/>
  <c r="X410" i="3" s="1"/>
  <c r="W411" i="3"/>
  <c r="X411" i="3" s="1"/>
  <c r="W412" i="3"/>
  <c r="X412" i="3" s="1"/>
  <c r="W413" i="3"/>
  <c r="X413" i="3" s="1"/>
  <c r="W414" i="3"/>
  <c r="X414" i="3" s="1"/>
  <c r="W415" i="3"/>
  <c r="X415" i="3" s="1"/>
  <c r="W416" i="3"/>
  <c r="X416" i="3" s="1"/>
  <c r="W417" i="3"/>
  <c r="X417" i="3" s="1"/>
  <c r="W418" i="3"/>
  <c r="X418" i="3" s="1"/>
  <c r="W419" i="3"/>
  <c r="X419" i="3" s="1"/>
  <c r="W420" i="3"/>
  <c r="X420" i="3" s="1"/>
  <c r="W421" i="3"/>
  <c r="X421" i="3" s="1"/>
  <c r="W422" i="3"/>
  <c r="X422" i="3" s="1"/>
  <c r="W423" i="3"/>
  <c r="X423" i="3" s="1"/>
  <c r="W424" i="3"/>
  <c r="X424" i="3" s="1"/>
  <c r="W425" i="3"/>
  <c r="X425" i="3" s="1"/>
  <c r="W426" i="3"/>
  <c r="X426" i="3" s="1"/>
  <c r="W427" i="3"/>
  <c r="X427" i="3" s="1"/>
  <c r="W428" i="3"/>
  <c r="X428" i="3" s="1"/>
  <c r="W429" i="3"/>
  <c r="X429" i="3" s="1"/>
  <c r="W430" i="3"/>
  <c r="X430" i="3" s="1"/>
  <c r="W431" i="3"/>
  <c r="X431" i="3" s="1"/>
  <c r="W432" i="3"/>
  <c r="X432" i="3" s="1"/>
  <c r="W433" i="3"/>
  <c r="X433" i="3" s="1"/>
  <c r="W434" i="3"/>
  <c r="X434" i="3" s="1"/>
  <c r="W435" i="3"/>
  <c r="X435" i="3" s="1"/>
  <c r="W436" i="3"/>
  <c r="X436" i="3" s="1"/>
  <c r="W437" i="3"/>
  <c r="X437" i="3" s="1"/>
  <c r="W438" i="3"/>
  <c r="X438" i="3" s="1"/>
  <c r="W439" i="3"/>
  <c r="X439" i="3" s="1"/>
  <c r="W440" i="3"/>
  <c r="X440" i="3" s="1"/>
  <c r="W441" i="3"/>
  <c r="X441" i="3" s="1"/>
  <c r="W442" i="3"/>
  <c r="X442" i="3" s="1"/>
  <c r="W443" i="3"/>
  <c r="X443" i="3" s="1"/>
  <c r="W444" i="3"/>
  <c r="X444" i="3" s="1"/>
  <c r="W445" i="3"/>
  <c r="X445" i="3" s="1"/>
  <c r="W446" i="3"/>
  <c r="X446" i="3" s="1"/>
  <c r="W447" i="3"/>
  <c r="X447" i="3" s="1"/>
  <c r="W448" i="3"/>
  <c r="X448" i="3" s="1"/>
  <c r="W449" i="3"/>
  <c r="X449" i="3" s="1"/>
  <c r="W450" i="3"/>
  <c r="X450" i="3" s="1"/>
  <c r="W451" i="3"/>
  <c r="X451" i="3" s="1"/>
  <c r="W452" i="3"/>
  <c r="X452" i="3" s="1"/>
  <c r="W453" i="3"/>
  <c r="X453" i="3" s="1"/>
  <c r="W454" i="3"/>
  <c r="X454" i="3" s="1"/>
  <c r="W455" i="3"/>
  <c r="X455" i="3" s="1"/>
  <c r="W456" i="3"/>
  <c r="X456" i="3" s="1"/>
  <c r="W457" i="3"/>
  <c r="X457" i="3" s="1"/>
  <c r="W458" i="3"/>
  <c r="X458" i="3" s="1"/>
  <c r="W459" i="3"/>
  <c r="X459" i="3" s="1"/>
  <c r="W460" i="3"/>
  <c r="X460" i="3" s="1"/>
  <c r="W461" i="3"/>
  <c r="X461" i="3" s="1"/>
  <c r="W462" i="3"/>
  <c r="X462" i="3" s="1"/>
  <c r="W463" i="3"/>
  <c r="X463" i="3" s="1"/>
  <c r="W464" i="3"/>
  <c r="X464" i="3" s="1"/>
  <c r="W465" i="3"/>
  <c r="X465" i="3" s="1"/>
  <c r="W466" i="3"/>
  <c r="X466" i="3" s="1"/>
  <c r="W467" i="3"/>
  <c r="X467" i="3" s="1"/>
  <c r="W468" i="3"/>
  <c r="X468" i="3" s="1"/>
  <c r="W469" i="3"/>
  <c r="X469" i="3" s="1"/>
  <c r="W470" i="3"/>
  <c r="X470" i="3" s="1"/>
  <c r="W471" i="3"/>
  <c r="X471" i="3" s="1"/>
  <c r="W472" i="3"/>
  <c r="X472" i="3" s="1"/>
  <c r="W473" i="3"/>
  <c r="X473" i="3" s="1"/>
  <c r="W474" i="3"/>
  <c r="X474" i="3" s="1"/>
  <c r="W475" i="3"/>
  <c r="X475" i="3" s="1"/>
  <c r="W476" i="3"/>
  <c r="X476" i="3" s="1"/>
  <c r="W477" i="3"/>
  <c r="X477" i="3" s="1"/>
  <c r="W478" i="3"/>
  <c r="X478" i="3" s="1"/>
  <c r="W479" i="3"/>
  <c r="X479" i="3" s="1"/>
  <c r="W480" i="3"/>
  <c r="X480" i="3" s="1"/>
  <c r="W481" i="3"/>
  <c r="X481" i="3" s="1"/>
  <c r="W482" i="3"/>
  <c r="X482" i="3" s="1"/>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F500CC-D2E6-4158-96A1-6DED639F3C70}"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<sst xmlns="http://schemas.openxmlformats.org/spreadsheetml/2006/main" count="23632" uniqueCount="964">
  <si>
    <t>season</t>
  </si>
  <si>
    <t>match_no</t>
  </si>
  <si>
    <t>date</t>
  </si>
  <si>
    <t>team_1</t>
  </si>
  <si>
    <t>team_1_score</t>
  </si>
  <si>
    <t>team_1_wicket</t>
  </si>
  <si>
    <t>team_2</t>
  </si>
  <si>
    <t>team_2_score</t>
  </si>
  <si>
    <t>team_2_wicket</t>
  </si>
  <si>
    <t>player_of_match</t>
  </si>
  <si>
    <t>toss_winner</t>
  </si>
  <si>
    <t>toss_decision</t>
  </si>
  <si>
    <t>winner</t>
  </si>
  <si>
    <t>venue</t>
  </si>
  <si>
    <t>city</t>
  </si>
  <si>
    <t>win_by_wickets</t>
  </si>
  <si>
    <t>win_by_runs</t>
  </si>
  <si>
    <t>result</t>
  </si>
  <si>
    <t>umpire_1</t>
  </si>
  <si>
    <t>umpire_2</t>
  </si>
  <si>
    <t>2011/12</t>
  </si>
  <si>
    <t>Final</t>
  </si>
  <si>
    <t>Feb 29 2012</t>
  </si>
  <si>
    <t>Barisal Burners</t>
  </si>
  <si>
    <t>Dhaka Gladiators</t>
  </si>
  <si>
    <t>Imran Nazir</t>
  </si>
  <si>
    <t>field first</t>
  </si>
  <si>
    <t>Dhaka</t>
  </si>
  <si>
    <t>SBNCS</t>
  </si>
  <si>
    <t>Mirpur</t>
  </si>
  <si>
    <t>8 wickets</t>
  </si>
  <si>
    <t>David Orchard</t>
  </si>
  <si>
    <t>Enamul Haque</t>
  </si>
  <si>
    <t>2nd</t>
  </si>
  <si>
    <t>Feb 28 2012</t>
  </si>
  <si>
    <t>Khulna Royal Bengals</t>
  </si>
  <si>
    <t>Azhar Mahmood</t>
  </si>
  <si>
    <t>bat first</t>
  </si>
  <si>
    <t>9 runs</t>
  </si>
  <si>
    <t>Nadir Shah</t>
  </si>
  <si>
    <t>1st</t>
  </si>
  <si>
    <t>Duronto Rajshahi</t>
  </si>
  <si>
    <t>Ahmed Shehzad</t>
  </si>
  <si>
    <t>Barisal</t>
  </si>
  <si>
    <t>Sharfuddoula</t>
  </si>
  <si>
    <t>29th</t>
  </si>
  <si>
    <t>Feb 27 2012</t>
  </si>
  <si>
    <t>Mohammad Sami</t>
  </si>
  <si>
    <t>Rajshahi</t>
  </si>
  <si>
    <t>3 wickets</t>
  </si>
  <si>
    <t>Mahfuzur Rahman</t>
  </si>
  <si>
    <t>28th</t>
  </si>
  <si>
    <t>Feb 26 2012</t>
  </si>
  <si>
    <t>Chittagong Kings</t>
  </si>
  <si>
    <t>Brad Hodge</t>
  </si>
  <si>
    <t>5 wickets</t>
  </si>
  <si>
    <t>Gazi Sohel</t>
  </si>
  <si>
    <t>Jeremy Lloyds</t>
  </si>
  <si>
    <t>27th</t>
  </si>
  <si>
    <t>Sean Ervine</t>
  </si>
  <si>
    <t>26th</t>
  </si>
  <si>
    <t>Feb 25 2012</t>
  </si>
  <si>
    <t>Sylhet Royals</t>
  </si>
  <si>
    <t>Peter Trego</t>
  </si>
  <si>
    <t>Royals</t>
  </si>
  <si>
    <t>35 runs</t>
  </si>
  <si>
    <t>Masudur Rahman</t>
  </si>
  <si>
    <t>25th</t>
  </si>
  <si>
    <t>24th</t>
  </si>
  <si>
    <t>Feb 24 2012</t>
  </si>
  <si>
    <t>Sohail Tanvir</t>
  </si>
  <si>
    <t>9 wickets</t>
  </si>
  <si>
    <t>Anisur Rahman</t>
  </si>
  <si>
    <t>2012/13</t>
  </si>
  <si>
    <t>Feb 19 2013</t>
  </si>
  <si>
    <t>Mosharraf Hossain</t>
  </si>
  <si>
    <t>43 runs</t>
  </si>
  <si>
    <t>Richard Illingworth</t>
  </si>
  <si>
    <t>23rd</t>
  </si>
  <si>
    <t>Dwayne Bravo</t>
  </si>
  <si>
    <t>Chittagong</t>
  </si>
  <si>
    <t>13 runs</t>
  </si>
  <si>
    <t>Semi-Final</t>
  </si>
  <si>
    <t>Feb 18 2013</t>
  </si>
  <si>
    <t>Ryan ten Doeschate</t>
  </si>
  <si>
    <t>22nd</t>
  </si>
  <si>
    <t>Feb 22 2012</t>
  </si>
  <si>
    <t>Mominul Haque</t>
  </si>
  <si>
    <t>ZACS</t>
  </si>
  <si>
    <t>Chattogram</t>
  </si>
  <si>
    <t>4 wickets</t>
  </si>
  <si>
    <t>21st</t>
  </si>
  <si>
    <t>Elimination</t>
  </si>
  <si>
    <t>Feb 16 2013</t>
  </si>
  <si>
    <t>Taskin Ahmed</t>
  </si>
  <si>
    <t>20th</t>
  </si>
  <si>
    <t>Feb 20 2012</t>
  </si>
  <si>
    <t>Nasir Hossain</t>
  </si>
  <si>
    <t>Khulna</t>
  </si>
  <si>
    <t>44 runs</t>
  </si>
  <si>
    <t>Race</t>
  </si>
  <si>
    <t>Feb 15 2013</t>
  </si>
  <si>
    <t>Chris Gayle</t>
  </si>
  <si>
    <t>4 runs</t>
  </si>
  <si>
    <t>19th</t>
  </si>
  <si>
    <t>Junaid Siddique</t>
  </si>
  <si>
    <t>42nd</t>
  </si>
  <si>
    <t>Feb 14 2013</t>
  </si>
  <si>
    <t>Shakib Al Hasan</t>
  </si>
  <si>
    <t>29 runs</t>
  </si>
  <si>
    <t>18th</t>
  </si>
  <si>
    <t>Feb 19 2012</t>
  </si>
  <si>
    <t>41st</t>
  </si>
  <si>
    <t>Rangpur Riders</t>
  </si>
  <si>
    <t>Hamid Hassan</t>
  </si>
  <si>
    <t>26 runs</t>
  </si>
  <si>
    <t>17th</t>
  </si>
  <si>
    <t>Shivnarine Chanderpaul</t>
  </si>
  <si>
    <t>7 wickets</t>
  </si>
  <si>
    <t>40th</t>
  </si>
  <si>
    <t>Feb 13 2013</t>
  </si>
  <si>
    <t>Paul Stirling</t>
  </si>
  <si>
    <t>1 wicket</t>
  </si>
  <si>
    <t>16th</t>
  </si>
  <si>
    <t>Feb 18 2012</t>
  </si>
  <si>
    <t>Saqlain Sajib</t>
  </si>
  <si>
    <t>15th</t>
  </si>
  <si>
    <t>Andre Russell</t>
  </si>
  <si>
    <t>2 runs</t>
  </si>
  <si>
    <t>39th</t>
  </si>
  <si>
    <t>Jason Roy</t>
  </si>
  <si>
    <t>33 runs</t>
  </si>
  <si>
    <t>14th</t>
  </si>
  <si>
    <t>Feb 16 2012</t>
  </si>
  <si>
    <t>Marlon Samuels</t>
  </si>
  <si>
    <t>14 runs</t>
  </si>
  <si>
    <t>38th</t>
  </si>
  <si>
    <t>Feb 12 2013</t>
  </si>
  <si>
    <t>13th</t>
  </si>
  <si>
    <t>Nasir Jamshed</t>
  </si>
  <si>
    <t>2015/16</t>
  </si>
  <si>
    <t>Dec 15 2015</t>
  </si>
  <si>
    <t>Barisal Bulls</t>
  </si>
  <si>
    <t>Comilla Victorians</t>
  </si>
  <si>
    <t>Alok Kapali</t>
  </si>
  <si>
    <t>Victorians</t>
  </si>
  <si>
    <t>Ahsan Raza</t>
  </si>
  <si>
    <t>Ranmore Martinesz</t>
  </si>
  <si>
    <t>12th</t>
  </si>
  <si>
    <t>Feb 15 2012</t>
  </si>
  <si>
    <t>Mushfiqur Rahim</t>
  </si>
  <si>
    <t>6 wickets</t>
  </si>
  <si>
    <t>Qualifier</t>
  </si>
  <si>
    <t>Dec 13 2015</t>
  </si>
  <si>
    <t>Sabbir Rahman</t>
  </si>
  <si>
    <t>Bulls</t>
  </si>
  <si>
    <t>11th</t>
  </si>
  <si>
    <t>Mahmudullah</t>
  </si>
  <si>
    <t>Eliminator</t>
  </si>
  <si>
    <t>Dec 12 2015</t>
  </si>
  <si>
    <t>Dhaka Dynamites</t>
  </si>
  <si>
    <t>Al-Amin Hossain</t>
  </si>
  <si>
    <t>18 runs</t>
  </si>
  <si>
    <t>10th</t>
  </si>
  <si>
    <t>Feb 14 2012</t>
  </si>
  <si>
    <t>21 runs</t>
  </si>
  <si>
    <t>Ashar Zaidi</t>
  </si>
  <si>
    <t>72 runs</t>
  </si>
  <si>
    <t>9th</t>
  </si>
  <si>
    <t>16 runs</t>
  </si>
  <si>
    <t>8th</t>
  </si>
  <si>
    <t>Feb 13 2012</t>
  </si>
  <si>
    <t>Kieron Pollard</t>
  </si>
  <si>
    <t>Dec 10 2015</t>
  </si>
  <si>
    <t>Sylhet Super Stars</t>
  </si>
  <si>
    <t>71 runs</t>
  </si>
  <si>
    <t>7th</t>
  </si>
  <si>
    <t>Dwayne Smith</t>
  </si>
  <si>
    <t>Dec 9 2015</t>
  </si>
  <si>
    <t>Chittagong Vikings</t>
  </si>
  <si>
    <t>6th</t>
  </si>
  <si>
    <t>Feb 12 2012</t>
  </si>
  <si>
    <t>Anamul Haque</t>
  </si>
  <si>
    <t>Ravi Bopara</t>
  </si>
  <si>
    <t>Super</t>
  </si>
  <si>
    <t>by 6</t>
  </si>
  <si>
    <t>5th</t>
  </si>
  <si>
    <t>Dec 8 2015</t>
  </si>
  <si>
    <t>Jahurul Islam</t>
  </si>
  <si>
    <t>Riders</t>
  </si>
  <si>
    <t>4th</t>
  </si>
  <si>
    <t>Feb 11 2012</t>
  </si>
  <si>
    <t>22 runs</t>
  </si>
  <si>
    <t>Dynamites</t>
  </si>
  <si>
    <t>45 runs</t>
  </si>
  <si>
    <t>3rd</t>
  </si>
  <si>
    <t>19 runs</t>
  </si>
  <si>
    <t>2016/17</t>
  </si>
  <si>
    <t>Dec 9 2016</t>
  </si>
  <si>
    <t>Rajshahi Kings</t>
  </si>
  <si>
    <t>Kumar Sangakkara</t>
  </si>
  <si>
    <t>56 runs</t>
  </si>
  <si>
    <t>Khalid Mahmood</t>
  </si>
  <si>
    <t>Feb 10 2012</t>
  </si>
  <si>
    <t>53 runs</t>
  </si>
  <si>
    <t>Dec 7 2016</t>
  </si>
  <si>
    <t>Khulna Titans</t>
  </si>
  <si>
    <t>Samit Patel</t>
  </si>
  <si>
    <t>Kings</t>
  </si>
  <si>
    <t>10 wickets</t>
  </si>
  <si>
    <t>Dec 6 2016</t>
  </si>
  <si>
    <t>54 runs</t>
  </si>
  <si>
    <t>Eliminator,</t>
  </si>
  <si>
    <t>Daren Sammy</t>
  </si>
  <si>
    <t>Dec 4 2016</t>
  </si>
  <si>
    <t>Titans</t>
  </si>
  <si>
    <t>Morshed Ali Khan</t>
  </si>
  <si>
    <t>Rashid Khan</t>
  </si>
  <si>
    <t>8 runs</t>
  </si>
  <si>
    <t>Dec 3 2016</t>
  </si>
  <si>
    <t>Afif Hossain</t>
  </si>
  <si>
    <t>Mohammad Shahzad</t>
  </si>
  <si>
    <t>Khalid Mahmud</t>
  </si>
  <si>
    <t>Dec 2 2016</t>
  </si>
  <si>
    <t>37th</t>
  </si>
  <si>
    <t>Tanvir Ahmed</t>
  </si>
  <si>
    <t>2017/18</t>
  </si>
  <si>
    <t>Dec 12 2017</t>
  </si>
  <si>
    <t>57 runs</t>
  </si>
  <si>
    <t>Riazuddin</t>
  </si>
  <si>
    <t>0 - 11 2017</t>
  </si>
  <si>
    <t>Johnson Charles</t>
  </si>
  <si>
    <t>36 runs</t>
  </si>
  <si>
    <t>Raveendra Wimalasiri</t>
  </si>
  <si>
    <t>Dec 8 2017</t>
  </si>
  <si>
    <t>Shahid Afridi</t>
  </si>
  <si>
    <t>95 runs</t>
  </si>
  <si>
    <t>Dec 6 2017</t>
  </si>
  <si>
    <t>Sylhet Sixers</t>
  </si>
  <si>
    <t>Litton Das</t>
  </si>
  <si>
    <t>25 runs</t>
  </si>
  <si>
    <t>Akteruzzaman</t>
  </si>
  <si>
    <t>Moniruzzaman</t>
  </si>
  <si>
    <t>Dec 5 2017</t>
  </si>
  <si>
    <t>Luis Reece</t>
  </si>
  <si>
    <t>Vikings</t>
  </si>
  <si>
    <t>Shafiuddin Ahmed</t>
  </si>
  <si>
    <t>Ariful Haque</t>
  </si>
  <si>
    <t>Dec 3 2017</t>
  </si>
  <si>
    <t>Mohammad Mithun</t>
  </si>
  <si>
    <t>Sixers</t>
  </si>
  <si>
    <t>2018/19</t>
  </si>
  <si>
    <t>Feb 8 2019</t>
  </si>
  <si>
    <t>Tamim Iqbal</t>
  </si>
  <si>
    <t>17 runs</t>
  </si>
  <si>
    <t>Alex Wharf</t>
  </si>
  <si>
    <t>Feb 6 2019</t>
  </si>
  <si>
    <t>Rubel Hossain</t>
  </si>
  <si>
    <t>Feb 4 2019</t>
  </si>
  <si>
    <t>Evin Lewis</t>
  </si>
  <si>
    <t>Sunil Narine</t>
  </si>
  <si>
    <t>Feb 2 2019</t>
  </si>
  <si>
    <t>Upul Tharanga</t>
  </si>
  <si>
    <t>Minhajul Abedin Afridi</t>
  </si>
  <si>
    <t>Sanjit Saha</t>
  </si>
  <si>
    <t>Feb 1 2019</t>
  </si>
  <si>
    <t>Ebadot Hossain</t>
  </si>
  <si>
    <t>Shozab Raza</t>
  </si>
  <si>
    <t>Mohammad Saifuddin</t>
  </si>
  <si>
    <t>1 run</t>
  </si>
  <si>
    <t>Jan 30 2019</t>
  </si>
  <si>
    <t>Laurie Evans</t>
  </si>
  <si>
    <t>Cameron Delport</t>
  </si>
  <si>
    <t>11 runs</t>
  </si>
  <si>
    <t>2019/20</t>
  </si>
  <si>
    <t>Jan 17 2020</t>
  </si>
  <si>
    <t>Rajshahi Royals</t>
  </si>
  <si>
    <t>Khulna Tigers</t>
  </si>
  <si>
    <t>David Millns</t>
  </si>
  <si>
    <t>Jan 15 2020</t>
  </si>
  <si>
    <t>Chattogram Challengers</t>
  </si>
  <si>
    <t>2 wickets</t>
  </si>
  <si>
    <t>Jan 13 2020</t>
  </si>
  <si>
    <t>Mohammad Amir</t>
  </si>
  <si>
    <t>Tigers</t>
  </si>
  <si>
    <t>27 runs</t>
  </si>
  <si>
    <t>Prageeth Rambukwella</t>
  </si>
  <si>
    <t>Dhaka Platoon</t>
  </si>
  <si>
    <t>Rayad Emrit</t>
  </si>
  <si>
    <t>Challengers</t>
  </si>
  <si>
    <t>Jan 11 2020</t>
  </si>
  <si>
    <t>Najmul Hossain Shanto</t>
  </si>
  <si>
    <t>Jan 10 2020</t>
  </si>
  <si>
    <t>Cumilla Warriors</t>
  </si>
  <si>
    <t>92 runs</t>
  </si>
  <si>
    <t>Rangpur Rangers</t>
  </si>
  <si>
    <t>Lewis Gregory</t>
  </si>
  <si>
    <t>Rangers</t>
  </si>
  <si>
    <t>Jan 8 2020</t>
  </si>
  <si>
    <t>Shadab Khan</t>
  </si>
  <si>
    <t>Platoon</t>
  </si>
  <si>
    <t>61 runs</t>
  </si>
  <si>
    <t>Robbie Frylinck</t>
  </si>
  <si>
    <t>34 runs</t>
  </si>
  <si>
    <t>2021/22</t>
  </si>
  <si>
    <t>Feb 3 2022</t>
  </si>
  <si>
    <t>Mustafizur Rahman</t>
  </si>
  <si>
    <t>Sylhet Sunrisers</t>
  </si>
  <si>
    <t>Andre Fletcher</t>
  </si>
  <si>
    <t>Feb 1 2022</t>
  </si>
  <si>
    <t>Fortune Barishal</t>
  </si>
  <si>
    <t>Barishal</t>
  </si>
  <si>
    <t>Minister Group Dhaka</t>
  </si>
  <si>
    <t>50 runs</t>
  </si>
  <si>
    <t>Jan 31 2022</t>
  </si>
  <si>
    <t>6 runs</t>
  </si>
  <si>
    <t>Faf du Plessis</t>
  </si>
  <si>
    <t>52 runs</t>
  </si>
  <si>
    <t>Jan 29 2022</t>
  </si>
  <si>
    <t>Mrittunjoy Chowdhury</t>
  </si>
  <si>
    <t>Mehedi Hasan Rana</t>
  </si>
  <si>
    <t>36th</t>
  </si>
  <si>
    <t>Feb 11 2013</t>
  </si>
  <si>
    <t>Kevin O'Brien</t>
  </si>
  <si>
    <t>35th</t>
  </si>
  <si>
    <t>Mohammad Ashraful</t>
  </si>
  <si>
    <t>34th</t>
  </si>
  <si>
    <t>Feb 9 2013</t>
  </si>
  <si>
    <t>33rd</t>
  </si>
  <si>
    <t>Danza Hyatt</t>
  </si>
  <si>
    <t>32nd</t>
  </si>
  <si>
    <t>Feb 8 2013</t>
  </si>
  <si>
    <t>Brendan Taylor</t>
  </si>
  <si>
    <t>119 runs</t>
  </si>
  <si>
    <t>31st</t>
  </si>
  <si>
    <t>Shahriar Nafees</t>
  </si>
  <si>
    <t>30th</t>
  </si>
  <si>
    <t>Feb 7 2013</t>
  </si>
  <si>
    <t>Shamsur Rahman</t>
  </si>
  <si>
    <t>89 runs</t>
  </si>
  <si>
    <t>Feb 5 2013</t>
  </si>
  <si>
    <t>88 runs</t>
  </si>
  <si>
    <t>Feb 4 2013</t>
  </si>
  <si>
    <t>Feb 2 2013</t>
  </si>
  <si>
    <t>Naeem Islam</t>
  </si>
  <si>
    <t>MAAziz</t>
  </si>
  <si>
    <t>Feb 1 2013</t>
  </si>
  <si>
    <t>Alfonso Thomas</t>
  </si>
  <si>
    <t>Jan 31 2013</t>
  </si>
  <si>
    <t>Nazmul Hossain Milon</t>
  </si>
  <si>
    <t>Jan 29 2013</t>
  </si>
  <si>
    <t>Fidel Edwards</t>
  </si>
  <si>
    <t>Darren Stevens</t>
  </si>
  <si>
    <t>31 runs</t>
  </si>
  <si>
    <t>Jan 28 2013</t>
  </si>
  <si>
    <t>Charles Coventry</t>
  </si>
  <si>
    <t>Mohammad Nabi</t>
  </si>
  <si>
    <t>Jan 25 2013</t>
  </si>
  <si>
    <t>Daniel Harris</t>
  </si>
  <si>
    <t>SAbuNaserK</t>
  </si>
  <si>
    <t>Jan 24 2013</t>
  </si>
  <si>
    <t>68 runs</t>
  </si>
  <si>
    <t>Jan 23 2013</t>
  </si>
  <si>
    <t>Hamilton Masakadza</t>
  </si>
  <si>
    <t>7 runs</t>
  </si>
  <si>
    <t>Jan 22 2013</t>
  </si>
  <si>
    <t>Jan 20 2013</t>
  </si>
  <si>
    <t>Elton Chigumbura</t>
  </si>
  <si>
    <t>Jan 19 2013</t>
  </si>
  <si>
    <t>Amit Kumar</t>
  </si>
  <si>
    <t>Mehedi Maruf</t>
  </si>
  <si>
    <t>Jan 18 2013</t>
  </si>
  <si>
    <t>Bishawnath Halder</t>
  </si>
  <si>
    <t>Jubair Ahmed</t>
  </si>
  <si>
    <t>Owais Shah</t>
  </si>
  <si>
    <t>62 runs</t>
  </si>
  <si>
    <t>Dec 7 2015</t>
  </si>
  <si>
    <t>Arafat Sunny</t>
  </si>
  <si>
    <t>Dec 6 2015</t>
  </si>
  <si>
    <t>by 9</t>
  </si>
  <si>
    <t>Dec 3 2015</t>
  </si>
  <si>
    <t>Shoaib Malik</t>
  </si>
  <si>
    <t>Dec 2 2015</t>
  </si>
  <si>
    <t>Tillakaratne Dilshan</t>
  </si>
  <si>
    <t>10 runs</t>
  </si>
  <si>
    <t>Dec 1 2015</t>
  </si>
  <si>
    <t>Soumya Sarkar</t>
  </si>
  <si>
    <t>Nov 30 2015</t>
  </si>
  <si>
    <t>by 4</t>
  </si>
  <si>
    <t>Kevon Cooper</t>
  </si>
  <si>
    <t>Nov 27 2015</t>
  </si>
  <si>
    <t>Nov 26 2015</t>
  </si>
  <si>
    <t>Shadman Islam</t>
  </si>
  <si>
    <t>Nov 25 2015</t>
  </si>
  <si>
    <t>Nuwan Kulasekara</t>
  </si>
  <si>
    <t>69 runs</t>
  </si>
  <si>
    <t>Nov 24 2015</t>
  </si>
  <si>
    <t>Mashrafe Mortaza</t>
  </si>
  <si>
    <t>Nov 23 2015</t>
  </si>
  <si>
    <t>Shafiul Islam</t>
  </si>
  <si>
    <t>Nov 22 2015</t>
  </si>
  <si>
    <t>Abul Hasan</t>
  </si>
  <si>
    <t>Misbah-ul-Haq</t>
  </si>
  <si>
    <t>Dec 1 2016</t>
  </si>
  <si>
    <t>Nov 30 2016</t>
  </si>
  <si>
    <t>Rashid Riaz</t>
  </si>
  <si>
    <t>42 runs</t>
  </si>
  <si>
    <t>Nov 29 2016</t>
  </si>
  <si>
    <t>Nabil Samad</t>
  </si>
  <si>
    <t>Nov 28 2016</t>
  </si>
  <si>
    <t>Mehidy Hasan Miraz</t>
  </si>
  <si>
    <t>49 runs</t>
  </si>
  <si>
    <t>Nov 27 2016</t>
  </si>
  <si>
    <t>Nov 26 2016</t>
  </si>
  <si>
    <t>32 runs</t>
  </si>
  <si>
    <t>Nov 25 2016</t>
  </si>
  <si>
    <t>Shuvagata Hom</t>
  </si>
  <si>
    <t>12 runs</t>
  </si>
  <si>
    <t>Nov 22 2016</t>
  </si>
  <si>
    <t>78 runs</t>
  </si>
  <si>
    <t>Nov 21 2016</t>
  </si>
  <si>
    <t>Habibur Rahman</t>
  </si>
  <si>
    <t>Shohidul Islam</t>
  </si>
  <si>
    <t>Nov 20 2016</t>
  </si>
  <si>
    <t>Nov 19 2016</t>
  </si>
  <si>
    <t>Nov 18 2016</t>
  </si>
  <si>
    <t>Nov 17 2016</t>
  </si>
  <si>
    <t>Mohammad Shahid</t>
  </si>
  <si>
    <t>Nov 14 2016</t>
  </si>
  <si>
    <t>Dawid Malan</t>
  </si>
  <si>
    <t>Nov 13 2016</t>
  </si>
  <si>
    <t>Nov 12 2016</t>
  </si>
  <si>
    <t>Mosaddek Hossain</t>
  </si>
  <si>
    <t>Nov 11 2016</t>
  </si>
  <si>
    <t>Thisara Perera</t>
  </si>
  <si>
    <t>Nov 10 2016</t>
  </si>
  <si>
    <t>Nov 9 2016</t>
  </si>
  <si>
    <t>3 runs</t>
  </si>
  <si>
    <t>Abdul Mazid</t>
  </si>
  <si>
    <t>Nov 8 2016</t>
  </si>
  <si>
    <t>Nahidul Islam</t>
  </si>
  <si>
    <t>Dec 2 2017</t>
  </si>
  <si>
    <t>99 runs</t>
  </si>
  <si>
    <t>Mahedi Hasan</t>
  </si>
  <si>
    <t>Nov 29 2017</t>
  </si>
  <si>
    <t>Nayeem Hasan</t>
  </si>
  <si>
    <t>Qazi Onik</t>
  </si>
  <si>
    <t>Nov 28 2017</t>
  </si>
  <si>
    <t>Nazmul Islam</t>
  </si>
  <si>
    <t>Nov 27 2017</t>
  </si>
  <si>
    <t>Nicholas Pooran</t>
  </si>
  <si>
    <t>Nov 25 2017</t>
  </si>
  <si>
    <t>30 runs</t>
  </si>
  <si>
    <t>Nov 24 2017</t>
  </si>
  <si>
    <t>Sikandar Raza</t>
  </si>
  <si>
    <t>40 runs</t>
  </si>
  <si>
    <t>Nov 21 2017</t>
  </si>
  <si>
    <t>Nov 20 2017</t>
  </si>
  <si>
    <t>Hasan Ali</t>
  </si>
  <si>
    <t>Nov 18 2017</t>
  </si>
  <si>
    <t>Nov 17 2017</t>
  </si>
  <si>
    <t>Rilee Rossouw</t>
  </si>
  <si>
    <t>Zakir Hasan</t>
  </si>
  <si>
    <t>Nov 14 2017</t>
  </si>
  <si>
    <t>Imrul Kayes</t>
  </si>
  <si>
    <t>Nov 12 2017</t>
  </si>
  <si>
    <t>Abu Jayed</t>
  </si>
  <si>
    <t>Nov 11 2017</t>
  </si>
  <si>
    <t>Nov 8 2017</t>
  </si>
  <si>
    <t>SylhetICS</t>
  </si>
  <si>
    <t>Sylhet</t>
  </si>
  <si>
    <t>Nov 7 2017</t>
  </si>
  <si>
    <t>Danushka Gunathilaka</t>
  </si>
  <si>
    <t>Nov 5 2017</t>
  </si>
  <si>
    <t>65 runs</t>
  </si>
  <si>
    <t>Nov 4 2017</t>
  </si>
  <si>
    <t>Jan 29 2019</t>
  </si>
  <si>
    <t>Farhad Reza</t>
  </si>
  <si>
    <t>Jan 28 2019</t>
  </si>
  <si>
    <t>AB de Villiers</t>
  </si>
  <si>
    <t>80 runs</t>
  </si>
  <si>
    <t>Jan 26 2019</t>
  </si>
  <si>
    <t>Mohammad Nawaz</t>
  </si>
  <si>
    <t>58 runs</t>
  </si>
  <si>
    <t>Jan 25 2019</t>
  </si>
  <si>
    <t>Alex Hales</t>
  </si>
  <si>
    <t>76 runs</t>
  </si>
  <si>
    <t>Jan 23 2019</t>
  </si>
  <si>
    <t>David Wiese</t>
  </si>
  <si>
    <t>Jan 22 2019</t>
  </si>
  <si>
    <t>Jan 21 2019</t>
  </si>
  <si>
    <t>38 runs</t>
  </si>
  <si>
    <t>Jan 19 2019</t>
  </si>
  <si>
    <t>Jan 18 2019</t>
  </si>
  <si>
    <t>Jan 16 2019</t>
  </si>
  <si>
    <t>20 runs</t>
  </si>
  <si>
    <t>Jan 15 2019</t>
  </si>
  <si>
    <t>Taijul Islam</t>
  </si>
  <si>
    <t>Jan 13 2019</t>
  </si>
  <si>
    <t>5 runs</t>
  </si>
  <si>
    <t>Jan 12 2019</t>
  </si>
  <si>
    <t>Rony Talukdar</t>
  </si>
  <si>
    <t>Match</t>
  </si>
  <si>
    <t>won the</t>
  </si>
  <si>
    <t>Jan 11 2019</t>
  </si>
  <si>
    <t>Al Islam</t>
  </si>
  <si>
    <t>Jan 9 2019</t>
  </si>
  <si>
    <t>Isuru Udana</t>
  </si>
  <si>
    <t>Jan 8 2019</t>
  </si>
  <si>
    <t>Hazratullah Zazai</t>
  </si>
  <si>
    <t>105 runs</t>
  </si>
  <si>
    <t>Jan 6 2019</t>
  </si>
  <si>
    <t>Jan 5 2019</t>
  </si>
  <si>
    <t>83 runs</t>
  </si>
  <si>
    <t>Jan 7 2020</t>
  </si>
  <si>
    <t>Sylhet Thunder</t>
  </si>
  <si>
    <t>Warriors</t>
  </si>
  <si>
    <t>Jan 4 2020</t>
  </si>
  <si>
    <t>Jan 3 2020</t>
  </si>
  <si>
    <t>Shane Watson</t>
  </si>
  <si>
    <t>Hasan Mahmud</t>
  </si>
  <si>
    <t>Jan 2 2020</t>
  </si>
  <si>
    <t>Mujeeb Ur Rahman</t>
  </si>
  <si>
    <t>Dec 31 2019</t>
  </si>
  <si>
    <t>47 runs</t>
  </si>
  <si>
    <t>Dec 30 2019</t>
  </si>
  <si>
    <t>Wahab Riaz</t>
  </si>
  <si>
    <t>74 runs</t>
  </si>
  <si>
    <t>D Milns</t>
  </si>
  <si>
    <t>Dec 28 2019</t>
  </si>
  <si>
    <t>15 runs</t>
  </si>
  <si>
    <t>Dec 27 2019</t>
  </si>
  <si>
    <t>Dec 24 2019</t>
  </si>
  <si>
    <t>Dec 23 2019</t>
  </si>
  <si>
    <t>Dec 21 2019</t>
  </si>
  <si>
    <t>Thunder</t>
  </si>
  <si>
    <t>Dec 20 2019</t>
  </si>
  <si>
    <t>Chadwick Walton</t>
  </si>
  <si>
    <t>Dec 18 2019</t>
  </si>
  <si>
    <t>Dec 17 2019</t>
  </si>
  <si>
    <t>Dec 14 2019</t>
  </si>
  <si>
    <t>24 runs</t>
  </si>
  <si>
    <t>Mohammad Naim</t>
  </si>
  <si>
    <t>Dec 13 2019</t>
  </si>
  <si>
    <t>Dec 12 2019</t>
  </si>
  <si>
    <t>Dec 11 2019</t>
  </si>
  <si>
    <t>Dasun Shanaka</t>
  </si>
  <si>
    <t>Jan 28 2022</t>
  </si>
  <si>
    <t>Jan 25 2022</t>
  </si>
  <si>
    <t>63 runs</t>
  </si>
  <si>
    <t>Sunrisers</t>
  </si>
  <si>
    <t>Jan 24 2022</t>
  </si>
  <si>
    <t>Benny Howell</t>
  </si>
  <si>
    <t>Jan 22 2022</t>
  </si>
  <si>
    <t>Nasum Ahmed</t>
  </si>
  <si>
    <t>Jan 21 2022</t>
  </si>
  <si>
    <t xml:space="preserve">2nd </t>
  </si>
  <si>
    <t>Morshed AliÂ Khan</t>
  </si>
  <si>
    <t>TanvirÂ Ahmed</t>
  </si>
  <si>
    <t>Feb 01 2022</t>
  </si>
  <si>
    <t>Feb 03 2022</t>
  </si>
  <si>
    <t>Feb 7 2022</t>
  </si>
  <si>
    <t>Mozahiduzzaman</t>
  </si>
  <si>
    <t>Feb 07 2022</t>
  </si>
  <si>
    <t>Feb 08 2022</t>
  </si>
  <si>
    <t>Shamim Hossain</t>
  </si>
  <si>
    <t>Feb 9 2022</t>
  </si>
  <si>
    <t>Mahmudul Hasan Joy</t>
  </si>
  <si>
    <t>Feb 11 2022</t>
  </si>
  <si>
    <t>Moeen Ali</t>
  </si>
  <si>
    <t>Feb 12 2022</t>
  </si>
  <si>
    <t>Will Jacks</t>
  </si>
  <si>
    <t>Feb 14 2022</t>
  </si>
  <si>
    <t>1st Qualifier</t>
  </si>
  <si>
    <t>2nd Qualifier</t>
  </si>
  <si>
    <t>Feb 16 2022</t>
  </si>
  <si>
    <t xml:space="preserve">Final </t>
  </si>
  <si>
    <t>Feb 18 2022</t>
  </si>
  <si>
    <t>1 runs</t>
  </si>
  <si>
    <t>2022/23</t>
  </si>
  <si>
    <t>Jan 6 2023</t>
  </si>
  <si>
    <t>Sylhet Strikers</t>
  </si>
  <si>
    <t>Rejaur Rahman Raja</t>
  </si>
  <si>
    <t>MahfuzurÂ Rahman</t>
  </si>
  <si>
    <t>Jan 7 2023</t>
  </si>
  <si>
    <t>Dhaka Dominators</t>
  </si>
  <si>
    <t>Towhid Hridoy</t>
  </si>
  <si>
    <t>Jan 9 2023</t>
  </si>
  <si>
    <t>MasudurÂ Rahman</t>
  </si>
  <si>
    <t>Usman Khan</t>
  </si>
  <si>
    <t>Jan 10 2023</t>
  </si>
  <si>
    <t>Jan 13 2023</t>
  </si>
  <si>
    <t>Iftikhar Ahmed</t>
  </si>
  <si>
    <t>Ali Arman</t>
  </si>
  <si>
    <t>Robiul Haque</t>
  </si>
  <si>
    <t>Jan 14 2023</t>
  </si>
  <si>
    <t>Jan 16 2023</t>
  </si>
  <si>
    <t>Imad Wasim</t>
  </si>
  <si>
    <t>Jan 17 2023</t>
  </si>
  <si>
    <t>Jan 19 2023</t>
  </si>
  <si>
    <t>Khushdil Shah</t>
  </si>
  <si>
    <t>67 runs</t>
  </si>
  <si>
    <t>Jan 20 2023</t>
  </si>
  <si>
    <t>Jan 23 2023</t>
  </si>
  <si>
    <t>ShoaibÂ Malik</t>
  </si>
  <si>
    <t>55 runs</t>
  </si>
  <si>
    <t>Muhammad Kamruzzaman</t>
  </si>
  <si>
    <t>60 runs</t>
  </si>
  <si>
    <t>Jan 24 2023</t>
  </si>
  <si>
    <t>Jan 27 2023</t>
  </si>
  <si>
    <t>Azmatullah Omarzai</t>
  </si>
  <si>
    <t>Jan 28 2023</t>
  </si>
  <si>
    <t>Mohammad Rizwan</t>
  </si>
  <si>
    <t>Najmul HossainÂ Shanto</t>
  </si>
  <si>
    <t>Jan 30 2023</t>
  </si>
  <si>
    <t>Jan 31 2023</t>
  </si>
  <si>
    <t>Feb 3 2023</t>
  </si>
  <si>
    <t>37 runs</t>
  </si>
  <si>
    <t>Nurul Hasan</t>
  </si>
  <si>
    <t>Feb 4 2023</t>
  </si>
  <si>
    <t>Feb 7 2023</t>
  </si>
  <si>
    <t>Ziaur Rahman</t>
  </si>
  <si>
    <t>Mukidul Islam</t>
  </si>
  <si>
    <t>5 wickest</t>
  </si>
  <si>
    <t>Feb 8 2023</t>
  </si>
  <si>
    <t>Haris Rauf</t>
  </si>
  <si>
    <t>Feb 10 2023</t>
  </si>
  <si>
    <t>Tanvir Islam</t>
  </si>
  <si>
    <t>70 runs</t>
  </si>
  <si>
    <t>Feb 12 2023</t>
  </si>
  <si>
    <t>Feb 14 2023</t>
  </si>
  <si>
    <t>Tanzim Hasan Sakib</t>
  </si>
  <si>
    <t>Feb 16 2023</t>
  </si>
  <si>
    <t>2023/24</t>
  </si>
  <si>
    <t>Jan 19 2024</t>
  </si>
  <si>
    <t xml:space="preserve">Comilla Victorians </t>
  </si>
  <si>
    <t>Durdanto Dhaka</t>
  </si>
  <si>
    <t>Shoriful Islam</t>
  </si>
  <si>
    <t>Najibullah Zadran</t>
  </si>
  <si>
    <t>Asif Yaqoob</t>
  </si>
  <si>
    <t>Jan 20 2024</t>
  </si>
  <si>
    <t xml:space="preserve">Fortune Barishal </t>
  </si>
  <si>
    <t>Khaled Ahmed</t>
  </si>
  <si>
    <t>Jan 22 2024</t>
  </si>
  <si>
    <t>tanzid-hasan</t>
  </si>
  <si>
    <t>Jan 23 2024</t>
  </si>
  <si>
    <t>Matthew Forde</t>
  </si>
  <si>
    <t>Jan 26 2024</t>
  </si>
  <si>
    <t>28 runs</t>
  </si>
  <si>
    <t>Jan 27 2024</t>
  </si>
  <si>
    <t>CurtisÂ Campher</t>
  </si>
  <si>
    <t>MorshedÂ AliÂ Khan</t>
  </si>
  <si>
    <t>Babar Azam</t>
  </si>
  <si>
    <t>79 runs</t>
  </si>
  <si>
    <t>Jan 29 2024</t>
  </si>
  <si>
    <t>Bilal Khan</t>
  </si>
  <si>
    <t>10wickets</t>
  </si>
  <si>
    <t>Jan 30 2024</t>
  </si>
  <si>
    <t>Feb 2 2024</t>
  </si>
  <si>
    <t>Richard Ngarava</t>
  </si>
  <si>
    <t>Feb 3 2024</t>
  </si>
  <si>
    <t>77 runs</t>
  </si>
  <si>
    <t>Feb 6 2024</t>
  </si>
  <si>
    <t>Feb 7 2024</t>
  </si>
  <si>
    <t>Aamer Jamal</t>
  </si>
  <si>
    <t>Feb 9 2024</t>
  </si>
  <si>
    <t>Harry Tector</t>
  </si>
  <si>
    <t>Feb 10 2024</t>
  </si>
  <si>
    <t>James Neesham</t>
  </si>
  <si>
    <t>Feb 13 2024</t>
  </si>
  <si>
    <t>73 runs</t>
  </si>
  <si>
    <t>Deighton Butler</t>
  </si>
  <si>
    <t>Imran Tahir</t>
  </si>
  <si>
    <t>31th</t>
  </si>
  <si>
    <t>Feb 14 2024</t>
  </si>
  <si>
    <t>Feb 16 2024</t>
  </si>
  <si>
    <t>Wayne Parnell</t>
  </si>
  <si>
    <t>Feb 17 2024</t>
  </si>
  <si>
    <t>Kyle Mayers</t>
  </si>
  <si>
    <t>Tanzid Hasan</t>
  </si>
  <si>
    <t>Feb 19 2024</t>
  </si>
  <si>
    <t>Abu Hider</t>
  </si>
  <si>
    <t>1 wickets</t>
  </si>
  <si>
    <t>Feb 20 2024</t>
  </si>
  <si>
    <t>Feb 23 2024</t>
  </si>
  <si>
    <t>Feb 26 2024</t>
  </si>
  <si>
    <t>Qualifier1</t>
  </si>
  <si>
    <t>Qualifier2</t>
  </si>
  <si>
    <t>Feb 28 2024</t>
  </si>
  <si>
    <t>GaziÂ Sohel</t>
  </si>
  <si>
    <t>Mar 01 2024</t>
  </si>
  <si>
    <t>2024/25</t>
  </si>
  <si>
    <t>Dec 30 2024</t>
  </si>
  <si>
    <t>Durbar Rajshahi</t>
  </si>
  <si>
    <t>Dhaka Capital</t>
  </si>
  <si>
    <t>RR Wimalasiri</t>
  </si>
  <si>
    <t>Dec 31 2024</t>
  </si>
  <si>
    <t>Mahidul Islam Ankon</t>
  </si>
  <si>
    <t>Nahid Rana</t>
  </si>
  <si>
    <t>Jan 2 2025</t>
  </si>
  <si>
    <t>Saif Hassan</t>
  </si>
  <si>
    <t>Jan 3 2025</t>
  </si>
  <si>
    <t>Jan 6 2025</t>
  </si>
  <si>
    <t>SylhetI</t>
  </si>
  <si>
    <t>Jan 7 2025</t>
  </si>
  <si>
    <t>Jahandad Khan</t>
  </si>
  <si>
    <t>Jan 9 2025</t>
  </si>
  <si>
    <t>Jan 10 2025</t>
  </si>
  <si>
    <t>Ryan Burl</t>
  </si>
  <si>
    <t>Jan 12 2025</t>
  </si>
  <si>
    <t>149 runs</t>
  </si>
  <si>
    <t>Jan 13 2025</t>
  </si>
  <si>
    <t>Graham Clark</t>
  </si>
  <si>
    <t>Akif Javed</t>
  </si>
  <si>
    <t>Jan 16 2025</t>
  </si>
  <si>
    <t>Jan 17 2025</t>
  </si>
  <si>
    <t>Sunzamul Ialam</t>
  </si>
  <si>
    <t>Jan 19 2025</t>
  </si>
  <si>
    <t>Jan 20 2025</t>
  </si>
  <si>
    <t>111 runs</t>
  </si>
  <si>
    <t>Jan 21 2025</t>
  </si>
  <si>
    <t>Rishad Hossain</t>
  </si>
  <si>
    <t>Jan 23 2025</t>
  </si>
  <si>
    <t>Jan 26 2025</t>
  </si>
  <si>
    <t>Faheem Ashraf</t>
  </si>
  <si>
    <t>Jan 27 2025</t>
  </si>
  <si>
    <t>SM Meherob</t>
  </si>
  <si>
    <t>Sajedul Islam</t>
  </si>
  <si>
    <t>Jan 28 2025</t>
  </si>
  <si>
    <t>Haider Ali</t>
  </si>
  <si>
    <t>Jan 30 2025</t>
  </si>
  <si>
    <t>46 runs</t>
  </si>
  <si>
    <t>96 runs</t>
  </si>
  <si>
    <t>Feb 1 2025</t>
  </si>
  <si>
    <t>Parvez Hossain Emon</t>
  </si>
  <si>
    <t>Feb 3 2025</t>
  </si>
  <si>
    <t>Qualifier 1</t>
  </si>
  <si>
    <t>Mohammad Ali</t>
  </si>
  <si>
    <t>Qualifier 2</t>
  </si>
  <si>
    <t>Feb 5 2025</t>
  </si>
  <si>
    <t>Feb 7 2025</t>
  </si>
  <si>
    <t>Correct_Winner</t>
  </si>
  <si>
    <t>Win_By_Type</t>
  </si>
  <si>
    <t>Win_Margin</t>
  </si>
  <si>
    <t>Total_Runs</t>
  </si>
  <si>
    <t>Year</t>
  </si>
  <si>
    <t>Match_Type</t>
  </si>
  <si>
    <t>High_Scoring_Flag</t>
  </si>
  <si>
    <t>Close_Match_Flag</t>
  </si>
  <si>
    <t>Grand Total</t>
  </si>
  <si>
    <t>Count of match_no</t>
  </si>
  <si>
    <t>Team</t>
  </si>
  <si>
    <t>Wickets</t>
  </si>
  <si>
    <t>Close Match</t>
  </si>
  <si>
    <t>170+ Match</t>
  </si>
  <si>
    <t>League</t>
  </si>
  <si>
    <t>Runs</t>
  </si>
  <si>
    <t>Normal</t>
  </si>
  <si>
    <t>Below 170</t>
  </si>
  <si>
    <t>Team_Name</t>
  </si>
  <si>
    <t>Count of Team_Name</t>
  </si>
  <si>
    <t>Win_Flag</t>
  </si>
  <si>
    <t>Sum of Win_Flag</t>
  </si>
  <si>
    <t>Win %</t>
  </si>
  <si>
    <t>Average of team_1_score</t>
  </si>
  <si>
    <t>Average of team_2_score</t>
  </si>
  <si>
    <t>Count of player_of_match</t>
  </si>
  <si>
    <t>Average Score Per Team</t>
  </si>
  <si>
    <t>Average of Total_Runs</t>
  </si>
  <si>
    <t>Count of High_Scoring_Flag</t>
  </si>
  <si>
    <t>Count of Close_Match_Flag</t>
  </si>
  <si>
    <t>Player_of_match</t>
  </si>
  <si>
    <t>Aamer jamal</t>
  </si>
  <si>
    <t>AB villiers</t>
  </si>
  <si>
    <t>Abu hider</t>
  </si>
  <si>
    <t>Abu jayed</t>
  </si>
  <si>
    <t>Abul hasan</t>
  </si>
  <si>
    <t>Afif hossain</t>
  </si>
  <si>
    <t>Ahmed shehzad</t>
  </si>
  <si>
    <t>Akif javed</t>
  </si>
  <si>
    <t>Al islam</t>
  </si>
  <si>
    <t>Al hossain</t>
  </si>
  <si>
    <t>Alex hales</t>
  </si>
  <si>
    <t>Alfonso thomas</t>
  </si>
  <si>
    <t>Alok kapali</t>
  </si>
  <si>
    <t>Anamul haque</t>
  </si>
  <si>
    <t>Andre fletcher</t>
  </si>
  <si>
    <t>Andre russell</t>
  </si>
  <si>
    <t>Arafat sunny</t>
  </si>
  <si>
    <t>Ariful haque</t>
  </si>
  <si>
    <t>Ashar zaidi</t>
  </si>
  <si>
    <t>Azhar mahmood</t>
  </si>
  <si>
    <t>Azmatullah omarzai</t>
  </si>
  <si>
    <t>Babar azam</t>
  </si>
  <si>
    <t>Benny howell</t>
  </si>
  <si>
    <t>Bilal khan</t>
  </si>
  <si>
    <t>Brad hodge</t>
  </si>
  <si>
    <t>Brendan taylor</t>
  </si>
  <si>
    <t>Cameron delport</t>
  </si>
  <si>
    <t>Chadwick walton</t>
  </si>
  <si>
    <t>Charles coventry</t>
  </si>
  <si>
    <t>Chris gayle</t>
  </si>
  <si>
    <t>CurtisÂ campher</t>
  </si>
  <si>
    <t>Daniel harris</t>
  </si>
  <si>
    <t>Danushka gunathilaka</t>
  </si>
  <si>
    <t>Danza hyatt</t>
  </si>
  <si>
    <t>Daren sammy</t>
  </si>
  <si>
    <t>Darren stevens</t>
  </si>
  <si>
    <t>Dasun shanaka</t>
  </si>
  <si>
    <t>David wiese</t>
  </si>
  <si>
    <t>Dawid malan</t>
  </si>
  <si>
    <t>Dwayne bravo</t>
  </si>
  <si>
    <t>Dwayne smith</t>
  </si>
  <si>
    <t>Ebadot hossain</t>
  </si>
  <si>
    <t>Elton chigumbura</t>
  </si>
  <si>
    <t>Evin lewis</t>
  </si>
  <si>
    <t>Faf plessis</t>
  </si>
  <si>
    <t>Faheem ashraf</t>
  </si>
  <si>
    <t>Farhad reza</t>
  </si>
  <si>
    <t>Fidel edwards</t>
  </si>
  <si>
    <t>Graham clark</t>
  </si>
  <si>
    <t>Haider ali</t>
  </si>
  <si>
    <t>Hamid hassan</t>
  </si>
  <si>
    <t>Hamilton masakadza</t>
  </si>
  <si>
    <t>Haris rauf</t>
  </si>
  <si>
    <t>Harry tector</t>
  </si>
  <si>
    <t>Hasan ali</t>
  </si>
  <si>
    <t>Hasan mahmud</t>
  </si>
  <si>
    <t>Hazratullah zazai</t>
  </si>
  <si>
    <t>Iftikhar ahmed</t>
  </si>
  <si>
    <t>Imad wasim</t>
  </si>
  <si>
    <t>Imran nazir</t>
  </si>
  <si>
    <t>Imran tahir</t>
  </si>
  <si>
    <t>Imrul kayes</t>
  </si>
  <si>
    <t>Isuru udana</t>
  </si>
  <si>
    <t>Jahandad khan</t>
  </si>
  <si>
    <t>Jahurul islam</t>
  </si>
  <si>
    <t>James neesham</t>
  </si>
  <si>
    <t>Jason roy</t>
  </si>
  <si>
    <t>Johnson charles</t>
  </si>
  <si>
    <t>Junaid siddique</t>
  </si>
  <si>
    <t>Kevin o'brien</t>
  </si>
  <si>
    <t>Kevon cooper</t>
  </si>
  <si>
    <t>Khaled ahmed</t>
  </si>
  <si>
    <t>Khushdil shah</t>
  </si>
  <si>
    <t>Kieron pollard</t>
  </si>
  <si>
    <t>Kumar sangakkara</t>
  </si>
  <si>
    <t>Kyle mayers</t>
  </si>
  <si>
    <t>Laurie evans</t>
  </si>
  <si>
    <t>Lewis gregory</t>
  </si>
  <si>
    <t>Litton das</t>
  </si>
  <si>
    <t>Luis reece</t>
  </si>
  <si>
    <t>Mahedi hasan</t>
  </si>
  <si>
    <t>Mahidul ankon</t>
  </si>
  <si>
    <t>Mahmudul joy</t>
  </si>
  <si>
    <t>Mahmudullah mahmudullah</t>
  </si>
  <si>
    <t>Marlon samuels</t>
  </si>
  <si>
    <t>Mashrafe mortaza</t>
  </si>
  <si>
    <t>Matthew forde</t>
  </si>
  <si>
    <t>Mehedi rana</t>
  </si>
  <si>
    <t>Mehedi maruf</t>
  </si>
  <si>
    <t>Mehidy miraz</t>
  </si>
  <si>
    <t>Misbah haq</t>
  </si>
  <si>
    <t>Moeen ali</t>
  </si>
  <si>
    <t>Mohammad ali</t>
  </si>
  <si>
    <t>Mohammad amir</t>
  </si>
  <si>
    <t>Mohammad ashraful</t>
  </si>
  <si>
    <t>Mohammad mithun</t>
  </si>
  <si>
    <t>Mohammad nabi</t>
  </si>
  <si>
    <t>Mohammad naim</t>
  </si>
  <si>
    <t>Mohammad nawaz</t>
  </si>
  <si>
    <t>Mohammad rizwan</t>
  </si>
  <si>
    <t>Mohammad saifuddin</t>
  </si>
  <si>
    <t>Mohammad sami</t>
  </si>
  <si>
    <t>Mohammad shahid</t>
  </si>
  <si>
    <t>Mohammad shahzad</t>
  </si>
  <si>
    <t>Mominul haque</t>
  </si>
  <si>
    <t>Mosaddek hossain</t>
  </si>
  <si>
    <t>Mosharraf hossain</t>
  </si>
  <si>
    <t>Mrittunjoy chowdhury</t>
  </si>
  <si>
    <t>Mujeeb rahman</t>
  </si>
  <si>
    <t>Mukidul islam</t>
  </si>
  <si>
    <t>Mushfiqur rahim</t>
  </si>
  <si>
    <t>Mustafizur rahman</t>
  </si>
  <si>
    <t>Nabil samad</t>
  </si>
  <si>
    <t>Naeem islam</t>
  </si>
  <si>
    <t>Nahid rana</t>
  </si>
  <si>
    <t>Nahidul islam</t>
  </si>
  <si>
    <t>Najibullah zadran</t>
  </si>
  <si>
    <t>Najmul shanto</t>
  </si>
  <si>
    <t>Nasir hossain</t>
  </si>
  <si>
    <t>Nasir jamshed</t>
  </si>
  <si>
    <t>Nasum ahmed</t>
  </si>
  <si>
    <t>Nazmul milon</t>
  </si>
  <si>
    <t>Nazmul islam</t>
  </si>
  <si>
    <t>Nicholas pooran</t>
  </si>
  <si>
    <t>Nurul hasan</t>
  </si>
  <si>
    <t>Nuwan kulasekara</t>
  </si>
  <si>
    <t>Owais shah</t>
  </si>
  <si>
    <t>Parvez emon</t>
  </si>
  <si>
    <t>Paul stirling</t>
  </si>
  <si>
    <t>Peter trego</t>
  </si>
  <si>
    <t>Rashid khan</t>
  </si>
  <si>
    <t>Ravi bopara</t>
  </si>
  <si>
    <t>Rayad emrit</t>
  </si>
  <si>
    <t>Rejaur raja</t>
  </si>
  <si>
    <t>Richard ngarava</t>
  </si>
  <si>
    <t>Rilee rossouw</t>
  </si>
  <si>
    <t>Rishad hossain</t>
  </si>
  <si>
    <t>Robbie frylinck</t>
  </si>
  <si>
    <t>Robiul haque</t>
  </si>
  <si>
    <t>Rony talukdar</t>
  </si>
  <si>
    <t>Rubel hossain</t>
  </si>
  <si>
    <t>Ryan burl</t>
  </si>
  <si>
    <t>Ryan doeschate</t>
  </si>
  <si>
    <t>Sabbir rahman</t>
  </si>
  <si>
    <t>Saif hassan</t>
  </si>
  <si>
    <t>Samit patel</t>
  </si>
  <si>
    <t>Saqlain sajib</t>
  </si>
  <si>
    <t>Sean ervine</t>
  </si>
  <si>
    <t>Shadab khan</t>
  </si>
  <si>
    <t>Shadman islam</t>
  </si>
  <si>
    <t>Shafiul islam</t>
  </si>
  <si>
    <t>Shahid afridi</t>
  </si>
  <si>
    <t>Shahriar nafees</t>
  </si>
  <si>
    <t>Shakib hasan</t>
  </si>
  <si>
    <t>Shamim hossain</t>
  </si>
  <si>
    <t>Shamsur rahman</t>
  </si>
  <si>
    <t>Shane watson</t>
  </si>
  <si>
    <t>Shivnarine chanderpaul</t>
  </si>
  <si>
    <t>Shoaib malik</t>
  </si>
  <si>
    <t>ShoaibÂ malik</t>
  </si>
  <si>
    <t>Shohidul islam</t>
  </si>
  <si>
    <t>Shoriful islam</t>
  </si>
  <si>
    <t>Shuvagata hom</t>
  </si>
  <si>
    <t>Sikandar raza</t>
  </si>
  <si>
    <t>SM meherob</t>
  </si>
  <si>
    <t>Sohail tanvir</t>
  </si>
  <si>
    <t>Soumya sarkar</t>
  </si>
  <si>
    <t>Sunil narine</t>
  </si>
  <si>
    <t>Sunzamul ialam</t>
  </si>
  <si>
    <t>Taijul islam</t>
  </si>
  <si>
    <t>Tamim iqbal</t>
  </si>
  <si>
    <t>Tanvir islam</t>
  </si>
  <si>
    <t>Tanzid hasan</t>
  </si>
  <si>
    <t>tanzid hasan</t>
  </si>
  <si>
    <t>Tanzim sakib</t>
  </si>
  <si>
    <t>Taskin ahmed</t>
  </si>
  <si>
    <t>Thisara perera</t>
  </si>
  <si>
    <t>Tillakaratne dilshan</t>
  </si>
  <si>
    <t>Towhid hridoy</t>
  </si>
  <si>
    <t>Upul tharanga</t>
  </si>
  <si>
    <t>Usman khan</t>
  </si>
  <si>
    <t>Wahab riaz</t>
  </si>
  <si>
    <t>Wayne parnell</t>
  </si>
  <si>
    <t>Will jacks</t>
  </si>
  <si>
    <t>Zakir hasan</t>
  </si>
  <si>
    <t>Ziaur rahman</t>
  </si>
  <si>
    <t>Count of Close_Match_Flagverage of Total_Runs</t>
  </si>
  <si>
    <t>Total Matches</t>
  </si>
  <si>
    <t>Highest Match Score</t>
  </si>
  <si>
    <t>Best Win % Team</t>
  </si>
  <si>
    <t>Top Player Name</t>
  </si>
  <si>
    <t>Total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</si>
</sst>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0" fontId="0" fillId="34" borderId="10" xfId="0" applyFont="1" applyFill="1" applyBorder="1"/>
    <xf numFmtId="0" fontId="0" fillId="0" borderId="10" xfId="0" applyFont="1" applyBorder="1"/>
    <xf numFmtId="14" fontId="0" fillId="34" borderId="10" xfId="0" applyNumberFormat="1" applyFont="1" applyFill="1" applyBorder="1"/>
    <xf numFmtId="0" fontId="0" fillId="34" borderId="11" xfId="0" applyFont="1" applyFill="1" applyBorder="1"/>
    <xf numFmtId="14" fontId="0" fillId="34" borderId="11"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7" fillId="35" borderId="0" xfId="0" applyFont="1" applyFill="1"/>
    <xf numFmtId="0" fontId="13" fillId="33" borderId="14" xfId="0" applyFont="1" applyFill="1" applyBorder="1"/>
    <xf numFmtId="0" fontId="13" fillId="33" borderId="11" xfId="0" applyFont="1" applyFill="1" applyBorder="1"/>
    <xf numFmtId="14" fontId="13" fillId="33" borderId="11" xfId="0" applyNumberFormat="1" applyFont="1" applyFill="1" applyBorder="1"/>
    <xf numFmtId="0" fontId="13" fillId="33" borderId="15" xfId="0" applyFont="1" applyFill="1" applyBorder="1"/>
    <xf numFmtId="0" fontId="0" fillId="34" borderId="14" xfId="0" applyFont="1" applyFill="1" applyBorder="1"/>
    <xf numFmtId="0" fontId="0" fillId="34" borderId="15" xfId="0" applyFont="1" applyFill="1" applyBorder="1"/>
    <xf numFmtId="0" fontId="0" fillId="0" borderId="14" xfId="0" applyFont="1" applyBorder="1"/>
    <xf numFmtId="0" fontId="0" fillId="0" borderId="11" xfId="0" applyFont="1" applyBorder="1"/>
    <xf numFmtId="14" fontId="0" fillId="0" borderId="11" xfId="0" applyNumberFormat="1" applyFont="1" applyBorder="1"/>
    <xf numFmtId="0" fontId="0" fillId="0" borderId="15" xfId="0" applyFont="1" applyBorder="1"/>
    <xf numFmtId="0" fontId="0" fillId="34" borderId="12" xfId="0" applyFont="1" applyFill="1" applyBorder="1"/>
    <xf numFmtId="0" fontId="0" fillId="34" borderId="13" xfId="0" applyFont="1" applyFill="1" applyBorder="1"/>
    <xf numFmtId="0" fontId="0" fillId="0" borderId="16" xfId="0" applyBorder="1"/>
    <xf numFmtId="0" fontId="0" fillId="36" borderId="16" xfId="0" applyFill="1" applyBorder="1"/>
    <xf numFmtId="0" fontId="17" fillId="35" borderId="16" xfId="0" applyFont="1" applyFill="1" applyBorder="1"/>
    <xf numFmtId="10" fontId="0" fillId="0" borderId="16" xfId="0" applyNumberFormat="1" applyBorder="1"/>
    <xf numFmtId="1" fontId="17" fillId="35" borderId="16" xfId="0" applyNumberFormat="1" applyFont="1" applyFill="1" applyBorder="1"/>
    <xf numFmtId="1"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numFmt numFmtId="0" formatCode="General"/>
    </dxf>
    <dxf>
      <font>
        <color theme="0"/>
      </font>
    </dxf>
    <dxf>
      <fill>
        <patternFill>
          <bgColor rgb="FF48A111"/>
        </patternFill>
      </fill>
    </dxf>
  </dxfs>
  <tableStyles count="1" defaultTableStyle="TableStyleMedium2" defaultPivotStyle="PivotStyleLight16">
    <tableStyle name="Slicer Style 1" pivot="0" table="0" count="4" xr9:uid="{EA8C71BE-74A5-4A74-A13D-A7B4F425CBED}">
      <tableStyleElement type="wholeTable" dxfId="59"/>
      <tableStyleElement type="headerRow" dxfId="58"/>
    </tableStyle>
  </tableStyles>
  <colors>
    <mruColors>
      <color rgb="FFF2B50B"/>
      <color rgb="FF25671E"/>
      <color rgb="FF48A111"/>
      <color rgb="FFE5CDCD"/>
      <color rgb="FFF7F0F0"/>
      <color rgb="FFFBE6AB"/>
    </mruColors>
  </colors>
  <extLst>
    <ext xmlns:x14="http://schemas.microsoft.com/office/spreadsheetml/2009/9/main" uri="{46F421CA-312F-682f-3DD2-61675219B42D}">
      <x14:dxfs count="2">
        <dxf>
          <fill>
            <patternFill>
              <bgColor rgb="FFFBE6AB"/>
            </patternFill>
          </fill>
        </dxf>
        <dxf>
          <fill>
            <patternFill>
              <bgColor rgb="FFF2B50B"/>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[BPL (2012-2025).xlsx]Team_Analysis!PivotTable4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25671E"/>
                </a:solidFill>
                <a:latin typeface="+mn-lt"/>
                <a:ea typeface="+mn-ea"/>
                <a:cs typeface="+mn-cs"/>
              </a:defRPr>
            </a:pPr>
            <a:r>
              <a:rPr lang="en-ID" sz="1400" b="1" i="0" u="none" strike="noStrike" kern="1200" spc="0" baseline="0">
                <a:solidFill>
                  <a:srgbClr val="25671E"/>
                </a:solidFill>
              </a:rPr>
              <a:t>Average Runs per Season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25671E"/>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2B5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Team_Analysis!$B$404</c:f>
              <c:strCache>
                <c:ptCount val="1"/>
                <c:pt idx="0">
                  <c:v>Total</c:v>
                </c:pt>
              </c:strCache>
            </c:strRef>
          </c:tx>
          <c:spPr>
            <a:ln w="28575" cap="rnd">
              <a:solidFill>
                <a:srgbClr val="F2B50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25671E"/>
                </a:solidFill>
                <a:prstDash val="sysDot"/>
              </a:ln>
              <a:effectLst/>
            </c:spPr>
            <c:trendlineType val="linear"/>
            <c:dispRSqr val="0"/>
            <c:dispEq val="0"/>
          </c:trendline>
          <c:cat>
            <c:strRef>
              <c:f>Team_Analysis!$A$405:$A$416</c:f>
              <c:strCache>
                <c:ptCount val="11"/>
                <c:pt idx="0">
                  <c:v>2011</c:v>
                </c:pt>
                <c:pt idx="1">
                  <c:v>2012</c:v>
                </c:pt>
                <c:pt idx="2">
                  <c:v>2015</c:v>
                </c:pt>
                <c:pt idx="3">
                  <c:v>2016</c:v>
                </c:pt>
                <c:pt idx="4">
                  <c:v>2017</c:v>
                </c:pt>
                <c:pt idx="5">
                  <c:v>2018</c:v>
                </c:pt>
                <c:pt idx="6">
                  <c:v>2019</c:v>
                </c:pt>
                <c:pt idx="7">
                  <c:v>2021</c:v>
                </c:pt>
                <c:pt idx="8">
                  <c:v>2022</c:v>
                </c:pt>
                <c:pt idx="9">
                  <c:v>2023</c:v>
                </c:pt>
                <c:pt idx="10">
                  <c:v>2024</c:v>
                </c:pt>
              </c:strCache>
            </c:strRef>
          </c:cat>
          <c:val>
            <c:numRef>
              <c:f>Team_Analysis!$B$405:$B$416</c:f>
              <c:numCache>
                <c:formatCode>0</c:formatCode>
                <c:ptCount val="11"/>
                <c:pt idx="0">
                  <c:v>298</c:v>
                </c:pt>
                <c:pt idx="1">
                  <c:v>299.13043478260869</c:v>
                </c:pt>
                <c:pt idx="2">
                  <c:v>257.69696969696969</c:v>
                </c:pt>
                <c:pt idx="3">
                  <c:v>282.52173913043481</c:v>
                </c:pt>
                <c:pt idx="4">
                  <c:v>302.61363636363637</c:v>
                </c:pt>
                <c:pt idx="5">
                  <c:v>302.23913043478262</c:v>
                </c:pt>
                <c:pt idx="6">
                  <c:v>315.13043478260869</c:v>
                </c:pt>
                <c:pt idx="7">
                  <c:v>298.42</c:v>
                </c:pt>
                <c:pt idx="8">
                  <c:v>304.93478260869563</c:v>
                </c:pt>
                <c:pt idx="9">
                  <c:v>302.58695652173913</c:v>
                </c:pt>
                <c:pt idx="10">
                  <c:v>318.41304347826087</c:v>
                </c:pt>
              </c:numCache>
            </c:numRef>
          </c:val>
          <c:smooth val="0"/>
          <c:extLst>
            <c:ext xmlns:c16="http://schemas.microsoft.com/office/drawing/2014/chart" uri="{C3380CC4-5D6E-409C-BE32-E72D297353CC}">
              <c16:uniqueId val="{00000001-7B34-4ECE-AFEC-7216B4B11AE6}"/>
            </c:ext>
          </c:extLst>
        </c:ser>
        <c:dLbls>
          <c:dLblPos val="t"/>
          <c:showLegendKey val="0"/>
          <c:showVal val="1"/>
          <c:showCatName val="0"/>
          <c:showSerName val="0"/>
          <c:showPercent val="0"/>
          <c:showBubbleSize val="0"/>
        </c:dLbls>
        <c:smooth val="0"/>
        <c:axId val="1273920032"/>
        <c:axId val="1273921472"/>
      </c:lineChart>
      <c:catAx>
        <c:axId val="12739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73921472"/>
        <c:crosses val="autoZero"/>
        <c:auto val="1"/>
        <c:lblAlgn val="ctr"/>
        <c:lblOffset val="100"/>
        <c:noMultiLvlLbl val="0"/>
      </c:catAx>
      <c:valAx>
        <c:axId val="1273921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7392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[BPL (2012-2025).xlsx]Team_Analysis!Venue Analysis</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25671E"/>
                </a:solidFill>
                <a:latin typeface="+mn-lt"/>
                <a:ea typeface="+mn-ea"/>
                <a:cs typeface="+mn-cs"/>
              </a:defRPr>
            </a:pPr>
            <a:r>
              <a:rPr lang="en-ID" sz="1400" b="1" i="0" u="none" strike="noStrike" kern="1200" spc="0" baseline="0">
                <a:solidFill>
                  <a:srgbClr val="25671E"/>
                </a:solidFill>
              </a:rPr>
              <a:t>Venue-Based Average Runs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25671E"/>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54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hade val="76000"/>
            </a:schemeClr>
          </a:solidFill>
          <a:ln w="19050">
            <a:solidFill>
              <a:schemeClr val="lt1"/>
            </a:solidFill>
          </a:ln>
          <a:effectLst/>
        </c:spPr>
      </c:pivotFmt>
      <c:pivotFmt>
        <c:idx val="6"/>
        <c:spPr>
          <a:solidFill>
            <a:schemeClr val="accent6">
              <a:shade val="53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pieChart>
        <c:varyColors val="1"/>
        <c:ser>
          <c:idx val="0"/>
          <c:order val="0"/>
          <c:tx>
            <c:strRef>
              <c:f>Team_Analysis!$B$393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9F6B-4E34-B137-70E124A3486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9F6B-4E34-B137-70E124A3486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F6B-4E34-B137-70E124A34869}"/>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9F6B-4E34-B137-70E124A34869}"/>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9F6B-4E34-B137-70E124A34869}"/>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Team_Analysis!$A$394:$A$399</c:f>
              <c:strCache>
                <c:ptCount val="5"/>
                <c:pt idx="0">
                  <c:v>MAAziz</c:v>
                </c:pt>
                <c:pt idx="1">
                  <c:v>SAbuNaserK</c:v>
                </c:pt>
                <c:pt idx="2">
                  <c:v>SBNCS</c:v>
                </c:pt>
                <c:pt idx="3">
                  <c:v>SylhetICS</c:v>
                </c:pt>
                <c:pt idx="4">
                  <c:v>ZACS</c:v>
                </c:pt>
              </c:strCache>
            </c:strRef>
          </c:cat>
          <c:val>
            <c:numRef>
              <c:f>Team_Analysis!$B$394:$B$399</c:f>
              <c:numCache>
                <c:formatCode>0</c:formatCode>
                <c:ptCount val="5"/>
                <c:pt idx="0">
                  <c:v>294.10000000000002</c:v>
                </c:pt>
                <c:pt idx="1">
                  <c:v>295.125</c:v>
                </c:pt>
                <c:pt idx="2">
                  <c:v>290.27986348122869</c:v>
                </c:pt>
                <c:pt idx="3">
                  <c:v>311.81666666666666</c:v>
                </c:pt>
                <c:pt idx="4">
                  <c:v>317.82727272727271</c:v>
                </c:pt>
              </c:numCache>
            </c:numRef>
          </c:val>
          <c:extLst>
            <c:ext xmlns:c16="http://schemas.microsoft.com/office/drawing/2014/chart" uri="{C3380CC4-5D6E-409C-BE32-E72D297353CC}">
              <c16:uniqueId val="{0000000A-9F6B-4E34-B137-70E124A3486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[BPL (2012-2025).xlsx]Team_Analysis!Player_Analysis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25671E"/>
                </a:solidFill>
                <a:latin typeface="+mn-lt"/>
                <a:ea typeface="+mn-ea"/>
                <a:cs typeface="+mn-cs"/>
              </a:defRPr>
            </a:pPr>
            <a:r>
              <a:rPr lang="en-ID" sz="1400" b="1" i="0" u="none" strike="noStrike" kern="1200" spc="0" baseline="0">
                <a:solidFill>
                  <a:srgbClr val="25671E"/>
                </a:solidFill>
              </a:rPr>
              <a:t>Top Impact Players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25671E"/>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671E"/>
          </a:solidFill>
          <a:ln>
            <a:noFill/>
          </a:ln>
          <a:effectLst/>
        </c:spPr>
      </c:pivotFmt>
      <c:pivotFmt>
        <c:idx val="2"/>
        <c:spPr>
          <a:solidFill>
            <a:srgbClr val="48A111"/>
          </a:solidFill>
          <a:ln>
            <a:noFill/>
          </a:ln>
          <a:effectLst/>
        </c:spPr>
      </c:pivotFmt>
      <c:pivotFmt>
        <c:idx val="3"/>
        <c:spPr>
          <a:solidFill>
            <a:srgbClr val="F2B50B"/>
          </a:solidFill>
          <a:ln>
            <a:noFill/>
          </a:ln>
          <a:effectLst/>
        </c:spPr>
      </c:pivotFmt>
      <c:pivotFmt>
        <c:idx val="4"/>
        <c:spPr>
          <a:solidFill>
            <a:srgbClr val="FBE6AB"/>
          </a:solidFill>
          <a:ln>
            <a:noFill/>
          </a:ln>
          <a:effectLst/>
        </c:spPr>
      </c:pivotFmt>
      <c:pivotFmt>
        <c:idx val="5"/>
        <c:spPr>
          <a:solidFill>
            <a:srgbClr val="F7F0F0"/>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8A111"/>
          </a:solidFill>
          <a:ln>
            <a:noFill/>
          </a:ln>
          <a:effectLst/>
        </c:spPr>
      </c:pivotFmt>
      <c:pivotFmt>
        <c:idx val="8"/>
        <c:spPr>
          <a:solidFill>
            <a:srgbClr val="F2B50B"/>
          </a:solidFill>
          <a:ln>
            <a:noFill/>
          </a:ln>
          <a:effectLst/>
        </c:spPr>
      </c:pivotFmt>
      <c:pivotFmt>
        <c:idx val="9"/>
        <c:spPr>
          <a:solidFill>
            <a:srgbClr val="FBE6AB"/>
          </a:solidFill>
          <a:ln>
            <a:noFill/>
          </a:ln>
          <a:effectLst/>
        </c:spPr>
      </c:pivotFmt>
      <c:pivotFmt>
        <c:idx val="10"/>
        <c:spPr>
          <a:solidFill>
            <a:srgbClr val="25671E"/>
          </a:solidFill>
          <a:ln>
            <a:noFill/>
          </a:ln>
          <a:effectLst/>
        </c:spPr>
      </c:pivotFmt>
      <c:pivotFmt>
        <c:idx val="11"/>
        <c:spPr>
          <a:solidFill>
            <a:srgbClr val="F7F0F0"/>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8A111"/>
          </a:solidFill>
          <a:ln>
            <a:noFill/>
          </a:ln>
          <a:effectLst/>
        </c:spPr>
      </c:pivotFmt>
      <c:pivotFmt>
        <c:idx val="14"/>
        <c:spPr>
          <a:solidFill>
            <a:srgbClr val="F2B50B"/>
          </a:solidFill>
          <a:ln>
            <a:noFill/>
          </a:ln>
          <a:effectLst/>
        </c:spPr>
      </c:pivotFmt>
      <c:pivotFmt>
        <c:idx val="15"/>
        <c:spPr>
          <a:solidFill>
            <a:srgbClr val="FBE6AB"/>
          </a:solidFill>
          <a:ln>
            <a:noFill/>
          </a:ln>
          <a:effectLst/>
        </c:spPr>
      </c:pivotFmt>
      <c:pivotFmt>
        <c:idx val="16"/>
        <c:spPr>
          <a:solidFill>
            <a:srgbClr val="25671E"/>
          </a:solidFill>
          <a:ln>
            <a:noFill/>
          </a:ln>
          <a:effectLst/>
        </c:spPr>
      </c:pivotFmt>
      <c:pivotFmt>
        <c:idx val="17"/>
        <c:spPr>
          <a:solidFill>
            <a:srgbClr val="E5CDCD"/>
          </a:solidFill>
          <a:ln>
            <a:noFill/>
          </a:ln>
          <a:effectLst/>
        </c:spPr>
      </c:pivotFmt>
    </c:pivotFmts>
    <c:plotArea>
      <c:layout/>
      <c:barChart>
        <c:barDir val="col"/>
        <c:grouping val="clustered"/>
        <c:varyColors val="0"/>
        <c:ser>
          <c:idx val="0"/>
          <c:order val="0"/>
          <c:tx>
            <c:strRef>
              <c:f>Team_Analysis!$B$127</c:f>
              <c:strCache>
                <c:ptCount val="1"/>
                <c:pt idx="0">
                  <c:v>Total</c:v>
                </c:pt>
              </c:strCache>
            </c:strRef>
          </c:tx>
          <c:spPr>
            <a:solidFill>
              <a:schemeClr val="accent6"/>
            </a:solidFill>
            <a:ln>
              <a:noFill/>
            </a:ln>
            <a:effectLst/>
          </c:spPr>
          <c:invertIfNegative val="0"/>
          <c:dPt>
            <c:idx val="0"/>
            <c:invertIfNegative val="0"/>
            <c:bubble3D val="0"/>
            <c:spPr>
              <a:solidFill>
                <a:srgbClr val="48A111"/>
              </a:solidFill>
              <a:ln>
                <a:noFill/>
              </a:ln>
              <a:effectLst/>
            </c:spPr>
            <c:extLst>
              <c:ext xmlns:c16="http://schemas.microsoft.com/office/drawing/2014/chart" uri="{C3380CC4-5D6E-409C-BE32-E72D297353CC}">
                <c16:uniqueId val="{00000001-F4D8-4ED7-848B-619A5490447E}"/>
              </c:ext>
            </c:extLst>
          </c:dPt>
          <c:dPt>
            <c:idx val="1"/>
            <c:invertIfNegative val="0"/>
            <c:bubble3D val="0"/>
            <c:spPr>
              <a:solidFill>
                <a:srgbClr val="F2B50B"/>
              </a:solidFill>
              <a:ln>
                <a:noFill/>
              </a:ln>
              <a:effectLst/>
            </c:spPr>
            <c:extLst>
              <c:ext xmlns:c16="http://schemas.microsoft.com/office/drawing/2014/chart" uri="{C3380CC4-5D6E-409C-BE32-E72D297353CC}">
                <c16:uniqueId val="{00000003-F4D8-4ED7-848B-619A5490447E}"/>
              </c:ext>
            </c:extLst>
          </c:dPt>
          <c:dPt>
            <c:idx val="2"/>
            <c:invertIfNegative val="0"/>
            <c:bubble3D val="0"/>
            <c:spPr>
              <a:solidFill>
                <a:srgbClr val="FBE6AB"/>
              </a:solidFill>
              <a:ln>
                <a:noFill/>
              </a:ln>
              <a:effectLst/>
            </c:spPr>
            <c:extLst>
              <c:ext xmlns:c16="http://schemas.microsoft.com/office/drawing/2014/chart" uri="{C3380CC4-5D6E-409C-BE32-E72D297353CC}">
                <c16:uniqueId val="{00000005-F4D8-4ED7-848B-619A5490447E}"/>
              </c:ext>
            </c:extLst>
          </c:dPt>
          <c:dPt>
            <c:idx val="3"/>
            <c:invertIfNegative val="0"/>
            <c:bubble3D val="0"/>
            <c:spPr>
              <a:solidFill>
                <a:srgbClr val="25671E"/>
              </a:solidFill>
              <a:ln>
                <a:noFill/>
              </a:ln>
              <a:effectLst/>
            </c:spPr>
            <c:extLst>
              <c:ext xmlns:c16="http://schemas.microsoft.com/office/drawing/2014/chart" uri="{C3380CC4-5D6E-409C-BE32-E72D297353CC}">
                <c16:uniqueId val="{00000007-F4D8-4ED7-848B-619A5490447E}"/>
              </c:ext>
            </c:extLst>
          </c:dPt>
          <c:dPt>
            <c:idx val="4"/>
            <c:invertIfNegative val="0"/>
            <c:bubble3D val="0"/>
            <c:spPr>
              <a:solidFill>
                <a:srgbClr val="E5CDCD"/>
              </a:solidFill>
              <a:ln>
                <a:noFill/>
              </a:ln>
              <a:effectLst/>
            </c:spPr>
            <c:extLst>
              <c:ext xmlns:c16="http://schemas.microsoft.com/office/drawing/2014/chart" uri="{C3380CC4-5D6E-409C-BE32-E72D297353CC}">
                <c16:uniqueId val="{00000009-F4D8-4ED7-848B-619A549044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Team_Analysis!$A$128:$A$133</c:f>
              <c:strCache>
                <c:ptCount val="5"/>
                <c:pt idx="0">
                  <c:v>Mahmudullah</c:v>
                </c:pt>
                <c:pt idx="1">
                  <c:v>Mehidy Hasan Miraz</c:v>
                </c:pt>
                <c:pt idx="2">
                  <c:v>Mushfiqur Rahim</c:v>
                </c:pt>
                <c:pt idx="3">
                  <c:v>Shakib Al Hasan</c:v>
                </c:pt>
                <c:pt idx="4">
                  <c:v>Tamim Iqbal</c:v>
                </c:pt>
              </c:strCache>
            </c:strRef>
          </c:cat>
          <c:val>
            <c:numRef>
              <c:f>Team_Analysis!$B$128:$B$133</c:f>
              <c:numCache>
                <c:formatCode>0</c:formatCode>
                <c:ptCount val="5"/>
                <c:pt idx="0">
                  <c:v>26</c:v>
                </c:pt>
                <c:pt idx="1">
                  <c:v>16</c:v>
                </c:pt>
                <c:pt idx="2">
                  <c:v>16</c:v>
                </c:pt>
                <c:pt idx="3">
                  <c:v>38</c:v>
                </c:pt>
                <c:pt idx="4">
                  <c:v>24</c:v>
                </c:pt>
              </c:numCache>
            </c:numRef>
          </c:val>
          <c:extLst>
            <c:ext xmlns:c16="http://schemas.microsoft.com/office/drawing/2014/chart" uri="{C3380CC4-5D6E-409C-BE32-E72D297353CC}">
              <c16:uniqueId val="{0000000B-F4D8-4ED7-848B-619A5490447E}"/>
            </c:ext>
          </c:extLst>
        </c:ser>
        <c:dLbls>
          <c:dLblPos val="outEnd"/>
          <c:showLegendKey val="0"/>
          <c:showVal val="1"/>
          <c:showCatName val="0"/>
          <c:showSerName val="0"/>
          <c:showPercent val="0"/>
          <c:showBubbleSize val="0"/>
        </c:dLbls>
        <c:gapWidth val="219"/>
        <c:overlap val="-27"/>
        <c:axId val="1653421200"/>
        <c:axId val="1653420240"/>
      </c:barChart>
      <c:catAx>
        <c:axId val="16534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420240"/>
        <c:crosses val="autoZero"/>
        <c:auto val="1"/>
        <c:lblAlgn val="ctr"/>
        <c:lblOffset val="100"/>
        <c:noMultiLvlLbl val="0"/>
      </c:catAx>
      <c:valAx>
        <c:axId val="16534202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42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[BPL (2012-2025).xlsx]Team_Analysis!Win % Calculation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kern="1200" spc="0" baseline="0">
                <a:solidFill>
                  <a:srgbClr val="25671E"/>
                </a:solidFill>
              </a:rPr>
              <a:t>Team Win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7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2B50B"/>
          </a:solidFill>
          <a:ln>
            <a:no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Team_Analysis!$B$43</c:f>
              <c:strCache>
                <c:ptCount val="1"/>
                <c:pt idx="0">
                  <c:v>Count of Team_Name</c:v>
                </c:pt>
              </c:strCache>
            </c:strRef>
          </c:tx>
          <c:spPr>
            <a:solidFill>
              <a:srgbClr val="25671E"/>
            </a:solidFill>
            <a:ln>
              <a:noFill/>
            </a:ln>
            <a:effectLst/>
          </c:spPr>
          <c:invertIfNegative val="0"/>
          <c:cat>
            <c:strRef>
              <c:f>Team_Analysis!$A$44:$A$76</c:f>
              <c:strCache>
                <c:ptCount val="32"/>
                <c:pt idx="0">
                  <c:v>Barisal Bulls</c:v>
                </c:pt>
                <c:pt idx="1">
                  <c:v>Barisal Burners</c:v>
                </c:pt>
                <c:pt idx="2">
                  <c:v>Chattogram Challengers</c:v>
                </c:pt>
                <c:pt idx="3">
                  <c:v>Chittagong Kings</c:v>
                </c:pt>
                <c:pt idx="4">
                  <c:v>Chittagong Vikings</c:v>
                </c:pt>
                <c:pt idx="5">
                  <c:v>Comilla Victorians</c:v>
                </c:pt>
                <c:pt idx="6">
                  <c:v>Comilla Victorians </c:v>
                </c:pt>
                <c:pt idx="7">
                  <c:v>Cumilla Warriors</c:v>
                </c:pt>
                <c:pt idx="8">
                  <c:v>Dhaka Capital</c:v>
                </c:pt>
                <c:pt idx="9">
                  <c:v>Dhaka Dominators</c:v>
                </c:pt>
                <c:pt idx="10">
                  <c:v>Dhaka Dynamites</c:v>
                </c:pt>
                <c:pt idx="11">
                  <c:v>Dhaka Gladiators</c:v>
                </c:pt>
                <c:pt idx="12">
                  <c:v>Dhaka Platoon</c:v>
                </c:pt>
                <c:pt idx="13">
                  <c:v>Durbar Rajshahi</c:v>
                </c:pt>
                <c:pt idx="14">
                  <c:v>Durdanto Dhaka</c:v>
                </c:pt>
                <c:pt idx="15">
                  <c:v>Duronto Rajshahi</c:v>
                </c:pt>
                <c:pt idx="16">
                  <c:v>Fortune Barishal</c:v>
                </c:pt>
                <c:pt idx="17">
                  <c:v>Fortune Barishal </c:v>
                </c:pt>
                <c:pt idx="18">
                  <c:v>Khulna Royal Bengals</c:v>
                </c:pt>
                <c:pt idx="19">
                  <c:v>Khulna Tigers</c:v>
                </c:pt>
                <c:pt idx="20">
                  <c:v>Khulna Titans</c:v>
                </c:pt>
                <c:pt idx="21">
                  <c:v>Minister Group Dhaka</c:v>
                </c:pt>
                <c:pt idx="22">
                  <c:v>Rajshahi Kings</c:v>
                </c:pt>
                <c:pt idx="23">
                  <c:v>Rajshahi Royals</c:v>
                </c:pt>
                <c:pt idx="24">
                  <c:v>Rangpur Rangers</c:v>
                </c:pt>
                <c:pt idx="25">
                  <c:v>Rangpur Riders</c:v>
                </c:pt>
                <c:pt idx="26">
                  <c:v>Sylhet Royals</c:v>
                </c:pt>
                <c:pt idx="27">
                  <c:v>Sylhet Sixers</c:v>
                </c:pt>
                <c:pt idx="28">
                  <c:v>Sylhet Strikers</c:v>
                </c:pt>
                <c:pt idx="29">
                  <c:v>Sylhet Sunrisers</c:v>
                </c:pt>
                <c:pt idx="30">
                  <c:v>Sylhet Super Stars</c:v>
                </c:pt>
                <c:pt idx="31">
                  <c:v>Sylhet Thunder</c:v>
                </c:pt>
              </c:strCache>
            </c:strRef>
          </c:cat>
          <c:val>
            <c:numRef>
              <c:f>Team_Analysis!$B$44:$B$76</c:f>
              <c:numCache>
                <c:formatCode>General</c:formatCode>
                <c:ptCount val="32"/>
                <c:pt idx="0">
                  <c:v>24</c:v>
                </c:pt>
                <c:pt idx="1">
                  <c:v>24</c:v>
                </c:pt>
                <c:pt idx="2">
                  <c:v>59</c:v>
                </c:pt>
                <c:pt idx="3">
                  <c:v>40</c:v>
                </c:pt>
                <c:pt idx="4">
                  <c:v>47</c:v>
                </c:pt>
                <c:pt idx="5">
                  <c:v>89</c:v>
                </c:pt>
                <c:pt idx="6">
                  <c:v>8</c:v>
                </c:pt>
                <c:pt idx="7">
                  <c:v>12</c:v>
                </c:pt>
                <c:pt idx="8">
                  <c:v>12</c:v>
                </c:pt>
                <c:pt idx="9">
                  <c:v>12</c:v>
                </c:pt>
                <c:pt idx="10">
                  <c:v>52</c:v>
                </c:pt>
                <c:pt idx="11">
                  <c:v>26</c:v>
                </c:pt>
                <c:pt idx="12">
                  <c:v>13</c:v>
                </c:pt>
                <c:pt idx="13">
                  <c:v>11</c:v>
                </c:pt>
                <c:pt idx="14">
                  <c:v>12</c:v>
                </c:pt>
                <c:pt idx="15">
                  <c:v>24</c:v>
                </c:pt>
                <c:pt idx="16">
                  <c:v>45</c:v>
                </c:pt>
                <c:pt idx="17">
                  <c:v>14</c:v>
                </c:pt>
                <c:pt idx="18">
                  <c:v>22</c:v>
                </c:pt>
                <c:pt idx="19">
                  <c:v>69</c:v>
                </c:pt>
                <c:pt idx="20">
                  <c:v>38</c:v>
                </c:pt>
                <c:pt idx="21">
                  <c:v>15</c:v>
                </c:pt>
                <c:pt idx="22">
                  <c:v>39</c:v>
                </c:pt>
                <c:pt idx="23">
                  <c:v>15</c:v>
                </c:pt>
                <c:pt idx="24">
                  <c:v>26</c:v>
                </c:pt>
                <c:pt idx="25">
                  <c:v>93</c:v>
                </c:pt>
                <c:pt idx="26">
                  <c:v>23</c:v>
                </c:pt>
                <c:pt idx="27">
                  <c:v>23</c:v>
                </c:pt>
                <c:pt idx="28">
                  <c:v>39</c:v>
                </c:pt>
                <c:pt idx="29">
                  <c:v>14</c:v>
                </c:pt>
                <c:pt idx="30">
                  <c:v>10</c:v>
                </c:pt>
                <c:pt idx="31">
                  <c:v>12</c:v>
                </c:pt>
              </c:numCache>
            </c:numRef>
          </c:val>
          <c:extLst>
            <c:ext xmlns:c16="http://schemas.microsoft.com/office/drawing/2014/chart" uri="{C3380CC4-5D6E-409C-BE32-E72D297353CC}">
              <c16:uniqueId val="{00000000-72C2-4999-AD28-809057A7537B}"/>
            </c:ext>
          </c:extLst>
        </c:ser>
        <c:ser>
          <c:idx val="1"/>
          <c:order val="1"/>
          <c:tx>
            <c:strRef>
              <c:f>Team_Analysis!$C$43</c:f>
              <c:strCache>
                <c:ptCount val="1"/>
                <c:pt idx="0">
                  <c:v>Sum of Win_Flag</c:v>
                </c:pt>
              </c:strCache>
            </c:strRef>
          </c:tx>
          <c:spPr>
            <a:solidFill>
              <a:srgbClr val="F2B50B"/>
            </a:solidFill>
            <a:ln>
              <a:noFill/>
            </a:ln>
            <a:effectLst>
              <a:outerShdw blurRad="50800" dist="50800" dir="5400000" algn="ctr" rotWithShape="0">
                <a:schemeClr val="bg1"/>
              </a:outerShdw>
            </a:effectLst>
          </c:spPr>
          <c:invertIfNegative val="0"/>
          <c:cat>
            <c:strRef>
              <c:f>Team_Analysis!$A$44:$A$76</c:f>
              <c:strCache>
                <c:ptCount val="32"/>
                <c:pt idx="0">
                  <c:v>Barisal Bulls</c:v>
                </c:pt>
                <c:pt idx="1">
                  <c:v>Barisal Burners</c:v>
                </c:pt>
                <c:pt idx="2">
                  <c:v>Chattogram Challengers</c:v>
                </c:pt>
                <c:pt idx="3">
                  <c:v>Chittagong Kings</c:v>
                </c:pt>
                <c:pt idx="4">
                  <c:v>Chittagong Vikings</c:v>
                </c:pt>
                <c:pt idx="5">
                  <c:v>Comilla Victorians</c:v>
                </c:pt>
                <c:pt idx="6">
                  <c:v>Comilla Victorians </c:v>
                </c:pt>
                <c:pt idx="7">
                  <c:v>Cumilla Warriors</c:v>
                </c:pt>
                <c:pt idx="8">
                  <c:v>Dhaka Capital</c:v>
                </c:pt>
                <c:pt idx="9">
                  <c:v>Dhaka Dominators</c:v>
                </c:pt>
                <c:pt idx="10">
                  <c:v>Dhaka Dynamites</c:v>
                </c:pt>
                <c:pt idx="11">
                  <c:v>Dhaka Gladiators</c:v>
                </c:pt>
                <c:pt idx="12">
                  <c:v>Dhaka Platoon</c:v>
                </c:pt>
                <c:pt idx="13">
                  <c:v>Durbar Rajshahi</c:v>
                </c:pt>
                <c:pt idx="14">
                  <c:v>Durdanto Dhaka</c:v>
                </c:pt>
                <c:pt idx="15">
                  <c:v>Duronto Rajshahi</c:v>
                </c:pt>
                <c:pt idx="16">
                  <c:v>Fortune Barishal</c:v>
                </c:pt>
                <c:pt idx="17">
                  <c:v>Fortune Barishal </c:v>
                </c:pt>
                <c:pt idx="18">
                  <c:v>Khulna Royal Bengals</c:v>
                </c:pt>
                <c:pt idx="19">
                  <c:v>Khulna Tigers</c:v>
                </c:pt>
                <c:pt idx="20">
                  <c:v>Khulna Titans</c:v>
                </c:pt>
                <c:pt idx="21">
                  <c:v>Minister Group Dhaka</c:v>
                </c:pt>
                <c:pt idx="22">
                  <c:v>Rajshahi Kings</c:v>
                </c:pt>
                <c:pt idx="23">
                  <c:v>Rajshahi Royals</c:v>
                </c:pt>
                <c:pt idx="24">
                  <c:v>Rangpur Rangers</c:v>
                </c:pt>
                <c:pt idx="25">
                  <c:v>Rangpur Riders</c:v>
                </c:pt>
                <c:pt idx="26">
                  <c:v>Sylhet Royals</c:v>
                </c:pt>
                <c:pt idx="27">
                  <c:v>Sylhet Sixers</c:v>
                </c:pt>
                <c:pt idx="28">
                  <c:v>Sylhet Strikers</c:v>
                </c:pt>
                <c:pt idx="29">
                  <c:v>Sylhet Sunrisers</c:v>
                </c:pt>
                <c:pt idx="30">
                  <c:v>Sylhet Super Stars</c:v>
                </c:pt>
                <c:pt idx="31">
                  <c:v>Sylhet Thunder</c:v>
                </c:pt>
              </c:strCache>
            </c:strRef>
          </c:cat>
          <c:val>
            <c:numRef>
              <c:f>Team_Analysis!$C$44:$C$76</c:f>
              <c:numCache>
                <c:formatCode>General</c:formatCode>
                <c:ptCount val="32"/>
                <c:pt idx="0">
                  <c:v>11</c:v>
                </c:pt>
                <c:pt idx="1">
                  <c:v>11</c:v>
                </c:pt>
                <c:pt idx="2">
                  <c:v>28</c:v>
                </c:pt>
                <c:pt idx="3">
                  <c:v>22</c:v>
                </c:pt>
                <c:pt idx="4">
                  <c:v>18</c:v>
                </c:pt>
                <c:pt idx="5">
                  <c:v>60</c:v>
                </c:pt>
                <c:pt idx="6">
                  <c:v>5</c:v>
                </c:pt>
                <c:pt idx="7">
                  <c:v>4</c:v>
                </c:pt>
                <c:pt idx="8">
                  <c:v>3</c:v>
                </c:pt>
                <c:pt idx="9">
                  <c:v>3</c:v>
                </c:pt>
                <c:pt idx="10">
                  <c:v>30</c:v>
                </c:pt>
                <c:pt idx="11">
                  <c:v>18</c:v>
                </c:pt>
                <c:pt idx="12">
                  <c:v>7</c:v>
                </c:pt>
                <c:pt idx="13">
                  <c:v>5</c:v>
                </c:pt>
                <c:pt idx="14">
                  <c:v>1</c:v>
                </c:pt>
                <c:pt idx="15">
                  <c:v>12</c:v>
                </c:pt>
                <c:pt idx="16">
                  <c:v>32</c:v>
                </c:pt>
                <c:pt idx="17">
                  <c:v>9</c:v>
                </c:pt>
                <c:pt idx="18">
                  <c:v>8</c:v>
                </c:pt>
                <c:pt idx="19">
                  <c:v>32</c:v>
                </c:pt>
                <c:pt idx="20">
                  <c:v>16</c:v>
                </c:pt>
                <c:pt idx="21">
                  <c:v>7</c:v>
                </c:pt>
                <c:pt idx="22">
                  <c:v>18</c:v>
                </c:pt>
                <c:pt idx="23">
                  <c:v>10</c:v>
                </c:pt>
                <c:pt idx="24">
                  <c:v>14</c:v>
                </c:pt>
                <c:pt idx="25">
                  <c:v>54</c:v>
                </c:pt>
                <c:pt idx="26">
                  <c:v>11</c:v>
                </c:pt>
                <c:pt idx="27">
                  <c:v>9</c:v>
                </c:pt>
                <c:pt idx="28">
                  <c:v>16</c:v>
                </c:pt>
                <c:pt idx="29">
                  <c:v>2</c:v>
                </c:pt>
                <c:pt idx="30">
                  <c:v>3</c:v>
                </c:pt>
                <c:pt idx="31">
                  <c:v>2</c:v>
                </c:pt>
              </c:numCache>
            </c:numRef>
          </c:val>
          <c:extLst>
            <c:ext xmlns:c16="http://schemas.microsoft.com/office/drawing/2014/chart" uri="{C3380CC4-5D6E-409C-BE32-E72D297353CC}">
              <c16:uniqueId val="{00000001-72C2-4999-AD28-809057A7537B}"/>
            </c:ext>
          </c:extLst>
        </c:ser>
        <c:dLbls>
          <c:showLegendKey val="0"/>
          <c:showVal val="0"/>
          <c:showCatName val="0"/>
          <c:showSerName val="0"/>
          <c:showPercent val="0"/>
          <c:showBubbleSize val="0"/>
        </c:dLbls>
        <c:gapWidth val="182"/>
        <c:axId val="1653192480"/>
        <c:axId val="1653193920"/>
      </c:barChart>
      <c:catAx>
        <c:axId val="165319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53193920"/>
        <c:crosses val="autoZero"/>
        <c:auto val="1"/>
        <c:lblAlgn val="ctr"/>
        <c:lblOffset val="100"/>
        <c:noMultiLvlLbl val="0"/>
      </c:catAx>
      <c:valAx>
        <c:axId val="165319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19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[BPL (2012-2025).xlsx]Team_Analysis!170+ Matches Trend</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1" i="0" u="none" strike="noStrike" kern="1200" spc="0" baseline="0">
                <a:solidFill>
                  <a:srgbClr val="25671E"/>
                </a:solidFill>
              </a:rPr>
              <a:t>High Scoring Matches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B50B"/>
          </a:solidFill>
          <a:ln>
            <a:noFill/>
          </a:ln>
          <a:effectLst/>
        </c:spPr>
      </c:pivotFmt>
      <c:pivotFmt>
        <c:idx val="2"/>
        <c:spPr>
          <a:solidFill>
            <a:srgbClr val="25671E"/>
          </a:solidFill>
          <a:ln>
            <a:noFill/>
          </a:ln>
          <a:effectLst/>
        </c:spPr>
      </c:pivotFmt>
      <c:pivotFmt>
        <c:idx val="3"/>
        <c:spPr>
          <a:solidFill>
            <a:srgbClr val="48A111"/>
          </a:solidFill>
          <a:ln>
            <a:noFill/>
          </a:ln>
          <a:effectLst/>
        </c:spPr>
      </c:pivotFmt>
      <c:pivotFmt>
        <c:idx val="4"/>
        <c:spPr>
          <a:solidFill>
            <a:srgbClr val="25671E"/>
          </a:solidFill>
          <a:ln>
            <a:noFill/>
          </a:ln>
          <a:effectLst/>
        </c:spPr>
      </c:pivotFmt>
      <c:pivotFmt>
        <c:idx val="5"/>
        <c:spPr>
          <a:solidFill>
            <a:srgbClr val="F2B50B"/>
          </a:solidFill>
          <a:ln>
            <a:noFill/>
          </a:ln>
          <a:effectLst/>
        </c:spPr>
      </c:pivotFmt>
      <c:pivotFmt>
        <c:idx val="6"/>
        <c:spPr>
          <a:solidFill>
            <a:srgbClr val="48A111"/>
          </a:solidFill>
          <a:ln>
            <a:noFill/>
          </a:ln>
          <a:effectLst/>
        </c:spPr>
      </c:pivotFmt>
      <c:pivotFmt>
        <c:idx val="7"/>
        <c:spPr>
          <a:solidFill>
            <a:srgbClr val="25671E"/>
          </a:solidFill>
          <a:ln>
            <a:noFill/>
          </a:ln>
          <a:effectLst/>
        </c:spPr>
      </c:pivotFmt>
      <c:pivotFmt>
        <c:idx val="8"/>
        <c:spPr>
          <a:solidFill>
            <a:srgbClr val="F2B50B"/>
          </a:solidFill>
          <a:ln>
            <a:noFill/>
          </a:ln>
          <a:effectLst/>
        </c:spPr>
      </c:pivotFmt>
      <c:pivotFmt>
        <c:idx val="9"/>
        <c:spPr>
          <a:solidFill>
            <a:srgbClr val="48A111"/>
          </a:solidFill>
          <a:ln>
            <a:noFill/>
          </a:ln>
          <a:effectLst/>
        </c:spPr>
      </c:pivotFmt>
      <c:pivotFmt>
        <c:idx val="10"/>
        <c:spPr>
          <a:solidFill>
            <a:srgbClr val="25671E"/>
          </a:solidFill>
          <a:ln>
            <a:noFill/>
          </a:ln>
          <a:effectLst/>
        </c:spPr>
      </c:pivotFmt>
      <c:pivotFmt>
        <c:idx val="11"/>
        <c:spPr>
          <a:solidFill>
            <a:srgbClr val="F2B50B"/>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5671E"/>
          </a:solidFill>
          <a:ln>
            <a:noFill/>
          </a:ln>
          <a:effectLst/>
        </c:spPr>
      </c:pivotFmt>
      <c:pivotFmt>
        <c:idx val="14"/>
        <c:spPr>
          <a:solidFill>
            <a:srgbClr val="F2B50B"/>
          </a:solidFill>
          <a:ln>
            <a:noFill/>
          </a:ln>
          <a:effectLst/>
        </c:spPr>
      </c:pivotFmt>
      <c:pivotFmt>
        <c:idx val="15"/>
        <c:spPr>
          <a:solidFill>
            <a:srgbClr val="48A111"/>
          </a:solidFill>
          <a:ln>
            <a:noFill/>
          </a:ln>
          <a:effectLst/>
        </c:spPr>
      </c:pivotFmt>
      <c:pivotFmt>
        <c:idx val="16"/>
        <c:spPr>
          <a:solidFill>
            <a:srgbClr val="25671E"/>
          </a:solidFill>
          <a:ln>
            <a:noFill/>
          </a:ln>
          <a:effectLst/>
        </c:spPr>
      </c:pivotFmt>
      <c:pivotFmt>
        <c:idx val="17"/>
        <c:spPr>
          <a:solidFill>
            <a:srgbClr val="F2B50B"/>
          </a:solidFill>
          <a:ln>
            <a:noFill/>
          </a:ln>
          <a:effectLst/>
        </c:spPr>
      </c:pivotFmt>
      <c:pivotFmt>
        <c:idx val="18"/>
        <c:spPr>
          <a:solidFill>
            <a:srgbClr val="48A111"/>
          </a:solidFill>
          <a:ln>
            <a:noFill/>
          </a:ln>
          <a:effectLst/>
        </c:spPr>
      </c:pivotFmt>
      <c:pivotFmt>
        <c:idx val="19"/>
        <c:spPr>
          <a:solidFill>
            <a:srgbClr val="25671E"/>
          </a:solidFill>
          <a:ln>
            <a:noFill/>
          </a:ln>
          <a:effectLst/>
        </c:spPr>
      </c:pivotFmt>
      <c:pivotFmt>
        <c:idx val="20"/>
        <c:spPr>
          <a:solidFill>
            <a:srgbClr val="F2B50B"/>
          </a:solidFill>
          <a:ln>
            <a:noFill/>
          </a:ln>
          <a:effectLst/>
        </c:spPr>
      </c:pivotFmt>
      <c:pivotFmt>
        <c:idx val="21"/>
        <c:spPr>
          <a:solidFill>
            <a:srgbClr val="48A111"/>
          </a:solidFill>
          <a:ln>
            <a:noFill/>
          </a:ln>
          <a:effectLst/>
        </c:spPr>
      </c:pivotFmt>
      <c:pivotFmt>
        <c:idx val="22"/>
        <c:spPr>
          <a:solidFill>
            <a:srgbClr val="25671E"/>
          </a:solidFill>
          <a:ln>
            <a:noFill/>
          </a:ln>
          <a:effectLst/>
        </c:spPr>
      </c:pivotFmt>
      <c:pivotFmt>
        <c:idx val="23"/>
        <c:spPr>
          <a:solidFill>
            <a:srgbClr val="F2B50B"/>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25671E"/>
          </a:solidFill>
          <a:ln>
            <a:noFill/>
          </a:ln>
          <a:effectLst/>
        </c:spPr>
      </c:pivotFmt>
      <c:pivotFmt>
        <c:idx val="26"/>
        <c:spPr>
          <a:solidFill>
            <a:srgbClr val="F2B50B"/>
          </a:solidFill>
          <a:ln>
            <a:noFill/>
          </a:ln>
          <a:effectLst/>
        </c:spPr>
      </c:pivotFmt>
      <c:pivotFmt>
        <c:idx val="27"/>
        <c:spPr>
          <a:solidFill>
            <a:srgbClr val="48A111"/>
          </a:solidFill>
          <a:ln>
            <a:noFill/>
          </a:ln>
          <a:effectLst/>
        </c:spPr>
      </c:pivotFmt>
      <c:pivotFmt>
        <c:idx val="28"/>
        <c:spPr>
          <a:solidFill>
            <a:srgbClr val="25671E"/>
          </a:solidFill>
          <a:ln>
            <a:noFill/>
          </a:ln>
          <a:effectLst/>
        </c:spPr>
      </c:pivotFmt>
      <c:pivotFmt>
        <c:idx val="29"/>
        <c:spPr>
          <a:solidFill>
            <a:srgbClr val="F2B50B"/>
          </a:solidFill>
          <a:ln>
            <a:noFill/>
          </a:ln>
          <a:effectLst/>
        </c:spPr>
      </c:pivotFmt>
      <c:pivotFmt>
        <c:idx val="30"/>
        <c:spPr>
          <a:solidFill>
            <a:srgbClr val="48A111"/>
          </a:solidFill>
          <a:ln>
            <a:noFill/>
          </a:ln>
          <a:effectLst/>
        </c:spPr>
      </c:pivotFmt>
      <c:pivotFmt>
        <c:idx val="31"/>
        <c:spPr>
          <a:solidFill>
            <a:srgbClr val="25671E"/>
          </a:solidFill>
          <a:ln>
            <a:noFill/>
          </a:ln>
          <a:effectLst/>
        </c:spPr>
      </c:pivotFmt>
      <c:pivotFmt>
        <c:idx val="32"/>
        <c:spPr>
          <a:solidFill>
            <a:srgbClr val="F2B50B"/>
          </a:solidFill>
          <a:ln>
            <a:noFill/>
          </a:ln>
          <a:effectLst/>
        </c:spPr>
      </c:pivotFmt>
      <c:pivotFmt>
        <c:idx val="33"/>
        <c:spPr>
          <a:solidFill>
            <a:srgbClr val="48A111"/>
          </a:solidFill>
          <a:ln>
            <a:noFill/>
          </a:ln>
          <a:effectLst/>
        </c:spPr>
      </c:pivotFmt>
      <c:pivotFmt>
        <c:idx val="34"/>
        <c:spPr>
          <a:solidFill>
            <a:srgbClr val="25671E"/>
          </a:solidFill>
          <a:ln>
            <a:noFill/>
          </a:ln>
          <a:effectLst/>
        </c:spPr>
      </c:pivotFmt>
      <c:pivotFmt>
        <c:idx val="35"/>
        <c:spPr>
          <a:solidFill>
            <a:srgbClr val="F2B50B"/>
          </a:solidFill>
          <a:ln>
            <a:noFill/>
          </a:ln>
          <a:effectLst/>
        </c:spPr>
      </c:pivotFmt>
    </c:pivotFmts>
    <c:plotArea>
      <c:layout/>
      <c:barChart>
        <c:barDir val="col"/>
        <c:grouping val="clustered"/>
        <c:varyColors val="0"/>
        <c:ser>
          <c:idx val="0"/>
          <c:order val="0"/>
          <c:tx>
            <c:strRef>
              <c:f>Team_Analysis!$B$342</c:f>
              <c:strCache>
                <c:ptCount val="1"/>
                <c:pt idx="0">
                  <c:v>Total</c:v>
                </c:pt>
              </c:strCache>
            </c:strRef>
          </c:tx>
          <c:spPr>
            <a:solidFill>
              <a:schemeClr val="accent1"/>
            </a:solidFill>
            <a:ln>
              <a:noFill/>
            </a:ln>
            <a:effectLst/>
          </c:spPr>
          <c:invertIfNegative val="0"/>
          <c:dPt>
            <c:idx val="0"/>
            <c:invertIfNegative val="0"/>
            <c:bubble3D val="0"/>
            <c:spPr>
              <a:solidFill>
                <a:srgbClr val="25671E"/>
              </a:solidFill>
              <a:ln>
                <a:noFill/>
              </a:ln>
              <a:effectLst/>
            </c:spPr>
            <c:extLst>
              <c:ext xmlns:c16="http://schemas.microsoft.com/office/drawing/2014/chart" uri="{C3380CC4-5D6E-409C-BE32-E72D297353CC}">
                <c16:uniqueId val="{00000001-08F2-4597-B640-C464F951FC00}"/>
              </c:ext>
            </c:extLst>
          </c:dPt>
          <c:dPt>
            <c:idx val="1"/>
            <c:invertIfNegative val="0"/>
            <c:bubble3D val="0"/>
            <c:spPr>
              <a:solidFill>
                <a:srgbClr val="F2B50B"/>
              </a:solidFill>
              <a:ln>
                <a:noFill/>
              </a:ln>
              <a:effectLst/>
            </c:spPr>
            <c:extLst>
              <c:ext xmlns:c16="http://schemas.microsoft.com/office/drawing/2014/chart" uri="{C3380CC4-5D6E-409C-BE32-E72D297353CC}">
                <c16:uniqueId val="{00000003-08F2-4597-B640-C464F951FC00}"/>
              </c:ext>
            </c:extLst>
          </c:dPt>
          <c:dPt>
            <c:idx val="2"/>
            <c:invertIfNegative val="0"/>
            <c:bubble3D val="0"/>
            <c:spPr>
              <a:solidFill>
                <a:srgbClr val="48A111"/>
              </a:solidFill>
              <a:ln>
                <a:noFill/>
              </a:ln>
              <a:effectLst/>
            </c:spPr>
            <c:extLst>
              <c:ext xmlns:c16="http://schemas.microsoft.com/office/drawing/2014/chart" uri="{C3380CC4-5D6E-409C-BE32-E72D297353CC}">
                <c16:uniqueId val="{00000005-08F2-4597-B640-C464F951FC00}"/>
              </c:ext>
            </c:extLst>
          </c:dPt>
          <c:dPt>
            <c:idx val="3"/>
            <c:invertIfNegative val="0"/>
            <c:bubble3D val="0"/>
            <c:spPr>
              <a:solidFill>
                <a:srgbClr val="25671E"/>
              </a:solidFill>
              <a:ln>
                <a:noFill/>
              </a:ln>
              <a:effectLst/>
            </c:spPr>
            <c:extLst>
              <c:ext xmlns:c16="http://schemas.microsoft.com/office/drawing/2014/chart" uri="{C3380CC4-5D6E-409C-BE32-E72D297353CC}">
                <c16:uniqueId val="{00000007-08F2-4597-B640-C464F951FC00}"/>
              </c:ext>
            </c:extLst>
          </c:dPt>
          <c:dPt>
            <c:idx val="4"/>
            <c:invertIfNegative val="0"/>
            <c:bubble3D val="0"/>
            <c:spPr>
              <a:solidFill>
                <a:srgbClr val="F2B50B"/>
              </a:solidFill>
              <a:ln>
                <a:noFill/>
              </a:ln>
              <a:effectLst/>
            </c:spPr>
            <c:extLst>
              <c:ext xmlns:c16="http://schemas.microsoft.com/office/drawing/2014/chart" uri="{C3380CC4-5D6E-409C-BE32-E72D297353CC}">
                <c16:uniqueId val="{00000009-08F2-4597-B640-C464F951FC00}"/>
              </c:ext>
            </c:extLst>
          </c:dPt>
          <c:dPt>
            <c:idx val="5"/>
            <c:invertIfNegative val="0"/>
            <c:bubble3D val="0"/>
            <c:spPr>
              <a:solidFill>
                <a:srgbClr val="48A111"/>
              </a:solidFill>
              <a:ln>
                <a:noFill/>
              </a:ln>
              <a:effectLst/>
            </c:spPr>
            <c:extLst>
              <c:ext xmlns:c16="http://schemas.microsoft.com/office/drawing/2014/chart" uri="{C3380CC4-5D6E-409C-BE32-E72D297353CC}">
                <c16:uniqueId val="{0000000B-08F2-4597-B640-C464F951FC00}"/>
              </c:ext>
            </c:extLst>
          </c:dPt>
          <c:dPt>
            <c:idx val="6"/>
            <c:invertIfNegative val="0"/>
            <c:bubble3D val="0"/>
            <c:spPr>
              <a:solidFill>
                <a:srgbClr val="25671E"/>
              </a:solidFill>
              <a:ln>
                <a:noFill/>
              </a:ln>
              <a:effectLst/>
            </c:spPr>
            <c:extLst>
              <c:ext xmlns:c16="http://schemas.microsoft.com/office/drawing/2014/chart" uri="{C3380CC4-5D6E-409C-BE32-E72D297353CC}">
                <c16:uniqueId val="{0000000D-08F2-4597-B640-C464F951FC00}"/>
              </c:ext>
            </c:extLst>
          </c:dPt>
          <c:dPt>
            <c:idx val="7"/>
            <c:invertIfNegative val="0"/>
            <c:bubble3D val="0"/>
            <c:spPr>
              <a:solidFill>
                <a:srgbClr val="F2B50B"/>
              </a:solidFill>
              <a:ln>
                <a:noFill/>
              </a:ln>
              <a:effectLst/>
            </c:spPr>
            <c:extLst>
              <c:ext xmlns:c16="http://schemas.microsoft.com/office/drawing/2014/chart" uri="{C3380CC4-5D6E-409C-BE32-E72D297353CC}">
                <c16:uniqueId val="{0000000F-08F2-4597-B640-C464F951FC00}"/>
              </c:ext>
            </c:extLst>
          </c:dPt>
          <c:dPt>
            <c:idx val="8"/>
            <c:invertIfNegative val="0"/>
            <c:bubble3D val="0"/>
            <c:spPr>
              <a:solidFill>
                <a:srgbClr val="48A111"/>
              </a:solidFill>
              <a:ln>
                <a:noFill/>
              </a:ln>
              <a:effectLst/>
            </c:spPr>
            <c:extLst>
              <c:ext xmlns:c16="http://schemas.microsoft.com/office/drawing/2014/chart" uri="{C3380CC4-5D6E-409C-BE32-E72D297353CC}">
                <c16:uniqueId val="{00000011-08F2-4597-B640-C464F951FC00}"/>
              </c:ext>
            </c:extLst>
          </c:dPt>
          <c:dPt>
            <c:idx val="9"/>
            <c:invertIfNegative val="0"/>
            <c:bubble3D val="0"/>
            <c:spPr>
              <a:solidFill>
                <a:srgbClr val="25671E"/>
              </a:solidFill>
              <a:ln>
                <a:noFill/>
              </a:ln>
              <a:effectLst/>
            </c:spPr>
            <c:extLst>
              <c:ext xmlns:c16="http://schemas.microsoft.com/office/drawing/2014/chart" uri="{C3380CC4-5D6E-409C-BE32-E72D297353CC}">
                <c16:uniqueId val="{00000013-08F2-4597-B640-C464F951FC00}"/>
              </c:ext>
            </c:extLst>
          </c:dPt>
          <c:dPt>
            <c:idx val="10"/>
            <c:invertIfNegative val="0"/>
            <c:bubble3D val="0"/>
            <c:spPr>
              <a:solidFill>
                <a:srgbClr val="F2B50B"/>
              </a:solidFill>
              <a:ln>
                <a:noFill/>
              </a:ln>
              <a:effectLst/>
            </c:spPr>
            <c:extLst>
              <c:ext xmlns:c16="http://schemas.microsoft.com/office/drawing/2014/chart" uri="{C3380CC4-5D6E-409C-BE32-E72D297353CC}">
                <c16:uniqueId val="{00000015-08F2-4597-B640-C464F951FC0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Team_Analysis!$A$343:$A$354</c:f>
              <c:strCache>
                <c:ptCount val="11"/>
                <c:pt idx="0">
                  <c:v>2011</c:v>
                </c:pt>
                <c:pt idx="1">
                  <c:v>2012</c:v>
                </c:pt>
                <c:pt idx="2">
                  <c:v>2015</c:v>
                </c:pt>
                <c:pt idx="3">
                  <c:v>2016</c:v>
                </c:pt>
                <c:pt idx="4">
                  <c:v>2017</c:v>
                </c:pt>
                <c:pt idx="5">
                  <c:v>2018</c:v>
                </c:pt>
                <c:pt idx="6">
                  <c:v>2019</c:v>
                </c:pt>
                <c:pt idx="7">
                  <c:v>2021</c:v>
                </c:pt>
                <c:pt idx="8">
                  <c:v>2022</c:v>
                </c:pt>
                <c:pt idx="9">
                  <c:v>2023</c:v>
                </c:pt>
                <c:pt idx="10">
                  <c:v>2024</c:v>
                </c:pt>
              </c:strCache>
            </c:strRef>
          </c:cat>
          <c:val>
            <c:numRef>
              <c:f>Team_Analysis!$B$343:$B$354</c:f>
              <c:numCache>
                <c:formatCode>General</c:formatCode>
                <c:ptCount val="11"/>
                <c:pt idx="0">
                  <c:v>64</c:v>
                </c:pt>
                <c:pt idx="1">
                  <c:v>92</c:v>
                </c:pt>
                <c:pt idx="2">
                  <c:v>66</c:v>
                </c:pt>
                <c:pt idx="3">
                  <c:v>92</c:v>
                </c:pt>
                <c:pt idx="4">
                  <c:v>88</c:v>
                </c:pt>
                <c:pt idx="5">
                  <c:v>92</c:v>
                </c:pt>
                <c:pt idx="6">
                  <c:v>92</c:v>
                </c:pt>
                <c:pt idx="7">
                  <c:v>100</c:v>
                </c:pt>
                <c:pt idx="8">
                  <c:v>92</c:v>
                </c:pt>
                <c:pt idx="9">
                  <c:v>92</c:v>
                </c:pt>
                <c:pt idx="10">
                  <c:v>92</c:v>
                </c:pt>
              </c:numCache>
            </c:numRef>
          </c:val>
          <c:extLst>
            <c:ext xmlns:c16="http://schemas.microsoft.com/office/drawing/2014/chart" uri="{C3380CC4-5D6E-409C-BE32-E72D297353CC}">
              <c16:uniqueId val="{00000017-08F2-4597-B640-C464F951FC00}"/>
            </c:ext>
          </c:extLst>
        </c:ser>
        <c:dLbls>
          <c:dLblPos val="outEnd"/>
          <c:showLegendKey val="0"/>
          <c:showVal val="1"/>
          <c:showCatName val="0"/>
          <c:showSerName val="0"/>
          <c:showPercent val="0"/>
          <c:showBubbleSize val="0"/>
        </c:dLbls>
        <c:gapWidth val="219"/>
        <c:overlap val="-27"/>
        <c:axId val="1202473936"/>
        <c:axId val="1202474416"/>
      </c:barChart>
      <c:catAx>
        <c:axId val="120247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02474416"/>
        <c:crosses val="autoZero"/>
        <c:auto val="1"/>
        <c:lblAlgn val="ctr"/>
        <c:lblOffset val="100"/>
        <c:noMultiLvlLbl val="0"/>
      </c:catAx>
      <c:valAx>
        <c:axId val="120247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247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1270000</xdr:colOff>
      <xdr:row>121</xdr:row>
      <xdr:rowOff>120952</xdr:rowOff>
    </xdr:from>
    <xdr:ext cx="184731" cy="264560"/>
    <xdr:sp macro="" textlink="">
      <xdr:nvSpPr>
        <xdr:cNvPr id="3" name="TextBox 2">
          <a:extLst>
            <a:ext uri="{FF2B5EF4-FFF2-40B4-BE49-F238E27FC236}">
              <a16:creationId xmlns:a16="http://schemas.microsoft.com/office/drawing/2014/main" id="{CDDB0484-87FC-4532-D3CF-C6C621AF2B59}"/>
            </a:ext>
          </a:extLst>
        </xdr:cNvPr>
        <xdr:cNvSpPr txBox="1"/>
      </xdr:nvSpPr>
      <xdr:spPr>
        <a:xfrm>
          <a:off x="11671905" y="23537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360218</xdr:colOff>
      <xdr:row>47</xdr:row>
      <xdr:rowOff>-1</xdr:rowOff>
    </xdr:to>
    <xdr:sp macro="" textlink="">
      <xdr:nvSpPr>
        <xdr:cNvPr id="57" name="Rectangle 56">
          <a:extLst>
            <a:ext uri="{FF2B5EF4-FFF2-40B4-BE49-F238E27FC236}">
              <a16:creationId xmlns:a16="http://schemas.microsoft.com/office/drawing/2014/main" id="{BC8E1DDE-E2D2-5EE2-F723-190FE33A4CD7}"/>
            </a:ext>
          </a:extLst>
        </xdr:cNvPr>
        <xdr:cNvSpPr/>
      </xdr:nvSpPr>
      <xdr:spPr>
        <a:xfrm>
          <a:off x="0" y="0"/>
          <a:ext cx="14990618" cy="911629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485776</xdr:colOff>
      <xdr:row>0</xdr:row>
      <xdr:rowOff>0</xdr:rowOff>
    </xdr:from>
    <xdr:to>
      <xdr:col>22</xdr:col>
      <xdr:colOff>277092</xdr:colOff>
      <xdr:row>5</xdr:row>
      <xdr:rowOff>57150</xdr:rowOff>
    </xdr:to>
    <xdr:sp macro="" textlink="">
      <xdr:nvSpPr>
        <xdr:cNvPr id="8" name="Rectangle 7">
          <a:extLst>
            <a:ext uri="{FF2B5EF4-FFF2-40B4-BE49-F238E27FC236}">
              <a16:creationId xmlns:a16="http://schemas.microsoft.com/office/drawing/2014/main" id="{C04DC77B-A10C-CDFC-2764-D90D853342BE}"/>
            </a:ext>
          </a:extLst>
        </xdr:cNvPr>
        <xdr:cNvSpPr/>
      </xdr:nvSpPr>
      <xdr:spPr>
        <a:xfrm>
          <a:off x="1815812" y="0"/>
          <a:ext cx="13091680" cy="1026968"/>
        </a:xfrm>
        <a:prstGeom prst="rect">
          <a:avLst/>
        </a:prstGeom>
        <a:solidFill>
          <a:srgbClr val="25671E"/>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oneCellAnchor>
    <xdr:from>
      <xdr:col>9</xdr:col>
      <xdr:colOff>327660</xdr:colOff>
      <xdr:row>11</xdr:row>
      <xdr:rowOff>106680</xdr:rowOff>
    </xdr:from>
    <xdr:ext cx="184731" cy="264560"/>
    <xdr:sp macro="" textlink="">
      <xdr:nvSpPr>
        <xdr:cNvPr id="3" name="TextBox 2">
          <a:extLst>
            <a:ext uri="{FF2B5EF4-FFF2-40B4-BE49-F238E27FC236}">
              <a16:creationId xmlns:a16="http://schemas.microsoft.com/office/drawing/2014/main" id="{84091C62-A367-2194-F6A5-0AC0CC65A6C7}"/>
            </a:ext>
          </a:extLst>
        </xdr:cNvPr>
        <xdr:cNvSpPr txBox="1"/>
      </xdr:nvSpPr>
      <xdr:spPr>
        <a:xfrm>
          <a:off x="6362700" y="228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10</xdr:col>
      <xdr:colOff>381000</xdr:colOff>
      <xdr:row>10</xdr:row>
      <xdr:rowOff>152400</xdr:rowOff>
    </xdr:from>
    <xdr:ext cx="184731" cy="264560"/>
    <xdr:sp macro="" textlink="">
      <xdr:nvSpPr>
        <xdr:cNvPr id="4" name="TextBox 3">
          <a:extLst>
            <a:ext uri="{FF2B5EF4-FFF2-40B4-BE49-F238E27FC236}">
              <a16:creationId xmlns:a16="http://schemas.microsoft.com/office/drawing/2014/main" id="{2AB7B4E9-D445-EA7C-D23C-E71856E198A9}"/>
            </a:ext>
          </a:extLst>
        </xdr:cNvPr>
        <xdr:cNvSpPr txBox="1"/>
      </xdr:nvSpPr>
      <xdr:spPr>
        <a:xfrm>
          <a:off x="708660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11</xdr:col>
      <xdr:colOff>411480</xdr:colOff>
      <xdr:row>8</xdr:row>
      <xdr:rowOff>152400</xdr:rowOff>
    </xdr:from>
    <xdr:ext cx="184731" cy="264560"/>
    <xdr:sp macro="" textlink="">
      <xdr:nvSpPr>
        <xdr:cNvPr id="6" name="TextBox 5">
          <a:extLst>
            <a:ext uri="{FF2B5EF4-FFF2-40B4-BE49-F238E27FC236}">
              <a16:creationId xmlns:a16="http://schemas.microsoft.com/office/drawing/2014/main" id="{C9F82F81-4ABE-E4FD-B299-8F9319A372F7}"/>
            </a:ext>
          </a:extLst>
        </xdr:cNvPr>
        <xdr:cNvSpPr txBox="1"/>
      </xdr:nvSpPr>
      <xdr:spPr>
        <a:xfrm>
          <a:off x="7787640" y="1737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0</xdr:col>
      <xdr:colOff>0</xdr:colOff>
      <xdr:row>0</xdr:row>
      <xdr:rowOff>0</xdr:rowOff>
    </xdr:from>
    <xdr:to>
      <xdr:col>3</xdr:col>
      <xdr:colOff>9525</xdr:colOff>
      <xdr:row>46</xdr:row>
      <xdr:rowOff>15240</xdr:rowOff>
    </xdr:to>
    <xdr:sp macro="" textlink="">
      <xdr:nvSpPr>
        <xdr:cNvPr id="7" name="Rectangle 6">
          <a:extLst>
            <a:ext uri="{FF2B5EF4-FFF2-40B4-BE49-F238E27FC236}">
              <a16:creationId xmlns:a16="http://schemas.microsoft.com/office/drawing/2014/main" id="{0A69A5EB-CC6F-2183-B1AB-CF1936F86EA3}"/>
            </a:ext>
          </a:extLst>
        </xdr:cNvPr>
        <xdr:cNvSpPr/>
      </xdr:nvSpPr>
      <xdr:spPr>
        <a:xfrm>
          <a:off x="0" y="0"/>
          <a:ext cx="2021205" cy="9128760"/>
        </a:xfrm>
        <a:prstGeom prst="rect">
          <a:avLst/>
        </a:prstGeom>
        <a:solidFill>
          <a:srgbClr val="F2B50B"/>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95251</xdr:colOff>
      <xdr:row>0</xdr:row>
      <xdr:rowOff>38100</xdr:rowOff>
    </xdr:from>
    <xdr:to>
      <xdr:col>2</xdr:col>
      <xdr:colOff>514351</xdr:colOff>
      <xdr:row>5</xdr:row>
      <xdr:rowOff>95250</xdr:rowOff>
    </xdr:to>
    <xdr:grpSp>
      <xdr:nvGrpSpPr>
        <xdr:cNvPr id="12" name="Group 11">
          <a:extLst>
            <a:ext uri="{FF2B5EF4-FFF2-40B4-BE49-F238E27FC236}">
              <a16:creationId xmlns:a16="http://schemas.microsoft.com/office/drawing/2014/main" id="{46537A92-811C-84C6-5DE5-A56DFA13296A}"/>
            </a:ext>
          </a:extLst>
        </xdr:cNvPr>
        <xdr:cNvGrpSpPr/>
      </xdr:nvGrpSpPr>
      <xdr:grpSpPr>
        <a:xfrm>
          <a:off x="95251" y="38100"/>
          <a:ext cx="1760220" cy="1047750"/>
          <a:chOff x="3771901" y="1819275"/>
          <a:chExt cx="1752600" cy="1057275"/>
        </a:xfrm>
        <a:solidFill>
          <a:srgbClr val="F7F0F0"/>
        </a:solidFill>
      </xdr:grpSpPr>
      <xdr:sp macro="" textlink="">
        <xdr:nvSpPr>
          <xdr:cNvPr id="9" name="Rectangle 8">
            <a:extLst>
              <a:ext uri="{FF2B5EF4-FFF2-40B4-BE49-F238E27FC236}">
                <a16:creationId xmlns:a16="http://schemas.microsoft.com/office/drawing/2014/main" id="{1380B07D-749B-664E-DE68-1CABB29919CE}"/>
              </a:ext>
            </a:extLst>
          </xdr:cNvPr>
          <xdr:cNvSpPr/>
        </xdr:nvSpPr>
        <xdr:spPr>
          <a:xfrm>
            <a:off x="3771901" y="1819275"/>
            <a:ext cx="1752600" cy="1057275"/>
          </a:xfrm>
          <a:prstGeom prst="rect">
            <a:avLst/>
          </a:prstGeom>
          <a:grpFill/>
          <a:ln w="3175">
            <a:solidFill>
              <a:srgbClr val="2567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pic>
        <xdr:nvPicPr>
          <xdr:cNvPr id="11" name="Picture 10">
            <a:extLst>
              <a:ext uri="{FF2B5EF4-FFF2-40B4-BE49-F238E27FC236}">
                <a16:creationId xmlns:a16="http://schemas.microsoft.com/office/drawing/2014/main" id="{680F32E7-8FCB-C519-DB28-A079380A8F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392" b="26392"/>
          <a:stretch/>
        </xdr:blipFill>
        <xdr:spPr>
          <a:xfrm>
            <a:off x="3857626" y="1866901"/>
            <a:ext cx="1609724" cy="971550"/>
          </a:xfrm>
          <a:prstGeom prst="rect">
            <a:avLst/>
          </a:prstGeom>
          <a:grpFill/>
        </xdr:spPr>
      </xdr:pic>
    </xdr:grpSp>
    <xdr:clientData/>
  </xdr:twoCellAnchor>
  <xdr:oneCellAnchor>
    <xdr:from>
      <xdr:col>3</xdr:col>
      <xdr:colOff>157692</xdr:colOff>
      <xdr:row>0</xdr:row>
      <xdr:rowOff>195086</xdr:rowOff>
    </xdr:from>
    <xdr:ext cx="6808595" cy="530658"/>
    <xdr:sp macro="" textlink="">
      <xdr:nvSpPr>
        <xdr:cNvPr id="13" name="TextBox 12">
          <a:extLst>
            <a:ext uri="{FF2B5EF4-FFF2-40B4-BE49-F238E27FC236}">
              <a16:creationId xmlns:a16="http://schemas.microsoft.com/office/drawing/2014/main" id="{6CE0825F-40CB-B4E4-0691-CA5BFC71A468}"/>
            </a:ext>
          </a:extLst>
        </xdr:cNvPr>
        <xdr:cNvSpPr txBox="1"/>
      </xdr:nvSpPr>
      <xdr:spPr>
        <a:xfrm>
          <a:off x="2189692" y="195086"/>
          <a:ext cx="680859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2800" b="1">
              <a:solidFill>
                <a:srgbClr val="F2B50B"/>
              </a:solidFill>
            </a:rPr>
            <a:t>BPL Performance Dashboard (2011/12–2024)</a:t>
          </a:r>
        </a:p>
      </xdr:txBody>
    </xdr:sp>
    <xdr:clientData/>
  </xdr:oneCellAnchor>
  <xdr:twoCellAnchor>
    <xdr:from>
      <xdr:col>11</xdr:col>
      <xdr:colOff>83838</xdr:colOff>
      <xdr:row>5</xdr:row>
      <xdr:rowOff>159151</xdr:rowOff>
    </xdr:from>
    <xdr:to>
      <xdr:col>13</xdr:col>
      <xdr:colOff>127595</xdr:colOff>
      <xdr:row>11</xdr:row>
      <xdr:rowOff>70041</xdr:rowOff>
    </xdr:to>
    <xdr:grpSp>
      <xdr:nvGrpSpPr>
        <xdr:cNvPr id="15" name="Group 14">
          <a:extLst>
            <a:ext uri="{FF2B5EF4-FFF2-40B4-BE49-F238E27FC236}">
              <a16:creationId xmlns:a16="http://schemas.microsoft.com/office/drawing/2014/main" id="{C1719CB9-4512-42D2-B549-995B9E1C0F1B}"/>
            </a:ext>
          </a:extLst>
        </xdr:cNvPr>
        <xdr:cNvGrpSpPr/>
      </xdr:nvGrpSpPr>
      <xdr:grpSpPr>
        <a:xfrm>
          <a:off x="7459998" y="1149751"/>
          <a:ext cx="1384877" cy="1099610"/>
          <a:chOff x="3554182" y="624840"/>
          <a:chExt cx="971035" cy="693420"/>
        </a:xfrm>
      </xdr:grpSpPr>
      <xdr:sp macro="" textlink="">
        <xdr:nvSpPr>
          <xdr:cNvPr id="16" name="Rectangle 15">
            <a:extLst>
              <a:ext uri="{FF2B5EF4-FFF2-40B4-BE49-F238E27FC236}">
                <a16:creationId xmlns:a16="http://schemas.microsoft.com/office/drawing/2014/main" id="{C613C1E4-ADFA-2663-8969-8F5872FD2718}"/>
              </a:ext>
            </a:extLst>
          </xdr:cNvPr>
          <xdr:cNvSpPr/>
        </xdr:nvSpPr>
        <xdr:spPr>
          <a:xfrm>
            <a:off x="3566159" y="624840"/>
            <a:ext cx="944881" cy="693420"/>
          </a:xfrm>
          <a:prstGeom prst="rect">
            <a:avLst/>
          </a:prstGeom>
          <a:solidFill>
            <a:srgbClr val="48A11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7" name="TextBox 16">
            <a:extLst>
              <a:ext uri="{FF2B5EF4-FFF2-40B4-BE49-F238E27FC236}">
                <a16:creationId xmlns:a16="http://schemas.microsoft.com/office/drawing/2014/main" id="{49CF8E9C-F5DA-F89D-E737-80B4C6179FEA}"/>
              </a:ext>
            </a:extLst>
          </xdr:cNvPr>
          <xdr:cNvSpPr txBox="1"/>
        </xdr:nvSpPr>
        <xdr:spPr>
          <a:xfrm>
            <a:off x="3554182" y="689609"/>
            <a:ext cx="9710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D" sz="1800">
                <a:solidFill>
                  <a:schemeClr val="bg1"/>
                </a:solidFill>
              </a:rPr>
              <a:t>Total Matches</a:t>
            </a:r>
          </a:p>
        </xdr:txBody>
      </xdr:sp>
      <xdr:sp macro="" textlink="KPI_Analysis!B8">
        <xdr:nvSpPr>
          <xdr:cNvPr id="18" name="TextBox 17">
            <a:extLst>
              <a:ext uri="{FF2B5EF4-FFF2-40B4-BE49-F238E27FC236}">
                <a16:creationId xmlns:a16="http://schemas.microsoft.com/office/drawing/2014/main" id="{DE947F60-2E87-391B-9878-F75F13B514C4}"/>
              </a:ext>
            </a:extLst>
          </xdr:cNvPr>
          <xdr:cNvSpPr txBox="1"/>
        </xdr:nvSpPr>
        <xdr:spPr>
          <a:xfrm>
            <a:off x="3703339" y="906780"/>
            <a:ext cx="677088" cy="322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486A58B5-F689-4347-89C3-FAB3163720B6}" type="TxLink">
              <a:rPr lang="en-US" sz="2800" b="1" i="0" u="none" strike="noStrike">
                <a:solidFill>
                  <a:srgbClr val="F2B50B"/>
                </a:solidFill>
                <a:latin typeface="Aptos Narrow"/>
              </a:rPr>
              <a:pPr algn="ctr"/>
              <a:t>8</a:t>
            </a:fld>
            <a:endParaRPr lang="en-ID" sz="2800" b="1">
              <a:solidFill>
                <a:srgbClr val="F2B50B"/>
              </a:solidFill>
            </a:endParaRPr>
          </a:p>
        </xdr:txBody>
      </xdr:sp>
    </xdr:grpSp>
    <xdr:clientData/>
  </xdr:twoCellAnchor>
  <xdr:twoCellAnchor>
    <xdr:from>
      <xdr:col>8</xdr:col>
      <xdr:colOff>495174</xdr:colOff>
      <xdr:row>5</xdr:row>
      <xdr:rowOff>154825</xdr:rowOff>
    </xdr:from>
    <xdr:to>
      <xdr:col>11</xdr:col>
      <xdr:colOff>699</xdr:colOff>
      <xdr:row>11</xdr:row>
      <xdr:rowOff>70301</xdr:rowOff>
    </xdr:to>
    <xdr:grpSp>
      <xdr:nvGrpSpPr>
        <xdr:cNvPr id="19" name="Group 18">
          <a:extLst>
            <a:ext uri="{FF2B5EF4-FFF2-40B4-BE49-F238E27FC236}">
              <a16:creationId xmlns:a16="http://schemas.microsoft.com/office/drawing/2014/main" id="{C1B222EF-57BB-41D8-8546-1E8751DA8C0E}"/>
            </a:ext>
          </a:extLst>
        </xdr:cNvPr>
        <xdr:cNvGrpSpPr/>
      </xdr:nvGrpSpPr>
      <xdr:grpSpPr>
        <a:xfrm>
          <a:off x="5859654" y="1145425"/>
          <a:ext cx="1517205" cy="1104196"/>
          <a:chOff x="5074920" y="624840"/>
          <a:chExt cx="971035" cy="721154"/>
        </a:xfrm>
      </xdr:grpSpPr>
      <xdr:sp macro="" textlink="">
        <xdr:nvSpPr>
          <xdr:cNvPr id="20" name="Rectangle 19">
            <a:extLst>
              <a:ext uri="{FF2B5EF4-FFF2-40B4-BE49-F238E27FC236}">
                <a16:creationId xmlns:a16="http://schemas.microsoft.com/office/drawing/2014/main" id="{AF668AAE-F758-B7D3-9DE5-DB87A68D3599}"/>
              </a:ext>
            </a:extLst>
          </xdr:cNvPr>
          <xdr:cNvSpPr/>
        </xdr:nvSpPr>
        <xdr:spPr>
          <a:xfrm>
            <a:off x="5097779" y="624840"/>
            <a:ext cx="944881" cy="721154"/>
          </a:xfrm>
          <a:prstGeom prst="rect">
            <a:avLst/>
          </a:prstGeom>
          <a:solidFill>
            <a:srgbClr val="48A11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1" name="TextBox 20">
            <a:extLst>
              <a:ext uri="{FF2B5EF4-FFF2-40B4-BE49-F238E27FC236}">
                <a16:creationId xmlns:a16="http://schemas.microsoft.com/office/drawing/2014/main" id="{45D9131F-11AD-76C5-E52E-E1C2F7B8B5DF}"/>
              </a:ext>
            </a:extLst>
          </xdr:cNvPr>
          <xdr:cNvSpPr txBox="1"/>
        </xdr:nvSpPr>
        <xdr:spPr>
          <a:xfrm>
            <a:off x="5074920" y="689610"/>
            <a:ext cx="9710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D" sz="1800">
                <a:solidFill>
                  <a:schemeClr val="bg1"/>
                </a:solidFill>
              </a:rPr>
              <a:t>Total Seasons</a:t>
            </a:r>
          </a:p>
        </xdr:txBody>
      </xdr:sp>
      <xdr:sp macro="" textlink="KPI_Analysis!B4">
        <xdr:nvSpPr>
          <xdr:cNvPr id="22" name="TextBox 21">
            <a:extLst>
              <a:ext uri="{FF2B5EF4-FFF2-40B4-BE49-F238E27FC236}">
                <a16:creationId xmlns:a16="http://schemas.microsoft.com/office/drawing/2014/main" id="{E9E36FA5-5B0A-4991-C5EB-DE45D73407D4}"/>
              </a:ext>
            </a:extLst>
          </xdr:cNvPr>
          <xdr:cNvSpPr txBox="1"/>
        </xdr:nvSpPr>
        <xdr:spPr>
          <a:xfrm>
            <a:off x="5253752" y="897522"/>
            <a:ext cx="576582" cy="3274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4F01947E-D937-44B4-A933-8EB9E3B27B0A}" type="TxLink">
              <a:rPr lang="en-US" sz="2800" b="1" i="0" u="none" strike="noStrike">
                <a:solidFill>
                  <a:srgbClr val="F2B50B"/>
                </a:solidFill>
                <a:latin typeface="Aptos Narrow"/>
              </a:rPr>
              <a:pPr algn="ctr"/>
              <a:t>481</a:t>
            </a:fld>
            <a:endParaRPr lang="en-ID" sz="2800" b="1">
              <a:solidFill>
                <a:srgbClr val="F2B50B"/>
              </a:solidFill>
            </a:endParaRPr>
          </a:p>
        </xdr:txBody>
      </xdr:sp>
    </xdr:grpSp>
    <xdr:clientData/>
  </xdr:twoCellAnchor>
  <xdr:twoCellAnchor>
    <xdr:from>
      <xdr:col>13</xdr:col>
      <xdr:colOff>200277</xdr:colOff>
      <xdr:row>5</xdr:row>
      <xdr:rowOff>153599</xdr:rowOff>
    </xdr:from>
    <xdr:to>
      <xdr:col>16</xdr:col>
      <xdr:colOff>369709</xdr:colOff>
      <xdr:row>11</xdr:row>
      <xdr:rowOff>56189</xdr:rowOff>
    </xdr:to>
    <xdr:grpSp>
      <xdr:nvGrpSpPr>
        <xdr:cNvPr id="23" name="Group 22">
          <a:extLst>
            <a:ext uri="{FF2B5EF4-FFF2-40B4-BE49-F238E27FC236}">
              <a16:creationId xmlns:a16="http://schemas.microsoft.com/office/drawing/2014/main" id="{844FCA36-CECE-46F8-A193-C4B918F78CC5}"/>
            </a:ext>
          </a:extLst>
        </xdr:cNvPr>
        <xdr:cNvGrpSpPr/>
      </xdr:nvGrpSpPr>
      <xdr:grpSpPr>
        <a:xfrm>
          <a:off x="8917557" y="1144199"/>
          <a:ext cx="2181112" cy="1091310"/>
          <a:chOff x="6695290" y="708564"/>
          <a:chExt cx="932341" cy="564087"/>
        </a:xfrm>
      </xdr:grpSpPr>
      <xdr:sp macro="" textlink="">
        <xdr:nvSpPr>
          <xdr:cNvPr id="24" name="Rectangle 23">
            <a:extLst>
              <a:ext uri="{FF2B5EF4-FFF2-40B4-BE49-F238E27FC236}">
                <a16:creationId xmlns:a16="http://schemas.microsoft.com/office/drawing/2014/main" id="{322C3DDF-ED57-6470-07D9-25ECCDCEB2D2}"/>
              </a:ext>
            </a:extLst>
          </xdr:cNvPr>
          <xdr:cNvSpPr/>
        </xdr:nvSpPr>
        <xdr:spPr>
          <a:xfrm>
            <a:off x="6695290" y="708564"/>
            <a:ext cx="932341" cy="564087"/>
          </a:xfrm>
          <a:prstGeom prst="rect">
            <a:avLst/>
          </a:prstGeom>
          <a:solidFill>
            <a:srgbClr val="48A11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5" name="TextBox 24">
            <a:extLst>
              <a:ext uri="{FF2B5EF4-FFF2-40B4-BE49-F238E27FC236}">
                <a16:creationId xmlns:a16="http://schemas.microsoft.com/office/drawing/2014/main" id="{3712A6A4-2E41-78B2-A702-1C73C7EC3C8F}"/>
              </a:ext>
            </a:extLst>
          </xdr:cNvPr>
          <xdr:cNvSpPr txBox="1"/>
        </xdr:nvSpPr>
        <xdr:spPr>
          <a:xfrm>
            <a:off x="6741875" y="726255"/>
            <a:ext cx="855876" cy="293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D" sz="1800">
                <a:solidFill>
                  <a:schemeClr val="bg1"/>
                </a:solidFill>
              </a:rPr>
              <a:t>Highest Match Score</a:t>
            </a:r>
          </a:p>
        </xdr:txBody>
      </xdr:sp>
      <xdr:sp macro="" textlink="KPI_Analysis!B12">
        <xdr:nvSpPr>
          <xdr:cNvPr id="26" name="TextBox 25">
            <a:extLst>
              <a:ext uri="{FF2B5EF4-FFF2-40B4-BE49-F238E27FC236}">
                <a16:creationId xmlns:a16="http://schemas.microsoft.com/office/drawing/2014/main" id="{C58F79A6-79A4-627F-222C-B454AD6B2B26}"/>
              </a:ext>
            </a:extLst>
          </xdr:cNvPr>
          <xdr:cNvSpPr txBox="1"/>
        </xdr:nvSpPr>
        <xdr:spPr>
          <a:xfrm>
            <a:off x="6953174" y="921717"/>
            <a:ext cx="429430" cy="247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CC4535B3-E2F5-4D38-ACC4-F2627D7FA7EE}" type="TxLink">
              <a:rPr lang="en-US" sz="2800" b="1" i="0" u="none" strike="noStrike">
                <a:solidFill>
                  <a:srgbClr val="F2B50B"/>
                </a:solidFill>
                <a:latin typeface="Aptos Narrow"/>
              </a:rPr>
              <a:pPr algn="ctr"/>
              <a:t>422</a:t>
            </a:fld>
            <a:endParaRPr lang="en-ID" sz="2800" b="1">
              <a:solidFill>
                <a:srgbClr val="F2B50B"/>
              </a:solidFill>
            </a:endParaRPr>
          </a:p>
        </xdr:txBody>
      </xdr:sp>
    </xdr:grpSp>
    <xdr:clientData/>
  </xdr:twoCellAnchor>
  <xdr:twoCellAnchor>
    <xdr:from>
      <xdr:col>19</xdr:col>
      <xdr:colOff>347646</xdr:colOff>
      <xdr:row>5</xdr:row>
      <xdr:rowOff>159666</xdr:rowOff>
    </xdr:from>
    <xdr:to>
      <xdr:col>22</xdr:col>
      <xdr:colOff>277613</xdr:colOff>
      <xdr:row>11</xdr:row>
      <xdr:rowOff>70556</xdr:rowOff>
    </xdr:to>
    <xdr:grpSp>
      <xdr:nvGrpSpPr>
        <xdr:cNvPr id="27" name="Group 26">
          <a:extLst>
            <a:ext uri="{FF2B5EF4-FFF2-40B4-BE49-F238E27FC236}">
              <a16:creationId xmlns:a16="http://schemas.microsoft.com/office/drawing/2014/main" id="{F86CEB3B-3A54-4278-A1EE-4FC459F3807B}"/>
            </a:ext>
          </a:extLst>
        </xdr:cNvPr>
        <xdr:cNvGrpSpPr/>
      </xdr:nvGrpSpPr>
      <xdr:grpSpPr>
        <a:xfrm>
          <a:off x="13088286" y="1150266"/>
          <a:ext cx="1941647" cy="1099610"/>
          <a:chOff x="8305799" y="624840"/>
          <a:chExt cx="1361055" cy="751460"/>
        </a:xfrm>
      </xdr:grpSpPr>
      <xdr:sp macro="" textlink="">
        <xdr:nvSpPr>
          <xdr:cNvPr id="28" name="Rectangle 27">
            <a:extLst>
              <a:ext uri="{FF2B5EF4-FFF2-40B4-BE49-F238E27FC236}">
                <a16:creationId xmlns:a16="http://schemas.microsoft.com/office/drawing/2014/main" id="{A944E5AB-2A7F-9301-BEBF-5D9AA951456C}"/>
              </a:ext>
            </a:extLst>
          </xdr:cNvPr>
          <xdr:cNvSpPr/>
        </xdr:nvSpPr>
        <xdr:spPr>
          <a:xfrm>
            <a:off x="8305799" y="624840"/>
            <a:ext cx="1361055" cy="751460"/>
          </a:xfrm>
          <a:prstGeom prst="rect">
            <a:avLst/>
          </a:prstGeom>
          <a:solidFill>
            <a:srgbClr val="48A11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9" name="TextBox 28">
            <a:extLst>
              <a:ext uri="{FF2B5EF4-FFF2-40B4-BE49-F238E27FC236}">
                <a16:creationId xmlns:a16="http://schemas.microsoft.com/office/drawing/2014/main" id="{B0297521-8440-E866-5666-1547E6F134E2}"/>
              </a:ext>
            </a:extLst>
          </xdr:cNvPr>
          <xdr:cNvSpPr txBox="1"/>
        </xdr:nvSpPr>
        <xdr:spPr>
          <a:xfrm>
            <a:off x="8328660" y="689610"/>
            <a:ext cx="11489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D" sz="1800">
                <a:solidFill>
                  <a:schemeClr val="bg1"/>
                </a:solidFill>
              </a:rPr>
              <a:t>Best Win % Team</a:t>
            </a:r>
          </a:p>
        </xdr:txBody>
      </xdr:sp>
      <xdr:sp macro="" textlink="KPI_Analysis!B21">
        <xdr:nvSpPr>
          <xdr:cNvPr id="30" name="TextBox 29">
            <a:extLst>
              <a:ext uri="{FF2B5EF4-FFF2-40B4-BE49-F238E27FC236}">
                <a16:creationId xmlns:a16="http://schemas.microsoft.com/office/drawing/2014/main" id="{59349C7F-186A-4F1A-1223-7A579B99EFF9}"/>
              </a:ext>
            </a:extLst>
          </xdr:cNvPr>
          <xdr:cNvSpPr txBox="1"/>
        </xdr:nvSpPr>
        <xdr:spPr>
          <a:xfrm>
            <a:off x="8444036" y="899161"/>
            <a:ext cx="1153881" cy="2824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C501363E-F77C-425A-B039-08967B77C7BC}" type="TxLink">
              <a:rPr lang="en-US" sz="2000" b="1" i="0" u="none" strike="noStrike">
                <a:solidFill>
                  <a:srgbClr val="F2B50B"/>
                </a:solidFill>
                <a:latin typeface="Aptos Narrow"/>
              </a:rPr>
              <a:t>Shakib hasan</a:t>
            </a:fld>
            <a:endParaRPr lang="en-ID" sz="2000" b="1">
              <a:solidFill>
                <a:srgbClr val="F2B50B"/>
              </a:solidFill>
            </a:endParaRPr>
          </a:p>
        </xdr:txBody>
      </xdr:sp>
    </xdr:grpSp>
    <xdr:clientData/>
  </xdr:twoCellAnchor>
  <xdr:twoCellAnchor>
    <xdr:from>
      <xdr:col>16</xdr:col>
      <xdr:colOff>443062</xdr:colOff>
      <xdr:row>5</xdr:row>
      <xdr:rowOff>161573</xdr:rowOff>
    </xdr:from>
    <xdr:to>
      <xdr:col>19</xdr:col>
      <xdr:colOff>269821</xdr:colOff>
      <xdr:row>11</xdr:row>
      <xdr:rowOff>42334</xdr:rowOff>
    </xdr:to>
    <xdr:grpSp>
      <xdr:nvGrpSpPr>
        <xdr:cNvPr id="31" name="Group 30">
          <a:extLst>
            <a:ext uri="{FF2B5EF4-FFF2-40B4-BE49-F238E27FC236}">
              <a16:creationId xmlns:a16="http://schemas.microsoft.com/office/drawing/2014/main" id="{ABCA433B-A617-47E4-B83E-1BE401E9F37A}"/>
            </a:ext>
          </a:extLst>
        </xdr:cNvPr>
        <xdr:cNvGrpSpPr/>
      </xdr:nvGrpSpPr>
      <xdr:grpSpPr>
        <a:xfrm>
          <a:off x="11172022" y="1152173"/>
          <a:ext cx="1838439" cy="1069481"/>
          <a:chOff x="9888464" y="617220"/>
          <a:chExt cx="1152916" cy="693420"/>
        </a:xfrm>
      </xdr:grpSpPr>
      <xdr:sp macro="" textlink="">
        <xdr:nvSpPr>
          <xdr:cNvPr id="32" name="Rectangle 31">
            <a:extLst>
              <a:ext uri="{FF2B5EF4-FFF2-40B4-BE49-F238E27FC236}">
                <a16:creationId xmlns:a16="http://schemas.microsoft.com/office/drawing/2014/main" id="{5F85A2D7-0B80-0BA7-06BD-CCDED00C6989}"/>
              </a:ext>
            </a:extLst>
          </xdr:cNvPr>
          <xdr:cNvSpPr/>
        </xdr:nvSpPr>
        <xdr:spPr>
          <a:xfrm>
            <a:off x="9898379" y="617220"/>
            <a:ext cx="1143001" cy="693420"/>
          </a:xfrm>
          <a:prstGeom prst="rect">
            <a:avLst/>
          </a:prstGeom>
          <a:solidFill>
            <a:srgbClr val="48A11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33" name="TextBox 32">
            <a:extLst>
              <a:ext uri="{FF2B5EF4-FFF2-40B4-BE49-F238E27FC236}">
                <a16:creationId xmlns:a16="http://schemas.microsoft.com/office/drawing/2014/main" id="{F9B4FED5-DB31-4409-CD48-028E286FEB2D}"/>
              </a:ext>
            </a:extLst>
          </xdr:cNvPr>
          <xdr:cNvSpPr txBox="1"/>
        </xdr:nvSpPr>
        <xdr:spPr>
          <a:xfrm>
            <a:off x="9898380" y="689610"/>
            <a:ext cx="11294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D" sz="1800">
                <a:solidFill>
                  <a:schemeClr val="bg1"/>
                </a:solidFill>
              </a:rPr>
              <a:t>Top Player Name</a:t>
            </a:r>
          </a:p>
        </xdr:txBody>
      </xdr:sp>
      <xdr:sp macro="" textlink="KPI_Analysis!B17">
        <xdr:nvSpPr>
          <xdr:cNvPr id="34" name="TextBox 33">
            <a:extLst>
              <a:ext uri="{FF2B5EF4-FFF2-40B4-BE49-F238E27FC236}">
                <a16:creationId xmlns:a16="http://schemas.microsoft.com/office/drawing/2014/main" id="{9AFDEB02-9E1D-7858-A0CB-A433685AC336}"/>
              </a:ext>
            </a:extLst>
          </xdr:cNvPr>
          <xdr:cNvSpPr txBox="1"/>
        </xdr:nvSpPr>
        <xdr:spPr>
          <a:xfrm>
            <a:off x="9888464" y="834780"/>
            <a:ext cx="1148749" cy="364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E4533A66-9DCA-4FFD-A8B0-ED94E8949FC9}" type="TxLink">
              <a:rPr lang="en-US" sz="2000" b="1" i="0" u="none" strike="noStrike">
                <a:solidFill>
                  <a:srgbClr val="F2B50B"/>
                </a:solidFill>
                <a:latin typeface="Aptos Narrow"/>
              </a:rPr>
              <a:t>Fortune Barishal</a:t>
            </a:fld>
            <a:endParaRPr lang="en-ID" sz="2000" b="1">
              <a:solidFill>
                <a:srgbClr val="F2B50B"/>
              </a:solidFill>
            </a:endParaRPr>
          </a:p>
        </xdr:txBody>
      </xdr:sp>
    </xdr:grpSp>
    <xdr:clientData/>
  </xdr:twoCellAnchor>
  <xdr:twoCellAnchor editAs="oneCell">
    <xdr:from>
      <xdr:col>0</xdr:col>
      <xdr:colOff>55417</xdr:colOff>
      <xdr:row>5</xdr:row>
      <xdr:rowOff>166256</xdr:rowOff>
    </xdr:from>
    <xdr:to>
      <xdr:col>2</xdr:col>
      <xdr:colOff>609600</xdr:colOff>
      <xdr:row>20</xdr:row>
      <xdr:rowOff>13854</xdr:rowOff>
    </xdr:to>
    <mc:AlternateContent xmlns:mc="http://schemas.openxmlformats.org/markup-compatibility/2006" xmlns:a14="http://schemas.microsoft.com/office/drawing/2010/main">
      <mc:Choice Requires="a14">
        <xdr:graphicFrame macro="">
          <xdr:nvGraphicFramePr>
            <xdr:cNvPr id="35" name="season">
              <a:extLst>
                <a:ext uri="{FF2B5EF4-FFF2-40B4-BE49-F238E27FC236}">
                  <a16:creationId xmlns:a16="http://schemas.microsoft.com/office/drawing/2014/main" id="{0D44D26B-EAA6-4A6B-B227-548E2B704D1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5417" y="1136074"/>
              <a:ext cx="1884219" cy="27570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83128</xdr:colOff>
      <xdr:row>5</xdr:row>
      <xdr:rowOff>170800</xdr:rowOff>
    </xdr:from>
    <xdr:to>
      <xdr:col>8</xdr:col>
      <xdr:colOff>457200</xdr:colOff>
      <xdr:row>11</xdr:row>
      <xdr:rowOff>69273</xdr:rowOff>
    </xdr:to>
    <mc:AlternateContent xmlns:mc="http://schemas.openxmlformats.org/markup-compatibility/2006" xmlns:a14="http://schemas.microsoft.com/office/drawing/2010/main">
      <mc:Choice Requires="a14">
        <xdr:graphicFrame macro="">
          <xdr:nvGraphicFramePr>
            <xdr:cNvPr id="36" name="Match_Type">
              <a:extLst>
                <a:ext uri="{FF2B5EF4-FFF2-40B4-BE49-F238E27FC236}">
                  <a16:creationId xmlns:a16="http://schemas.microsoft.com/office/drawing/2014/main" id="{44602829-A31F-4222-9D6D-BEBCF0A16C9F}"/>
                </a:ext>
              </a:extLst>
            </xdr:cNvPr>
            <xdr:cNvGraphicFramePr/>
          </xdr:nvGraphicFramePr>
          <xdr:xfrm>
            <a:off x="0" y="0"/>
            <a:ext cx="0" cy="0"/>
          </xdr:xfrm>
          <a:graphic>
            <a:graphicData uri="http://schemas.microsoft.com/office/drawing/2010/slicer">
              <sle:slicer xmlns:sle="http://schemas.microsoft.com/office/drawing/2010/slicer" name="Match_Type"/>
            </a:graphicData>
          </a:graphic>
        </xdr:graphicFrame>
      </mc:Choice>
      <mc:Fallback xmlns="">
        <xdr:sp macro="" textlink="">
          <xdr:nvSpPr>
            <xdr:cNvPr id="0" name=""/>
            <xdr:cNvSpPr>
              <a:spLocks noTextEdit="1"/>
            </xdr:cNvSpPr>
          </xdr:nvSpPr>
          <xdr:spPr>
            <a:xfrm>
              <a:off x="2078183" y="1140618"/>
              <a:ext cx="3699162" cy="106225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401779</xdr:colOff>
      <xdr:row>0</xdr:row>
      <xdr:rowOff>122064</xdr:rowOff>
    </xdr:from>
    <xdr:to>
      <xdr:col>22</xdr:col>
      <xdr:colOff>235526</xdr:colOff>
      <xdr:row>4</xdr:row>
      <xdr:rowOff>152399</xdr:rowOff>
    </xdr:to>
    <mc:AlternateContent xmlns:mc="http://schemas.openxmlformats.org/markup-compatibility/2006" xmlns:a14="http://schemas.microsoft.com/office/drawing/2010/main">
      <mc:Choice Requires="a14">
        <xdr:graphicFrame macro="">
          <xdr:nvGraphicFramePr>
            <xdr:cNvPr id="37" name="venue">
              <a:extLst>
                <a:ext uri="{FF2B5EF4-FFF2-40B4-BE49-F238E27FC236}">
                  <a16:creationId xmlns:a16="http://schemas.microsoft.com/office/drawing/2014/main" id="{0F569AAE-5FF1-4E24-9862-4950E385C3E6}"/>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9047015" y="122064"/>
              <a:ext cx="5818911" cy="8061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49662</xdr:colOff>
      <xdr:row>20</xdr:row>
      <xdr:rowOff>83128</xdr:rowOff>
    </xdr:from>
    <xdr:to>
      <xdr:col>2</xdr:col>
      <xdr:colOff>609600</xdr:colOff>
      <xdr:row>45</xdr:row>
      <xdr:rowOff>138545</xdr:rowOff>
    </xdr:to>
    <mc:AlternateContent xmlns:mc="http://schemas.openxmlformats.org/markup-compatibility/2006" xmlns:a14="http://schemas.microsoft.com/office/drawing/2010/main">
      <mc:Choice Requires="a14">
        <xdr:graphicFrame macro="">
          <xdr:nvGraphicFramePr>
            <xdr:cNvPr id="38" name="Team_Name">
              <a:extLst>
                <a:ext uri="{FF2B5EF4-FFF2-40B4-BE49-F238E27FC236}">
                  <a16:creationId xmlns:a16="http://schemas.microsoft.com/office/drawing/2014/main" id="{BC575931-A193-4D86-8652-6B833FC122A8}"/>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49662" y="3962401"/>
              <a:ext cx="1889974" cy="490450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138545</xdr:colOff>
      <xdr:row>11</xdr:row>
      <xdr:rowOff>152401</xdr:rowOff>
    </xdr:from>
    <xdr:to>
      <xdr:col>9</xdr:col>
      <xdr:colOff>307058</xdr:colOff>
      <xdr:row>28</xdr:row>
      <xdr:rowOff>112327</xdr:rowOff>
    </xdr:to>
    <xdr:sp macro="" textlink="">
      <xdr:nvSpPr>
        <xdr:cNvPr id="44" name="Rectangle 43">
          <a:extLst>
            <a:ext uri="{FF2B5EF4-FFF2-40B4-BE49-F238E27FC236}">
              <a16:creationId xmlns:a16="http://schemas.microsoft.com/office/drawing/2014/main" id="{E8A08488-A78A-E7A2-6CD9-45919561DBD5}"/>
            </a:ext>
          </a:extLst>
        </xdr:cNvPr>
        <xdr:cNvSpPr/>
      </xdr:nvSpPr>
      <xdr:spPr>
        <a:xfrm>
          <a:off x="2133600" y="2286001"/>
          <a:ext cx="4158622" cy="3257308"/>
        </a:xfrm>
        <a:prstGeom prst="rect">
          <a:avLst/>
        </a:prstGeom>
        <a:solidFill>
          <a:srgbClr val="F7F0F0"/>
        </a:solidFill>
        <a:ln w="3175">
          <a:solidFill>
            <a:srgbClr val="2567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393945</xdr:colOff>
      <xdr:row>11</xdr:row>
      <xdr:rowOff>166255</xdr:rowOff>
    </xdr:from>
    <xdr:to>
      <xdr:col>15</xdr:col>
      <xdr:colOff>622017</xdr:colOff>
      <xdr:row>28</xdr:row>
      <xdr:rowOff>112887</xdr:rowOff>
    </xdr:to>
    <xdr:sp macro="" textlink="">
      <xdr:nvSpPr>
        <xdr:cNvPr id="46" name="Rectangle 45">
          <a:extLst>
            <a:ext uri="{FF2B5EF4-FFF2-40B4-BE49-F238E27FC236}">
              <a16:creationId xmlns:a16="http://schemas.microsoft.com/office/drawing/2014/main" id="{25F0DB74-CD25-3A10-202A-CD37CCBA6A92}"/>
            </a:ext>
          </a:extLst>
        </xdr:cNvPr>
        <xdr:cNvSpPr/>
      </xdr:nvSpPr>
      <xdr:spPr>
        <a:xfrm>
          <a:off x="6379109" y="2299855"/>
          <a:ext cx="4218181" cy="3244014"/>
        </a:xfrm>
        <a:prstGeom prst="rect">
          <a:avLst/>
        </a:prstGeom>
        <a:solidFill>
          <a:srgbClr val="F7F0F0"/>
        </a:solidFill>
        <a:ln w="3175">
          <a:solidFill>
            <a:srgbClr val="2567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45683</xdr:colOff>
      <xdr:row>11</xdr:row>
      <xdr:rowOff>166255</xdr:rowOff>
    </xdr:from>
    <xdr:to>
      <xdr:col>22</xdr:col>
      <xdr:colOff>266982</xdr:colOff>
      <xdr:row>28</xdr:row>
      <xdr:rowOff>112888</xdr:rowOff>
    </xdr:to>
    <xdr:sp macro="" textlink="">
      <xdr:nvSpPr>
        <xdr:cNvPr id="47" name="Rectangle 46">
          <a:extLst>
            <a:ext uri="{FF2B5EF4-FFF2-40B4-BE49-F238E27FC236}">
              <a16:creationId xmlns:a16="http://schemas.microsoft.com/office/drawing/2014/main" id="{C5099408-B996-019B-2226-C1C127F0D44C}"/>
            </a:ext>
          </a:extLst>
        </xdr:cNvPr>
        <xdr:cNvSpPr/>
      </xdr:nvSpPr>
      <xdr:spPr>
        <a:xfrm>
          <a:off x="10685974" y="2299855"/>
          <a:ext cx="4211408" cy="3244015"/>
        </a:xfrm>
        <a:prstGeom prst="rect">
          <a:avLst/>
        </a:prstGeom>
        <a:solidFill>
          <a:srgbClr val="F7F0F0"/>
        </a:solidFill>
        <a:ln w="3175">
          <a:solidFill>
            <a:srgbClr val="2567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87705</xdr:colOff>
      <xdr:row>29</xdr:row>
      <xdr:rowOff>0</xdr:rowOff>
    </xdr:from>
    <xdr:to>
      <xdr:col>12</xdr:col>
      <xdr:colOff>491884</xdr:colOff>
      <xdr:row>46</xdr:row>
      <xdr:rowOff>21547</xdr:rowOff>
    </xdr:to>
    <xdr:sp macro="" textlink="">
      <xdr:nvSpPr>
        <xdr:cNvPr id="48" name="Rectangle 47">
          <a:extLst>
            <a:ext uri="{FF2B5EF4-FFF2-40B4-BE49-F238E27FC236}">
              <a16:creationId xmlns:a16="http://schemas.microsoft.com/office/drawing/2014/main" id="{106CA72C-7D07-3F69-30F8-97BBDFCEE875}"/>
            </a:ext>
          </a:extLst>
        </xdr:cNvPr>
        <xdr:cNvSpPr/>
      </xdr:nvSpPr>
      <xdr:spPr>
        <a:xfrm>
          <a:off x="2119705" y="5729111"/>
          <a:ext cx="6500179" cy="3379992"/>
        </a:xfrm>
        <a:prstGeom prst="rect">
          <a:avLst/>
        </a:prstGeom>
        <a:solidFill>
          <a:srgbClr val="F7F0F0"/>
        </a:solidFill>
        <a:ln w="3175">
          <a:solidFill>
            <a:srgbClr val="2567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575696</xdr:colOff>
      <xdr:row>29</xdr:row>
      <xdr:rowOff>964</xdr:rowOff>
    </xdr:from>
    <xdr:to>
      <xdr:col>22</xdr:col>
      <xdr:colOff>309315</xdr:colOff>
      <xdr:row>46</xdr:row>
      <xdr:rowOff>42333</xdr:rowOff>
    </xdr:to>
    <xdr:sp macro="" textlink="">
      <xdr:nvSpPr>
        <xdr:cNvPr id="51" name="Rectangle 50">
          <a:extLst>
            <a:ext uri="{FF2B5EF4-FFF2-40B4-BE49-F238E27FC236}">
              <a16:creationId xmlns:a16="http://schemas.microsoft.com/office/drawing/2014/main" id="{008BC7C3-5521-3CE6-47BB-6B90B0590EBC}"/>
            </a:ext>
          </a:extLst>
        </xdr:cNvPr>
        <xdr:cNvSpPr/>
      </xdr:nvSpPr>
      <xdr:spPr>
        <a:xfrm>
          <a:off x="8703696" y="5730075"/>
          <a:ext cx="6506952" cy="3399814"/>
        </a:xfrm>
        <a:prstGeom prst="rect">
          <a:avLst/>
        </a:prstGeom>
        <a:solidFill>
          <a:srgbClr val="F7F0F0"/>
        </a:solidFill>
        <a:ln w="3175">
          <a:solidFill>
            <a:srgbClr val="2567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138545</xdr:colOff>
      <xdr:row>12</xdr:row>
      <xdr:rowOff>13854</xdr:rowOff>
    </xdr:from>
    <xdr:to>
      <xdr:col>9</xdr:col>
      <xdr:colOff>268111</xdr:colOff>
      <xdr:row>28</xdr:row>
      <xdr:rowOff>70554</xdr:rowOff>
    </xdr:to>
    <xdr:graphicFrame macro="">
      <xdr:nvGraphicFramePr>
        <xdr:cNvPr id="52" name="Chart 51">
          <a:extLst>
            <a:ext uri="{FF2B5EF4-FFF2-40B4-BE49-F238E27FC236}">
              <a16:creationId xmlns:a16="http://schemas.microsoft.com/office/drawing/2014/main" id="{3521FB2D-3397-4B64-AD6E-FF1E7163C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56446</xdr:colOff>
      <xdr:row>12</xdr:row>
      <xdr:rowOff>1</xdr:rowOff>
    </xdr:from>
    <xdr:to>
      <xdr:col>22</xdr:col>
      <xdr:colOff>282224</xdr:colOff>
      <xdr:row>28</xdr:row>
      <xdr:rowOff>84667</xdr:rowOff>
    </xdr:to>
    <xdr:graphicFrame macro="">
      <xdr:nvGraphicFramePr>
        <xdr:cNvPr id="53" name="Chart 52">
          <a:extLst>
            <a:ext uri="{FF2B5EF4-FFF2-40B4-BE49-F238E27FC236}">
              <a16:creationId xmlns:a16="http://schemas.microsoft.com/office/drawing/2014/main" id="{F5B9021D-F533-493A-BF33-29A88251F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395111</xdr:colOff>
      <xdr:row>12</xdr:row>
      <xdr:rowOff>1</xdr:rowOff>
    </xdr:from>
    <xdr:to>
      <xdr:col>15</xdr:col>
      <xdr:colOff>649111</xdr:colOff>
      <xdr:row>28</xdr:row>
      <xdr:rowOff>42335</xdr:rowOff>
    </xdr:to>
    <xdr:graphicFrame macro="">
      <xdr:nvGraphicFramePr>
        <xdr:cNvPr id="54" name="Chart 53">
          <a:extLst>
            <a:ext uri="{FF2B5EF4-FFF2-40B4-BE49-F238E27FC236}">
              <a16:creationId xmlns:a16="http://schemas.microsoft.com/office/drawing/2014/main" id="{F5B2650C-267F-44C7-B705-C683E9FA5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98778</xdr:colOff>
      <xdr:row>29</xdr:row>
      <xdr:rowOff>28222</xdr:rowOff>
    </xdr:from>
    <xdr:to>
      <xdr:col>12</xdr:col>
      <xdr:colOff>409222</xdr:colOff>
      <xdr:row>45</xdr:row>
      <xdr:rowOff>183444</xdr:rowOff>
    </xdr:to>
    <xdr:graphicFrame macro="">
      <xdr:nvGraphicFramePr>
        <xdr:cNvPr id="55" name="Chart 54">
          <a:extLst>
            <a:ext uri="{FF2B5EF4-FFF2-40B4-BE49-F238E27FC236}">
              <a16:creationId xmlns:a16="http://schemas.microsoft.com/office/drawing/2014/main" id="{036A1A50-4139-4D03-BD53-322C251DD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623455</xdr:colOff>
      <xdr:row>29</xdr:row>
      <xdr:rowOff>27711</xdr:rowOff>
    </xdr:from>
    <xdr:to>
      <xdr:col>22</xdr:col>
      <xdr:colOff>277091</xdr:colOff>
      <xdr:row>46</xdr:row>
      <xdr:rowOff>13857</xdr:rowOff>
    </xdr:to>
    <xdr:graphicFrame macro="">
      <xdr:nvGraphicFramePr>
        <xdr:cNvPr id="56" name="Chart 55">
          <a:extLst>
            <a:ext uri="{FF2B5EF4-FFF2-40B4-BE49-F238E27FC236}">
              <a16:creationId xmlns:a16="http://schemas.microsoft.com/office/drawing/2014/main" id="{0EC4AA6E-B1BA-45E6-9FD2-F4B5C97D2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69.613069791667" createdVersion="8" refreshedVersion="8" minRefreshableVersion="3" recordCount="481" xr:uid="{68A8B77A-1C08-46B7-A244-694845CA2BAB}">
  <cacheSource type="worksheet">
    <worksheetSource ref="A1:AB482" sheet="Clean_Data"/>
  </cacheSource>
  <cacheFields count="28">
    <cacheField name="season" numFmtId="0">
      <sharedItems/>
    </cacheField>
    <cacheField name="Year" numFmtId="0">
      <sharedItems/>
    </cacheField>
    <cacheField name="match_no" numFmtId="0">
      <sharedItems count="58">
        <s v="Final"/>
        <s v="2nd"/>
        <s v="1st"/>
        <s v="29th"/>
        <s v="28th"/>
        <s v="27th"/>
        <s v="26th"/>
        <s v="25th"/>
        <s v="24th"/>
        <s v="23rd"/>
        <s v="Semi-Final"/>
        <s v="22nd"/>
        <s v="21st"/>
        <s v="Elimination"/>
        <s v="20th"/>
        <s v="Race"/>
        <s v="19th"/>
        <s v="42nd"/>
        <s v="18th"/>
        <s v="41st"/>
        <s v="17th"/>
        <s v="40th"/>
        <s v="16th"/>
        <s v="15th"/>
        <s v="39th"/>
        <s v="14th"/>
        <s v="38th"/>
        <s v="13th"/>
        <s v="12th"/>
        <s v="Qualifier"/>
        <s v="11th"/>
        <s v="Eliminator"/>
        <s v="10th"/>
        <s v="9th"/>
        <s v="8th"/>
        <s v="7th"/>
        <s v="6th"/>
        <s v="5th"/>
        <s v="4th"/>
        <s v="3rd"/>
        <s v="Eliminator,"/>
        <s v="37th"/>
        <s v="36th"/>
        <s v="35th"/>
        <s v="34th"/>
        <s v="33rd"/>
        <s v="32nd"/>
        <s v="31st"/>
        <s v="30th"/>
        <s v="2nd "/>
        <s v="1st Qualifier"/>
        <s v="2nd Qualifier"/>
        <s v="Final "/>
        <s v="31th"/>
        <s v="Qualifier1"/>
        <s v="Qualifier2"/>
        <s v="Qualifier 1"/>
        <s v="Qualifier 2"/>
      </sharedItems>
    </cacheField>
    <cacheField name="Match_Type" numFmtId="0">
      <sharedItems/>
    </cacheField>
    <cacheField name="date" numFmtId="14">
      <sharedItems/>
    </cacheField>
    <cacheField name="team_1" numFmtId="0">
      <sharedItems count="32">
        <s v="Barisal Burners"/>
        <s v="Dhaka Gladiators"/>
        <s v="Duronto Rajshahi"/>
        <s v="Chittagong Kings"/>
        <s v="Khulna Royal Bengals"/>
        <s v="Sylhet Royals"/>
        <s v="Barisal Bulls"/>
        <s v="Rangpur Riders"/>
        <s v="Comilla Victorians"/>
        <s v="Chittagong Vikings"/>
        <s v="Dhaka Dynamites"/>
        <s v="Khulna Titans"/>
        <s v="Sylhet Sixers"/>
        <s v="Rajshahi Royals"/>
        <s v="Chattogram Challengers"/>
        <s v="Khulna Tigers"/>
        <s v="Dhaka Platoon"/>
        <s v="Rangpur Rangers"/>
        <s v="Sylhet Sunrisers"/>
        <s v="Fortune Barishal"/>
        <s v="Minister Group Dhaka"/>
        <s v="Sylhet Super Stars"/>
        <s v="Rajshahi Kings"/>
        <s v="Sylhet Thunder"/>
        <s v="Cumilla Warriors"/>
        <s v="Sylhet Strikers"/>
        <s v="Dhaka Dominators"/>
        <s v="Comilla Victorians "/>
        <s v="Durdanto Dhaka"/>
        <s v="Fortune Barishal "/>
        <s v="Durbar Rajshahi"/>
        <s v="Dhaka Capital"/>
      </sharedItems>
    </cacheField>
    <cacheField name="team_1_score" numFmtId="0">
      <sharedItems containsSemiMixedTypes="0" containsString="0" containsNumber="1" containsInteger="1" minValue="44" maxValue="254" count="137">
        <n v="140"/>
        <n v="191"/>
        <n v="184"/>
        <n v="116"/>
        <n v="150"/>
        <n v="106"/>
        <n v="165"/>
        <n v="156"/>
        <n v="124"/>
        <n v="172"/>
        <n v="120"/>
        <n v="149"/>
        <n v="161"/>
        <n v="128"/>
        <n v="107"/>
        <n v="137"/>
        <n v="197"/>
        <n v="192"/>
        <n v="168"/>
        <n v="139"/>
        <n v="144"/>
        <n v="126"/>
        <n v="171"/>
        <n v="193"/>
        <n v="114"/>
        <n v="125"/>
        <n v="145"/>
        <n v="160"/>
        <n v="152"/>
        <n v="135"/>
        <n v="208"/>
        <n v="163"/>
        <n v="153"/>
        <n v="157"/>
        <n v="180"/>
        <n v="121"/>
        <n v="175"/>
        <n v="159"/>
        <n v="206"/>
        <n v="142"/>
        <n v="158"/>
        <n v="170"/>
        <n v="111"/>
        <n v="154"/>
        <n v="134"/>
        <n v="141"/>
        <n v="167"/>
        <n v="194"/>
        <n v="174"/>
        <n v="147"/>
        <n v="67"/>
        <n v="199"/>
        <n v="123"/>
        <n v="72"/>
        <n v="127"/>
        <n v="189"/>
        <n v="164"/>
        <n v="205"/>
        <n v="155"/>
        <n v="218"/>
        <n v="179"/>
        <n v="138"/>
        <n v="181"/>
        <n v="183"/>
        <n v="202"/>
        <n v="196"/>
        <n v="176"/>
        <n v="217"/>
        <n v="136"/>
        <n v="182"/>
        <n v="122"/>
        <n v="213"/>
        <n v="129"/>
        <n v="132"/>
        <n v="99"/>
        <n v="204"/>
        <n v="59"/>
        <n v="105"/>
        <n v="58"/>
        <n v="104"/>
        <n v="166"/>
        <n v="82"/>
        <n v="92"/>
        <n v="109"/>
        <n v="89"/>
        <n v="108"/>
        <n v="110"/>
        <n v="187"/>
        <n v="188"/>
        <n v="131"/>
        <n v="119"/>
        <n v="162"/>
        <n v="185"/>
        <n v="151"/>
        <n v="190"/>
        <n v="148"/>
        <n v="44"/>
        <n v="133"/>
        <n v="97"/>
        <n v="173"/>
        <n v="211"/>
        <n v="169"/>
        <n v="201"/>
        <n v="146"/>
        <n v="115"/>
        <n v="101"/>
        <n v="143"/>
        <n v="186"/>
        <n v="237"/>
        <n v="198"/>
        <n v="195"/>
        <n v="239"/>
        <n v="214"/>
        <n v="68"/>
        <n v="117"/>
        <n v="63"/>
        <n v="98"/>
        <n v="232"/>
        <n v="238"/>
        <n v="221"/>
        <n v="91"/>
        <n v="100"/>
        <n v="96"/>
        <n v="113"/>
        <n v="178"/>
        <n v="130"/>
        <n v="177"/>
        <n v="210"/>
        <n v="118"/>
        <n v="219"/>
        <n v="203"/>
        <n v="254"/>
        <n v="200"/>
        <n v="209"/>
        <n v="73"/>
        <n v="220"/>
        <n v="85"/>
      </sharedItems>
    </cacheField>
    <cacheField name="team_1_wicket" numFmtId="0">
      <sharedItems containsSemiMixedTypes="0" containsString="0" containsNumber="1" containsInteger="1" minValue="0" maxValue="10"/>
    </cacheField>
    <cacheField name="team_2" numFmtId="0">
      <sharedItems count="32">
        <s v="Dhaka Gladiators"/>
        <s v="Khulna Royal Bengals"/>
        <s v="Barisal Burners"/>
        <s v="Duronto Rajshahi"/>
        <s v="Chittagong Kings"/>
        <s v="Sylhet Royals"/>
        <s v="Rangpur Riders"/>
        <s v="Comilla Victorians"/>
        <s v="Barisal Bulls"/>
        <s v="Dhaka Dynamites"/>
        <s v="Sylhet Super Stars"/>
        <s v="Chittagong Vikings"/>
        <s v="Rajshahi Kings"/>
        <s v="Khulna Titans"/>
        <s v="Sylhet Sixers"/>
        <s v="Khulna Tigers"/>
        <s v="Rajshahi Royals"/>
        <s v="Chattogram Challengers"/>
        <s v="Cumilla Warriors"/>
        <s v="Dhaka Platoon"/>
        <s v="Rangpur Rangers"/>
        <s v="Sylhet Sunrisers"/>
        <s v="Sylhet Thunder"/>
        <s v="Minister Group Dhaka"/>
        <s v="Fortune Barishal"/>
        <s v="Sylhet Strikers"/>
        <s v="Dhaka Dominators"/>
        <s v="Durdanto Dhaka"/>
        <s v="Fortune Barishal "/>
        <s v="Comilla Victorians "/>
        <s v="Dhaka Capital"/>
        <s v="Durbar Rajshahi"/>
      </sharedItems>
    </cacheField>
    <cacheField name="team_2_score" numFmtId="0">
      <sharedItems containsSemiMixedTypes="0" containsString="0" containsNumber="1" containsInteger="1" minValue="45" maxValue="222"/>
    </cacheField>
    <cacheField name="team_2_wicket" numFmtId="0">
      <sharedItems containsSemiMixedTypes="0" containsString="0" containsNumber="1" containsInteger="1" minValue="0" maxValue="10"/>
    </cacheField>
    <cacheField name="player_of_match" numFmtId="0">
      <sharedItems/>
    </cacheField>
    <cacheField name="toss_winner" numFmtId="0">
      <sharedItems/>
    </cacheField>
    <cacheField name="toss_decision" numFmtId="0">
      <sharedItems/>
    </cacheField>
    <cacheField name="winner" numFmtId="0">
      <sharedItems/>
    </cacheField>
    <cacheField name="Correct_Winner" numFmtId="0">
      <sharedItems count="32">
        <s v="Dhaka Gladiators"/>
        <s v="Barisal Burners"/>
        <s v="Duronto Rajshahi"/>
        <s v="Sylhet Royals"/>
        <s v="Chittagong Kings"/>
        <s v="Khulna Royal Bengals"/>
        <s v="Comilla Victorians"/>
        <s v="Barisal Bulls"/>
        <s v="Sylhet Super Stars"/>
        <s v="Rangpur Riders"/>
        <s v="Dhaka Dynamites"/>
        <s v="Rajshahi Kings"/>
        <s v="Khulna Titans"/>
        <s v="Chittagong Vikings"/>
        <s v="Sylhet Sixers"/>
        <s v="Rajshahi Royals"/>
        <s v="Khulna Tigers"/>
        <s v="Chattogram Challengers"/>
        <s v="Rangpur Rangers"/>
        <s v="Dhaka Platoon"/>
        <s v="Fortune Barishal"/>
        <s v="Minister Group Dhaka"/>
        <s v="Cumilla Warriors"/>
        <s v="Sylhet Thunder"/>
        <s v="Sylhet Sunrisers"/>
        <s v="Sylhet Strikers"/>
        <s v="Dhaka Dominators"/>
        <s v="Durdanto Dhaka"/>
        <s v="Fortune Barishal "/>
        <s v="Comilla Victorians "/>
        <s v="Durbar Rajshahi"/>
        <s v="Dhaka Capital"/>
      </sharedItems>
    </cacheField>
    <cacheField name="venue" numFmtId="0">
      <sharedItems/>
    </cacheField>
    <cacheField name="city" numFmtId="0">
      <sharedItems/>
    </cacheField>
    <cacheField name="win_by_wickets" numFmtId="0">
      <sharedItems containsSemiMixedTypes="0" containsString="0" containsNumber="1" containsInteger="1" minValue="0" maxValue="96"/>
    </cacheField>
    <cacheField name="win_by_runs" numFmtId="0">
      <sharedItems containsSemiMixedTypes="0" containsString="0" containsNumber="1" containsInteger="1" minValue="0" maxValue="149"/>
    </cacheField>
    <cacheField name="result" numFmtId="0">
      <sharedItems/>
    </cacheField>
    <cacheField name="Win_By_Type" numFmtId="0">
      <sharedItems/>
    </cacheField>
    <cacheField name="Win_Margin" numFmtId="0">
      <sharedItems containsSemiMixedTypes="0" containsString="0" containsNumber="1" containsInteger="1" minValue="0" maxValue="149"/>
    </cacheField>
    <cacheField name="Close_Match_Flag" numFmtId="0">
      <sharedItems/>
    </cacheField>
    <cacheField name="Total_Runs" numFmtId="0">
      <sharedItems containsSemiMixedTypes="0" containsString="0" containsNumber="1" containsInteger="1" minValue="89" maxValue="460"/>
    </cacheField>
    <cacheField name="High_Scoring_Flag" numFmtId="0">
      <sharedItems/>
    </cacheField>
    <cacheField name="umpire_1" numFmtId="0">
      <sharedItems/>
    </cacheField>
    <cacheField name="umpire_2"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69.632902893522" createdVersion="8" refreshedVersion="8" minRefreshableVersion="3" recordCount="962" xr:uid="{2DDE7DDD-FDC2-4DC1-9AA7-85D76A44208A}">
  <cacheSource type="worksheet">
    <worksheetSource name="Table5"/>
  </cacheSource>
  <cacheFields count="30">
    <cacheField name="season" numFmtId="0">
      <sharedItems count="11">
        <s v="2011/12"/>
        <s v="2012/13"/>
        <s v="2015/16"/>
        <s v="2016/17"/>
        <s v="2017/18"/>
        <s v="2018/19"/>
        <s v="2019/20"/>
        <s v="2021/22"/>
        <s v="2022/23"/>
        <s v="2023/24"/>
        <s v="2024/25"/>
      </sharedItems>
    </cacheField>
    <cacheField name="Year" numFmtId="0">
      <sharedItems containsSemiMixedTypes="0" containsString="0" containsNumber="1" containsInteger="1" minValue="2011" maxValue="2024" count="11">
        <n v="2011"/>
        <n v="2012"/>
        <n v="2015"/>
        <n v="2016"/>
        <n v="2017"/>
        <n v="2018"/>
        <n v="2019"/>
        <n v="2021"/>
        <n v="2022"/>
        <n v="2023"/>
        <n v="2024"/>
      </sharedItems>
    </cacheField>
    <cacheField name="match_no" numFmtId="0">
      <sharedItems count="58">
        <s v="Final"/>
        <s v="2nd"/>
        <s v="1st"/>
        <s v="29th"/>
        <s v="28th"/>
        <s v="27th"/>
        <s v="26th"/>
        <s v="25th"/>
        <s v="24th"/>
        <s v="23rd"/>
        <s v="Semi-Final"/>
        <s v="22nd"/>
        <s v="21st"/>
        <s v="Elimination"/>
        <s v="20th"/>
        <s v="Race"/>
        <s v="19th"/>
        <s v="42nd"/>
        <s v="18th"/>
        <s v="41st"/>
        <s v="17th"/>
        <s v="40th"/>
        <s v="16th"/>
        <s v="15th"/>
        <s v="39th"/>
        <s v="14th"/>
        <s v="38th"/>
        <s v="13th"/>
        <s v="12th"/>
        <s v="Qualifier"/>
        <s v="11th"/>
        <s v="Eliminator"/>
        <s v="10th"/>
        <s v="9th"/>
        <s v="8th"/>
        <s v="7th"/>
        <s v="6th"/>
        <s v="5th"/>
        <s v="4th"/>
        <s v="3rd"/>
        <s v="Eliminator,"/>
        <s v="37th"/>
        <s v="36th"/>
        <s v="35th"/>
        <s v="34th"/>
        <s v="33rd"/>
        <s v="32nd"/>
        <s v="31st"/>
        <s v="30th"/>
        <s v="2nd "/>
        <s v="1st Qualifier"/>
        <s v="2nd Qualifier"/>
        <s v="Final "/>
        <s v="31th"/>
        <s v="Qualifier1"/>
        <s v="Qualifier2"/>
        <s v="Qualifier 1"/>
        <s v="Qualifier 2"/>
      </sharedItems>
    </cacheField>
    <cacheField name="Match_Type" numFmtId="0">
      <sharedItems count="3">
        <s v="Final"/>
        <s v="League"/>
        <s v="Eliminator"/>
      </sharedItems>
    </cacheField>
    <cacheField name="date" numFmtId="0">
      <sharedItems/>
    </cacheField>
    <cacheField name="team_1_score" numFmtId="0">
      <sharedItems containsSemiMixedTypes="0" containsString="0" containsNumber="1" containsInteger="1" minValue="44" maxValue="254" count="137">
        <n v="140"/>
        <n v="191"/>
        <n v="184"/>
        <n v="116"/>
        <n v="150"/>
        <n v="106"/>
        <n v="165"/>
        <n v="156"/>
        <n v="124"/>
        <n v="172"/>
        <n v="120"/>
        <n v="149"/>
        <n v="161"/>
        <n v="128"/>
        <n v="107"/>
        <n v="137"/>
        <n v="197"/>
        <n v="192"/>
        <n v="168"/>
        <n v="139"/>
        <n v="144"/>
        <n v="126"/>
        <n v="171"/>
        <n v="193"/>
        <n v="114"/>
        <n v="125"/>
        <n v="145"/>
        <n v="160"/>
        <n v="152"/>
        <n v="135"/>
        <n v="208"/>
        <n v="163"/>
        <n v="153"/>
        <n v="157"/>
        <n v="180"/>
        <n v="121"/>
        <n v="175"/>
        <n v="159"/>
        <n v="206"/>
        <n v="142"/>
        <n v="158"/>
        <n v="170"/>
        <n v="111"/>
        <n v="154"/>
        <n v="134"/>
        <n v="141"/>
        <n v="167"/>
        <n v="194"/>
        <n v="174"/>
        <n v="147"/>
        <n v="67"/>
        <n v="199"/>
        <n v="123"/>
        <n v="72"/>
        <n v="127"/>
        <n v="189"/>
        <n v="164"/>
        <n v="205"/>
        <n v="155"/>
        <n v="218"/>
        <n v="179"/>
        <n v="138"/>
        <n v="181"/>
        <n v="183"/>
        <n v="202"/>
        <n v="196"/>
        <n v="176"/>
        <n v="217"/>
        <n v="136"/>
        <n v="182"/>
        <n v="122"/>
        <n v="213"/>
        <n v="129"/>
        <n v="132"/>
        <n v="99"/>
        <n v="204"/>
        <n v="59"/>
        <n v="105"/>
        <n v="58"/>
        <n v="104"/>
        <n v="166"/>
        <n v="82"/>
        <n v="92"/>
        <n v="109"/>
        <n v="89"/>
        <n v="108"/>
        <n v="110"/>
        <n v="187"/>
        <n v="188"/>
        <n v="131"/>
        <n v="119"/>
        <n v="162"/>
        <n v="185"/>
        <n v="151"/>
        <n v="190"/>
        <n v="148"/>
        <n v="44"/>
        <n v="133"/>
        <n v="97"/>
        <n v="173"/>
        <n v="211"/>
        <n v="169"/>
        <n v="201"/>
        <n v="146"/>
        <n v="115"/>
        <n v="101"/>
        <n v="143"/>
        <n v="186"/>
        <n v="237"/>
        <n v="198"/>
        <n v="195"/>
        <n v="239"/>
        <n v="214"/>
        <n v="68"/>
        <n v="117"/>
        <n v="63"/>
        <n v="98"/>
        <n v="232"/>
        <n v="238"/>
        <n v="221"/>
        <n v="91"/>
        <n v="100"/>
        <n v="96"/>
        <n v="113"/>
        <n v="178"/>
        <n v="130"/>
        <n v="177"/>
        <n v="210"/>
        <n v="118"/>
        <n v="219"/>
        <n v="203"/>
        <n v="254"/>
        <n v="200"/>
        <n v="209"/>
        <n v="73"/>
        <n v="220"/>
        <n v="85"/>
      </sharedItems>
    </cacheField>
    <cacheField name="team_1_wicket" numFmtId="0">
      <sharedItems containsSemiMixedTypes="0" containsString="0" containsNumber="1" containsInteger="1" minValue="0" maxValue="10"/>
    </cacheField>
    <cacheField name="team_2_score" numFmtId="0">
      <sharedItems containsSemiMixedTypes="0" containsString="0" containsNumber="1" containsInteger="1" minValue="45" maxValue="222" count="129">
        <n v="144"/>
        <n v="182"/>
        <n v="189"/>
        <n v="120"/>
        <n v="151"/>
        <n v="110"/>
        <n v="130"/>
        <n v="160"/>
        <n v="125"/>
        <n v="129"/>
        <n v="107"/>
        <n v="150"/>
        <n v="162"/>
        <n v="132"/>
        <n v="108"/>
        <n v="93"/>
        <n v="193"/>
        <n v="139"/>
        <n v="121"/>
        <n v="113"/>
        <n v="141"/>
        <n v="145"/>
        <n v="117"/>
        <n v="169"/>
        <n v="126"/>
        <n v="157"/>
        <n v="146"/>
        <n v="163"/>
        <n v="154"/>
        <n v="187"/>
        <n v="91"/>
        <n v="155"/>
        <n v="156"/>
        <n v="79"/>
        <n v="131"/>
        <n v="174"/>
        <n v="158"/>
        <n v="76"/>
        <n v="103"/>
        <n v="153"/>
        <n v="167"/>
        <n v="86"/>
        <n v="143"/>
        <n v="159"/>
        <n v="112"/>
        <n v="135"/>
        <n v="142"/>
        <n v="149"/>
        <n v="96"/>
        <n v="171"/>
        <n v="94"/>
        <n v="128"/>
        <n v="68"/>
        <n v="147"/>
        <n v="166"/>
        <n v="136"/>
        <n v="124"/>
        <n v="190"/>
        <n v="165"/>
        <n v="207"/>
        <n v="138"/>
        <n v="84"/>
        <n v="148"/>
        <n v="186"/>
        <n v="180"/>
        <n v="115"/>
        <n v="161"/>
        <n v="74"/>
        <n v="140"/>
        <n v="198"/>
        <n v="67"/>
        <n v="152"/>
        <n v="168"/>
        <n v="88"/>
        <n v="137"/>
        <n v="176"/>
        <n v="89"/>
        <n v="127"/>
        <n v="209"/>
        <n v="97"/>
        <n v="60"/>
        <n v="106"/>
        <n v="62"/>
        <n v="75"/>
        <n v="90"/>
        <n v="177"/>
        <n v="179"/>
        <n v="188"/>
        <n v="184"/>
        <n v="92"/>
        <n v="123"/>
        <n v="45"/>
        <n v="100"/>
        <n v="191"/>
        <n v="133"/>
        <n v="164"/>
        <n v="172"/>
        <n v="104"/>
        <n v="183"/>
        <n v="195"/>
        <n v="116"/>
        <n v="69"/>
        <n v="181"/>
        <n v="118"/>
        <n v="87"/>
        <n v="101"/>
        <n v="170"/>
        <n v="134"/>
        <n v="175"/>
        <n v="222"/>
        <n v="205"/>
        <n v="192"/>
        <n v="95"/>
        <n v="173"/>
        <n v="196"/>
        <n v="178"/>
        <n v="213"/>
        <n v="122"/>
        <n v="114"/>
        <n v="78"/>
        <n v="73"/>
        <n v="85"/>
        <n v="200"/>
        <n v="210"/>
        <n v="202"/>
        <n v="105"/>
        <n v="119"/>
        <n v="80"/>
        <n v="77"/>
      </sharedItems>
    </cacheField>
    <cacheField name="team_2_wicket" numFmtId="0">
      <sharedItems containsSemiMixedTypes="0" containsString="0" containsNumber="1" containsInteger="1" minValue="0" maxValue="10"/>
    </cacheField>
    <cacheField name="player_of_match" numFmtId="0">
      <sharedItems count="187">
        <s v="Imran Nazir"/>
        <s v="Azhar Mahmood"/>
        <s v="Ahmed Shehzad"/>
        <s v="Mohammad Sami"/>
        <s v="Brad Hodge"/>
        <s v="Sean Ervine"/>
        <s v="Peter Trego"/>
        <s v="Sohail Tanvir"/>
        <s v="Mosharraf Hossain"/>
        <s v="Dwayne Bravo"/>
        <s v="Ryan ten Doeschate"/>
        <s v="Mominul Haque"/>
        <s v="Taskin Ahmed"/>
        <s v="Nasir Hossain"/>
        <s v="Chris Gayle"/>
        <s v="Junaid Siddique"/>
        <s v="Shakib Al Hasan"/>
        <s v="Hamid Hassan"/>
        <s v="Shivnarine Chanderpaul"/>
        <s v="Paul Stirling"/>
        <s v="Saqlain Sajib"/>
        <s v="Andre Russell"/>
        <s v="Jason Roy"/>
        <s v="Marlon Samuels"/>
        <s v="Nasir Jamshed"/>
        <s v="Alok Kapali"/>
        <s v="Mushfiqur Rahim"/>
        <s v="Sabbir Rahman"/>
        <s v="Mahmudullah"/>
        <s v="Al-Amin Hossain"/>
        <s v="Ashar Zaidi"/>
        <s v="Kieron Pollard"/>
        <s v="Dwayne Smith"/>
        <s v="Anamul Haque"/>
        <s v="Ravi Bopara"/>
        <s v="Jahurul Islam"/>
        <s v="Kumar Sangakkara"/>
        <s v="Samit Patel"/>
        <s v="Daren Sammy"/>
        <s v="Rashid Khan"/>
        <s v="Afif Hossain"/>
        <s v="Mohammad Shahzad"/>
        <s v="Johnson Charles"/>
        <s v="Shahid Afridi"/>
        <s v="Litton Das"/>
        <s v="Luis Reece"/>
        <s v="Ariful Haque"/>
        <s v="Mohammad Mithun"/>
        <s v="Tamim Iqbal"/>
        <s v="Rubel Hossain"/>
        <s v="Evin Lewis"/>
        <s v="Sunil Narine"/>
        <s v="Upul Tharanga"/>
        <s v="Ebadot Hossain"/>
        <s v="Mohammad Saifuddin"/>
        <s v="Laurie Evans"/>
        <s v="Cameron Delport"/>
        <s v="Mohammad Amir"/>
        <s v="Rayad Emrit"/>
        <s v="Najmul Hossain Shanto"/>
        <s v="Lewis Gregory"/>
        <s v="Shadab Khan"/>
        <s v="Robbie Frylinck"/>
        <s v="Mustafizur Rahman"/>
        <s v="Andre Fletcher"/>
        <s v="Faf du Plessis"/>
        <s v="Mrittunjoy Chowdhury"/>
        <s v="Mehedi Hasan Rana"/>
        <s v="Kevin O'Brien"/>
        <s v="Mohammad Ashraful"/>
        <s v="Danza Hyatt"/>
        <s v="Brendan Taylor"/>
        <s v="Shahriar Nafees"/>
        <s v="Shamsur Rahman"/>
        <s v="Naeem Islam"/>
        <s v="Alfonso Thomas"/>
        <s v="Nazmul Hossain Milon"/>
        <s v="Fidel Edwards"/>
        <s v="Darren Stevens"/>
        <s v="Charles Coventry"/>
        <s v="Mohammad Nabi"/>
        <s v="Daniel Harris"/>
        <s v="Hamilton Masakadza"/>
        <s v="Elton Chigumbura"/>
        <s v="Owais Shah"/>
        <s v="Arafat Sunny"/>
        <s v="Shoaib Malik"/>
        <s v="Tillakaratne Dilshan"/>
        <s v="Soumya Sarkar"/>
        <s v="Kevon Cooper"/>
        <s v="Shadman Islam"/>
        <s v="Nuwan Kulasekara"/>
        <s v="Mashrafe Mortaza"/>
        <s v="Shafiul Islam"/>
        <s v="Abul Hasan"/>
        <s v="Misbah-ul-Haq"/>
        <s v="Nabil Samad"/>
        <s v="Mehidy Hasan Miraz"/>
        <s v="Shuvagata Hom"/>
        <s v="Mohammad Shahid"/>
        <s v="Mehedi Maruf"/>
        <s v="Dawid Malan"/>
        <s v="Mosaddek Hossain"/>
        <s v="Thisara Perera"/>
        <s v="Mahedi Hasan"/>
        <s v="Nazmul Islam"/>
        <s v="Nicholas Pooran"/>
        <s v="Sikandar Raza"/>
        <s v="Hasan Ali"/>
        <s v="Rilee Rossouw"/>
        <s v="Zakir Hasan"/>
        <s v="Imrul Kayes"/>
        <s v="Abu Jayed"/>
        <s v="Danushka Gunathilaka"/>
        <s v="Farhad Reza"/>
        <s v="AB de Villiers"/>
        <s v="Mohammad Nawaz"/>
        <s v="Alex Hales"/>
        <s v="David Wiese"/>
        <s v="Taijul Islam"/>
        <s v="Rony Talukdar"/>
        <s v="Al Islam"/>
        <s v="Isuru Udana"/>
        <s v="Hazratullah Zazai"/>
        <s v="Shane Watson"/>
        <s v="Hasan Mahmud"/>
        <s v="Mujeeb Ur Rahman"/>
        <s v="Wahab Riaz"/>
        <s v="Shohidul Islam"/>
        <s v="Chadwick Walton"/>
        <s v="Mohammad Naim"/>
        <s v="Dasun Shanaka"/>
        <s v="Nahidul Islam"/>
        <s v="Benny Howell"/>
        <s v="Nasum Ahmed"/>
        <s v="Shamim Hossain"/>
        <s v="Mahmudul Hasan Joy"/>
        <s v="Moeen Ali"/>
        <s v="Will Jacks"/>
        <s v="Rejaur Rahman Raja"/>
        <s v="Towhid Hridoy"/>
        <s v="Usman Khan"/>
        <s v="Iftikhar Ahmed"/>
        <s v="Robiul Haque"/>
        <s v="Imad Wasim"/>
        <s v="Khushdil Shah"/>
        <s v="ShoaibÂ Malik"/>
        <s v="Azmatullah Omarzai"/>
        <s v="Mohammad Rizwan"/>
        <s v="Najmul HossainÂ Shanto"/>
        <s v="Nurul Hasan"/>
        <s v="Ziaur Rahman"/>
        <s v="Mukidul Islam"/>
        <s v="Haris Rauf"/>
        <s v="Tanvir Islam"/>
        <s v="Tanzim Hasan Sakib"/>
        <s v="Shoriful Islam"/>
        <s v="Najibullah Zadran"/>
        <s v="Khaled Ahmed"/>
        <s v="tanzid-hasan"/>
        <s v="Matthew Forde"/>
        <s v="CurtisÂ Campher"/>
        <s v="Babar Azam"/>
        <s v="Bilal Khan"/>
        <s v="Richard Ngarava"/>
        <s v="Aamer Jamal"/>
        <s v="Harry Tector"/>
        <s v="James Neesham"/>
        <s v="Imran Tahir"/>
        <s v="Wayne Parnell"/>
        <s v="Kyle Mayers"/>
        <s v="Tanzid Hasan"/>
        <s v="Abu Hider"/>
        <s v="Mahidul Islam Ankon"/>
        <s v="Nahid Rana"/>
        <s v="Saif Hassan"/>
        <s v="Jahandad Khan"/>
        <s v="Ryan Burl"/>
        <s v="Graham Clark"/>
        <s v="Akif Javed"/>
        <s v="Sunzamul Ialam"/>
        <s v="Rishad Hossain"/>
        <s v="Faheem Ashraf"/>
        <s v="SM Meherob"/>
        <s v="Haider Ali"/>
        <s v="Parvez Hossain Emon"/>
        <s v="Mohammad Ali"/>
      </sharedItems>
    </cacheField>
    <cacheField name="toss_winner" numFmtId="0">
      <sharedItems/>
    </cacheField>
    <cacheField name="toss_decision" numFmtId="0">
      <sharedItems/>
    </cacheField>
    <cacheField name="winner" numFmtId="0">
      <sharedItems/>
    </cacheField>
    <cacheField name="Correct_Winner" numFmtId="0">
      <sharedItems/>
    </cacheField>
    <cacheField name="venue" numFmtId="0">
      <sharedItems count="5">
        <s v="SBNCS"/>
        <s v="ZACS"/>
        <s v="MAAziz"/>
        <s v="SAbuNaserK"/>
        <s v="SylhetICS"/>
      </sharedItems>
    </cacheField>
    <cacheField name="city" numFmtId="0">
      <sharedItems/>
    </cacheField>
    <cacheField name="win_by_wickets" numFmtId="0">
      <sharedItems containsSemiMixedTypes="0" containsString="0" containsNumber="1" containsInteger="1" minValue="0" maxValue="96"/>
    </cacheField>
    <cacheField name="win_by_runs" numFmtId="0">
      <sharedItems containsSemiMixedTypes="0" containsString="0" containsNumber="1" containsInteger="1" minValue="0" maxValue="149"/>
    </cacheField>
    <cacheField name="result" numFmtId="0">
      <sharedItems/>
    </cacheField>
    <cacheField name="Win_By_Type" numFmtId="0">
      <sharedItems/>
    </cacheField>
    <cacheField name="Win_Margin" numFmtId="0">
      <sharedItems containsSemiMixedTypes="0" containsString="0" containsNumber="1" containsInteger="1" minValue="0" maxValue="149"/>
    </cacheField>
    <cacheField name="Close_Match_Flag" numFmtId="0">
      <sharedItems/>
    </cacheField>
    <cacheField name="Total_Runs" numFmtId="0">
      <sharedItems containsSemiMixedTypes="0" containsString="0" containsNumber="1" containsInteger="1" minValue="89" maxValue="460"/>
    </cacheField>
    <cacheField name="High_Scoring_Flag" numFmtId="0">
      <sharedItems count="2">
        <s v="170+ Match"/>
        <s v="Below 170"/>
      </sharedItems>
    </cacheField>
    <cacheField name="umpire_1" numFmtId="0">
      <sharedItems/>
    </cacheField>
    <cacheField name="umpire_2" numFmtId="0">
      <sharedItems/>
    </cacheField>
    <cacheField name="Team" numFmtId="0">
      <sharedItems count="2">
        <s v="team_1"/>
        <s v="team_2"/>
      </sharedItems>
    </cacheField>
    <cacheField name="Team_Name" numFmtId="0">
      <sharedItems count="32">
        <s v="Barisal Burners"/>
        <s v="Dhaka Gladiators"/>
        <s v="Khulna Royal Bengals"/>
        <s v="Duronto Rajshahi"/>
        <s v="Chittagong Kings"/>
        <s v="Sylhet Royals"/>
        <s v="Rangpur Riders"/>
        <s v="Barisal Bulls"/>
        <s v="Comilla Victorians"/>
        <s v="Dhaka Dynamites"/>
        <s v="Sylhet Super Stars"/>
        <s v="Chittagong Vikings"/>
        <s v="Rajshahi Kings"/>
        <s v="Khulna Titans"/>
        <s v="Sylhet Sixers"/>
        <s v="Rajshahi Royals"/>
        <s v="Khulna Tigers"/>
        <s v="Chattogram Challengers"/>
        <s v="Dhaka Platoon"/>
        <s v="Cumilla Warriors"/>
        <s v="Rangpur Rangers"/>
        <s v="Sylhet Sunrisers"/>
        <s v="Fortune Barishal"/>
        <s v="Minister Group Dhaka"/>
        <s v="Sylhet Thunder"/>
        <s v="Sylhet Strikers"/>
        <s v="Dhaka Dominators"/>
        <s v="Comilla Victorians "/>
        <s v="Durdanto Dhaka"/>
        <s v="Fortune Barishal "/>
        <s v="Durbar Rajshahi"/>
        <s v="Dhaka Capital"/>
      </sharedItems>
    </cacheField>
    <cacheField name="Win_Flag" numFmtId="0">
      <sharedItems containsSemiMixedTypes="0" containsString="0" containsNumber="1" containsInteger="1" minValue="0" maxValue="1" count="2">
        <n v="0"/>
        <n v="1"/>
      </sharedItems>
    </cacheField>
    <cacheField name="Field1" numFmtId="0" formula="Win_Flag/Team_Name" databaseField="0"/>
  </cacheFields>
  <extLst>
    <ext xmlns:x14="http://schemas.microsoft.com/office/spreadsheetml/2009/9/main" uri="{725AE2AE-9491-48be-B2B4-4EB974FC3084}">
      <x14:pivotCacheDefinition pivotCacheId="1201936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s v="2011/12"/>
    <s v="2011"/>
    <x v="0"/>
    <s v="Final"/>
    <s v="Feb 29 2012"/>
    <x v="0"/>
    <x v="0"/>
    <n v="7"/>
    <x v="0"/>
    <n v="144"/>
    <n v="2"/>
    <s v="Imran Nazir"/>
    <s v="Dhaka Gladiators"/>
    <s v="field first"/>
    <s v="Dhaka"/>
    <x v="0"/>
    <s v="SBNCS"/>
    <s v="Mirpur"/>
    <n v="8"/>
    <n v="0"/>
    <s v="8 wickets"/>
    <s v="Wickets"/>
    <n v="8"/>
    <s v="Close Match"/>
    <n v="284"/>
    <s v="170+ Match"/>
    <s v="David Orchard"/>
    <s v="Enamul Haque"/>
  </r>
  <r>
    <s v="2011/12"/>
    <s v="2011"/>
    <x v="1"/>
    <s v="League"/>
    <s v="Feb 28 2012"/>
    <x v="1"/>
    <x v="1"/>
    <n v="4"/>
    <x v="1"/>
    <n v="182"/>
    <n v="7"/>
    <s v="Azhar Mahmood"/>
    <s v="Dhaka Gladiators"/>
    <s v="bat first"/>
    <s v="Dhaka"/>
    <x v="0"/>
    <s v="SBNCS"/>
    <s v="Mirpur"/>
    <n v="0"/>
    <n v="9"/>
    <s v="9 runs"/>
    <s v="Runs"/>
    <n v="9"/>
    <s v="Close Match"/>
    <n v="373"/>
    <s v="170+ Match"/>
    <s v="Enamul Haque"/>
    <s v="Nadir Shah"/>
  </r>
  <r>
    <s v="2011/12"/>
    <s v="2011"/>
    <x v="2"/>
    <s v="League"/>
    <s v="Feb 28 2012"/>
    <x v="2"/>
    <x v="2"/>
    <n v="6"/>
    <x v="2"/>
    <n v="189"/>
    <n v="2"/>
    <s v="Ahmed Shehzad"/>
    <s v="Barisal Burners"/>
    <s v="field first"/>
    <s v="Barisal"/>
    <x v="1"/>
    <s v="SBNCS"/>
    <s v="Mirpur"/>
    <n v="8"/>
    <n v="0"/>
    <s v="8 wickets"/>
    <s v="Wickets"/>
    <n v="8"/>
    <s v="Close Match"/>
    <n v="373"/>
    <s v="170+ Match"/>
    <s v="David Orchard"/>
    <s v="Sharfuddoula"/>
  </r>
  <r>
    <s v="2011/12"/>
    <s v="2011"/>
    <x v="3"/>
    <s v="League"/>
    <s v="Feb 27 2012"/>
    <x v="1"/>
    <x v="3"/>
    <n v="10"/>
    <x v="3"/>
    <n v="120"/>
    <n v="7"/>
    <s v="Mohammad Sami"/>
    <s v="Dhaka Gladiators"/>
    <s v="bat first"/>
    <s v="Rajshahi"/>
    <x v="2"/>
    <s v="SBNCS"/>
    <s v="Mirpur"/>
    <n v="3"/>
    <n v="0"/>
    <s v="3 wickets"/>
    <s v="Wickets"/>
    <n v="3"/>
    <s v="Close Match"/>
    <n v="236"/>
    <s v="170+ Match"/>
    <s v="Mahfuzur Rahman"/>
    <s v="Nadir Shah"/>
  </r>
  <r>
    <s v="2011/12"/>
    <s v="2011"/>
    <x v="4"/>
    <s v="League"/>
    <s v="Feb 26 2012"/>
    <x v="3"/>
    <x v="4"/>
    <n v="9"/>
    <x v="2"/>
    <n v="151"/>
    <n v="5"/>
    <s v="Brad Hodge"/>
    <s v="Barisal Burners"/>
    <s v="field first"/>
    <s v="Barisal"/>
    <x v="1"/>
    <s v="SBNCS"/>
    <s v="Mirpur"/>
    <n v="5"/>
    <n v="0"/>
    <s v="5 wickets"/>
    <s v="Wickets"/>
    <n v="5"/>
    <s v="Close Match"/>
    <n v="301"/>
    <s v="170+ Match"/>
    <s v="Gazi Sohel"/>
    <s v="Jeremy Lloyds"/>
  </r>
  <r>
    <s v="2011/12"/>
    <s v="2011"/>
    <x v="5"/>
    <s v="League"/>
    <s v="Feb 26 2012"/>
    <x v="4"/>
    <x v="5"/>
    <n v="10"/>
    <x v="3"/>
    <n v="110"/>
    <n v="2"/>
    <s v="Sean Ervine"/>
    <s v="Khulna Royal Bengals"/>
    <s v="bat first"/>
    <s v="Rajshahi"/>
    <x v="2"/>
    <s v="SBNCS"/>
    <s v="Mirpur"/>
    <n v="8"/>
    <n v="0"/>
    <s v="8 wickets"/>
    <s v="Wickets"/>
    <n v="8"/>
    <s v="Close Match"/>
    <n v="216"/>
    <s v="170+ Match"/>
    <s v="David Orchard"/>
    <s v="Nadir Shah"/>
  </r>
  <r>
    <s v="2011/12"/>
    <s v="2011"/>
    <x v="6"/>
    <s v="League"/>
    <s v="Feb 25 2012"/>
    <x v="5"/>
    <x v="6"/>
    <n v="3"/>
    <x v="4"/>
    <n v="130"/>
    <n v="8"/>
    <s v="Peter Trego"/>
    <s v="Chittagong Kings"/>
    <s v="field first"/>
    <s v="Royals"/>
    <x v="3"/>
    <s v="SBNCS"/>
    <s v="Mirpur"/>
    <n v="0"/>
    <n v="35"/>
    <s v="35 runs"/>
    <s v="Runs"/>
    <n v="35"/>
    <s v="Normal"/>
    <n v="295"/>
    <s v="170+ Match"/>
    <s v="David Orchard"/>
    <s v="Masudur Rahman"/>
  </r>
  <r>
    <s v="2011/12"/>
    <s v="2011"/>
    <x v="7"/>
    <s v="League"/>
    <s v="Feb 25 2012"/>
    <x v="0"/>
    <x v="7"/>
    <n v="6"/>
    <x v="0"/>
    <n v="160"/>
    <n v="5"/>
    <s v="Imran Nazir"/>
    <s v="Dhaka Gladiators"/>
    <s v="field first"/>
    <s v="Dhaka"/>
    <x v="0"/>
    <s v="SBNCS"/>
    <s v="Mirpur"/>
    <n v="5"/>
    <n v="0"/>
    <s v="5 wickets"/>
    <s v="Wickets"/>
    <n v="5"/>
    <s v="Close Match"/>
    <n v="316"/>
    <s v="170+ Match"/>
    <s v="Jeremy Lloyds"/>
    <s v="Nadir Shah"/>
  </r>
  <r>
    <s v="2011/12"/>
    <s v="2011"/>
    <x v="8"/>
    <s v="League"/>
    <s v="Feb 24 2012"/>
    <x v="2"/>
    <x v="8"/>
    <n v="9"/>
    <x v="5"/>
    <n v="125"/>
    <n v="1"/>
    <s v="Sohail Tanvir"/>
    <s v="Sylhet Royals"/>
    <s v="field first"/>
    <s v="Royals"/>
    <x v="3"/>
    <s v="SBNCS"/>
    <s v="Mirpur"/>
    <n v="9"/>
    <n v="0"/>
    <s v="9 wickets"/>
    <s v="Wickets"/>
    <n v="9"/>
    <s v="Close Match"/>
    <n v="249"/>
    <s v="170+ Match"/>
    <s v="Anisur Rahman"/>
    <s v="Jeremy Lloyds"/>
  </r>
  <r>
    <s v="2012/13"/>
    <s v="2012"/>
    <x v="0"/>
    <s v="Final"/>
    <s v="Feb 19 2013"/>
    <x v="1"/>
    <x v="9"/>
    <n v="9"/>
    <x v="4"/>
    <n v="129"/>
    <n v="10"/>
    <s v="Mosharraf Hossain"/>
    <s v="Chittagong Kings"/>
    <s v="field first"/>
    <s v="Dhaka"/>
    <x v="0"/>
    <s v="SBNCS"/>
    <s v="Mirpur"/>
    <n v="0"/>
    <n v="43"/>
    <s v="43 runs"/>
    <s v="Runs"/>
    <n v="43"/>
    <s v="Normal"/>
    <n v="301"/>
    <s v="170+ Match"/>
    <s v="Enamul Haque"/>
    <s v="Richard Illingworth"/>
  </r>
  <r>
    <s v="2011/12"/>
    <s v="2011"/>
    <x v="9"/>
    <s v="League"/>
    <s v="Feb 24 2012"/>
    <x v="3"/>
    <x v="10"/>
    <n v="6"/>
    <x v="0"/>
    <n v="107"/>
    <n v="9"/>
    <s v="Dwayne Bravo"/>
    <s v="Dhaka Gladiators"/>
    <s v="field first"/>
    <s v="Chittagong"/>
    <x v="4"/>
    <s v="SBNCS"/>
    <s v="Mirpur"/>
    <n v="0"/>
    <n v="13"/>
    <s v="13 runs"/>
    <s v="Runs"/>
    <n v="13"/>
    <s v="Normal"/>
    <n v="227"/>
    <s v="170+ Match"/>
    <s v="David Orchard"/>
    <s v="Nadir Shah"/>
  </r>
  <r>
    <s v="2012/13"/>
    <s v="2012"/>
    <x v="10"/>
    <s v="Final"/>
    <s v="Feb 18 2013"/>
    <x v="5"/>
    <x v="11"/>
    <n v="7"/>
    <x v="4"/>
    <n v="150"/>
    <n v="7"/>
    <s v="Ryan ten Doeschate"/>
    <s v="Chittagong Kings"/>
    <s v="field first"/>
    <s v="Chittagong"/>
    <x v="4"/>
    <s v="SBNCS"/>
    <s v="Mirpur"/>
    <n v="3"/>
    <n v="0"/>
    <s v="3 wickets"/>
    <s v="Wickets"/>
    <n v="3"/>
    <s v="Close Match"/>
    <n v="299"/>
    <s v="170+ Match"/>
    <s v="Enamul Haque"/>
    <s v="Jeremy Lloyds"/>
  </r>
  <r>
    <s v="2011/12"/>
    <s v="2011"/>
    <x v="11"/>
    <s v="League"/>
    <s v="Feb 22 2012"/>
    <x v="4"/>
    <x v="12"/>
    <n v="7"/>
    <x v="2"/>
    <n v="162"/>
    <n v="6"/>
    <s v="Mominul Haque"/>
    <s v="Khulna Royal Bengals"/>
    <s v="bat first"/>
    <s v="Barisal"/>
    <x v="1"/>
    <s v="ZACS"/>
    <s v="Chattogram"/>
    <n v="4"/>
    <n v="0"/>
    <s v="4 wickets"/>
    <s v="Wickets"/>
    <n v="4"/>
    <s v="Close Match"/>
    <n v="323"/>
    <s v="170+ Match"/>
    <s v="Enamul Haque"/>
    <s v="Jeremy Lloyds"/>
  </r>
  <r>
    <s v="2011/12"/>
    <s v="2011"/>
    <x v="12"/>
    <s v="League"/>
    <s v="Feb 22 2012"/>
    <x v="5"/>
    <x v="13"/>
    <n v="7"/>
    <x v="0"/>
    <n v="132"/>
    <n v="2"/>
    <s v="Azhar Mahmood"/>
    <s v="Dhaka Gladiators"/>
    <s v="field first"/>
    <s v="Dhaka"/>
    <x v="0"/>
    <s v="ZACS"/>
    <s v="Chattogram"/>
    <n v="8"/>
    <n v="0"/>
    <s v="8 wickets"/>
    <s v="Wickets"/>
    <n v="8"/>
    <s v="Close Match"/>
    <n v="260"/>
    <s v="170+ Match"/>
    <s v="David Orchard"/>
    <s v="Sharfuddoula"/>
  </r>
  <r>
    <s v="2012/13"/>
    <s v="2012"/>
    <x v="13"/>
    <s v="Eliminator"/>
    <s v="Feb 16 2013"/>
    <x v="2"/>
    <x v="14"/>
    <n v="7"/>
    <x v="4"/>
    <n v="108"/>
    <n v="6"/>
    <s v="Taskin Ahmed"/>
    <s v="Duronto Rajshahi"/>
    <s v="bat first"/>
    <s v="Chittagong"/>
    <x v="4"/>
    <s v="SBNCS"/>
    <s v="Mirpur"/>
    <n v="4"/>
    <n v="0"/>
    <s v="4 wickets"/>
    <s v="Wickets"/>
    <n v="4"/>
    <s v="Close Match"/>
    <n v="215"/>
    <s v="170+ Match"/>
    <s v="Anisur Rahman"/>
    <s v="Richard Illingworth"/>
  </r>
  <r>
    <s v="2011/12"/>
    <s v="2011"/>
    <x v="14"/>
    <s v="League"/>
    <s v="Feb 20 2012"/>
    <x v="4"/>
    <x v="15"/>
    <n v="6"/>
    <x v="4"/>
    <n v="93"/>
    <n v="10"/>
    <s v="Nasir Hossain"/>
    <s v="Chittagong Kings"/>
    <s v="field first"/>
    <s v="Khulna"/>
    <x v="5"/>
    <s v="ZACS"/>
    <s v="Chattogram"/>
    <n v="0"/>
    <n v="44"/>
    <s v="44 runs"/>
    <s v="Runs"/>
    <n v="44"/>
    <s v="Normal"/>
    <n v="230"/>
    <s v="170+ Match"/>
    <s v="David Orchard"/>
    <s v="Sharfuddoula"/>
  </r>
  <r>
    <s v="2012/13"/>
    <s v="2012"/>
    <x v="15"/>
    <s v="League"/>
    <s v="Feb 15 2013"/>
    <x v="1"/>
    <x v="16"/>
    <n v="9"/>
    <x v="5"/>
    <n v="193"/>
    <n v="6"/>
    <s v="Chris Gayle"/>
    <s v="Sylhet Royals"/>
    <s v="field first"/>
    <s v="Dhaka"/>
    <x v="0"/>
    <s v="SBNCS"/>
    <s v="Mirpur"/>
    <n v="0"/>
    <n v="4"/>
    <s v="4 runs"/>
    <s v="Runs"/>
    <n v="4"/>
    <s v="Close Match"/>
    <n v="390"/>
    <s v="170+ Match"/>
    <s v="Enamul Haque"/>
    <s v="Jeremy Lloyds"/>
  </r>
  <r>
    <s v="2011/12"/>
    <s v="2011"/>
    <x v="16"/>
    <s v="League"/>
    <s v="Feb 20 2012"/>
    <x v="0"/>
    <x v="17"/>
    <n v="3"/>
    <x v="3"/>
    <n v="193"/>
    <n v="1"/>
    <s v="Junaid Siddique"/>
    <s v="Barisal Burners"/>
    <s v="bat first"/>
    <s v="Rajshahi"/>
    <x v="2"/>
    <s v="ZACS"/>
    <s v="Chattogram"/>
    <n v="9"/>
    <n v="0"/>
    <s v="9 wickets"/>
    <s v="Wickets"/>
    <n v="9"/>
    <s v="Close Match"/>
    <n v="385"/>
    <s v="170+ Match"/>
    <s v="Enamul Haque"/>
    <s v="Jeremy Lloyds"/>
  </r>
  <r>
    <s v="2012/13"/>
    <s v="2012"/>
    <x v="17"/>
    <s v="League"/>
    <s v="Feb 14 2013"/>
    <x v="1"/>
    <x v="18"/>
    <n v="6"/>
    <x v="4"/>
    <n v="139"/>
    <n v="9"/>
    <s v="Shakib Al Hasan"/>
    <s v="Chittagong Kings"/>
    <s v="field first"/>
    <s v="Dhaka"/>
    <x v="0"/>
    <s v="SBNCS"/>
    <s v="Mirpur"/>
    <n v="0"/>
    <n v="29"/>
    <s v="29 runs"/>
    <s v="Runs"/>
    <n v="29"/>
    <s v="Normal"/>
    <n v="307"/>
    <s v="170+ Match"/>
    <s v="Anisur Rahman"/>
    <s v="Jeremy Lloyds"/>
  </r>
  <r>
    <s v="2011/12"/>
    <s v="2011"/>
    <x v="18"/>
    <s v="League"/>
    <s v="Feb 19 2012"/>
    <x v="5"/>
    <x v="10"/>
    <n v="7"/>
    <x v="2"/>
    <n v="121"/>
    <n v="1"/>
    <s v="Brad Hodge"/>
    <s v="Sylhet Royals"/>
    <s v="bat first"/>
    <s v="Barisal"/>
    <x v="1"/>
    <s v="ZACS"/>
    <s v="Chattogram"/>
    <n v="9"/>
    <n v="0"/>
    <s v="9 wickets"/>
    <s v="Wickets"/>
    <n v="9"/>
    <s v="Close Match"/>
    <n v="241"/>
    <s v="170+ Match"/>
    <s v="Enamul Haque"/>
    <s v="Jeremy Lloyds"/>
  </r>
  <r>
    <s v="2012/13"/>
    <s v="2012"/>
    <x v="19"/>
    <s v="League"/>
    <s v="Feb 14 2013"/>
    <x v="0"/>
    <x v="19"/>
    <n v="7"/>
    <x v="6"/>
    <n v="113"/>
    <n v="10"/>
    <s v="Hamid Hassan"/>
    <s v="Barisal Burners"/>
    <s v="bat first"/>
    <s v="Barisal"/>
    <x v="1"/>
    <s v="SBNCS"/>
    <s v="Mirpur"/>
    <n v="0"/>
    <n v="26"/>
    <s v="26 runs"/>
    <s v="Runs"/>
    <n v="26"/>
    <s v="Normal"/>
    <n v="252"/>
    <s v="170+ Match"/>
    <s v="Enamul Haque"/>
    <s v="Jeremy Lloyds"/>
  </r>
  <r>
    <s v="2011/12"/>
    <s v="2011"/>
    <x v="20"/>
    <s v="League"/>
    <s v="Feb 19 2012"/>
    <x v="1"/>
    <x v="0"/>
    <n v="8"/>
    <x v="1"/>
    <n v="141"/>
    <n v="3"/>
    <s v="Shivnarine Chanderpaul"/>
    <s v="Dhaka Gladiators"/>
    <s v="bat first"/>
    <s v="Khulna"/>
    <x v="5"/>
    <s v="ZACS"/>
    <s v="Chattogram"/>
    <n v="7"/>
    <n v="0"/>
    <s v="7 wickets"/>
    <s v="Wickets"/>
    <n v="7"/>
    <s v="Close Match"/>
    <n v="281"/>
    <s v="170+ Match"/>
    <s v="David Orchard"/>
    <s v="Sharfuddoula"/>
  </r>
  <r>
    <s v="2012/13"/>
    <s v="2012"/>
    <x v="21"/>
    <s v="League"/>
    <s v="Feb 13 2013"/>
    <x v="0"/>
    <x v="20"/>
    <n v="9"/>
    <x v="5"/>
    <n v="145"/>
    <n v="9"/>
    <s v="Paul Stirling"/>
    <s v="Sylhet Royals"/>
    <s v="field first"/>
    <s v="Royals"/>
    <x v="3"/>
    <s v="SBNCS"/>
    <s v="Mirpur"/>
    <n v="0"/>
    <n v="0"/>
    <s v="1 wicket"/>
    <s v="Wickets"/>
    <n v="0"/>
    <s v="Close Match"/>
    <n v="289"/>
    <s v="170+ Match"/>
    <s v="Enamul Haque"/>
    <s v="Jeremy Lloyds"/>
  </r>
  <r>
    <s v="2011/12"/>
    <s v="2011"/>
    <x v="22"/>
    <s v="League"/>
    <s v="Feb 18 2012"/>
    <x v="2"/>
    <x v="21"/>
    <n v="6"/>
    <x v="4"/>
    <n v="117"/>
    <n v="9"/>
    <s v="Saqlain Sajib"/>
    <s v="Duronto Rajshahi"/>
    <s v="bat first"/>
    <s v="Rajshahi"/>
    <x v="2"/>
    <s v="ZACS"/>
    <s v="Chattogram"/>
    <n v="0"/>
    <n v="9"/>
    <s v="9 runs"/>
    <s v="Runs"/>
    <n v="9"/>
    <s v="Close Match"/>
    <n v="243"/>
    <s v="170+ Match"/>
    <s v="David Orchard"/>
    <s v="Sharfuddoula"/>
  </r>
  <r>
    <s v="2011/12"/>
    <s v="2011"/>
    <x v="23"/>
    <s v="League"/>
    <s v="Feb 18 2012"/>
    <x v="4"/>
    <x v="22"/>
    <n v="6"/>
    <x v="5"/>
    <n v="169"/>
    <n v="8"/>
    <s v="Andre Russell"/>
    <s v="Sylhet Royals"/>
    <s v="field first"/>
    <s v="Khulna"/>
    <x v="5"/>
    <s v="ZACS"/>
    <s v="Chattogram"/>
    <n v="0"/>
    <n v="2"/>
    <s v="2 runs"/>
    <s v="Runs"/>
    <n v="2"/>
    <s v="Close Match"/>
    <n v="340"/>
    <s v="170+ Match"/>
    <s v="Enamul Haque"/>
    <s v="Jeremy Lloyds"/>
  </r>
  <r>
    <s v="2012/13"/>
    <s v="2012"/>
    <x v="24"/>
    <s v="League"/>
    <s v="Feb 13 2013"/>
    <x v="3"/>
    <x v="23"/>
    <n v="3"/>
    <x v="3"/>
    <n v="160"/>
    <n v="6"/>
    <s v="Jason Roy"/>
    <s v="Duronto Rajshahi"/>
    <s v="field first"/>
    <s v="Chittagong"/>
    <x v="4"/>
    <s v="SBNCS"/>
    <s v="Mirpur"/>
    <n v="0"/>
    <n v="33"/>
    <s v="33 runs"/>
    <s v="Runs"/>
    <n v="33"/>
    <s v="Normal"/>
    <n v="353"/>
    <s v="170+ Match"/>
    <s v="Gazi Sohel"/>
    <s v="Richard Illingworth"/>
  </r>
  <r>
    <s v="2011/12"/>
    <s v="2011"/>
    <x v="25"/>
    <s v="League"/>
    <s v="Feb 16 2012"/>
    <x v="2"/>
    <x v="20"/>
    <n v="9"/>
    <x v="0"/>
    <n v="130"/>
    <n v="7"/>
    <s v="Marlon Samuels"/>
    <s v="Dhaka Gladiators"/>
    <s v="field first"/>
    <s v="Rajshahi"/>
    <x v="2"/>
    <s v="SBNCS"/>
    <s v="Mirpur"/>
    <n v="0"/>
    <n v="14"/>
    <s v="14 runs"/>
    <s v="Runs"/>
    <n v="14"/>
    <s v="Normal"/>
    <n v="274"/>
    <s v="170+ Match"/>
    <s v="Jeremy Lloyds"/>
    <s v="Sharfuddoula"/>
  </r>
  <r>
    <s v="2012/13"/>
    <s v="2012"/>
    <x v="26"/>
    <s v="League"/>
    <s v="Feb 12 2013"/>
    <x v="1"/>
    <x v="24"/>
    <n v="10"/>
    <x v="2"/>
    <n v="117"/>
    <n v="3"/>
    <s v="Brad Hodge"/>
    <s v="Dhaka Gladiators"/>
    <s v="bat first"/>
    <s v="Barisal"/>
    <x v="1"/>
    <s v="SBNCS"/>
    <s v="Mirpur"/>
    <n v="7"/>
    <n v="0"/>
    <s v="7 wickets"/>
    <s v="Wickets"/>
    <n v="7"/>
    <s v="Close Match"/>
    <n v="231"/>
    <s v="170+ Match"/>
    <s v="Enamul Haque"/>
    <s v="Richard Illingworth"/>
  </r>
  <r>
    <s v="2011/12"/>
    <s v="2011"/>
    <x v="27"/>
    <s v="League"/>
    <s v="Feb 16 2012"/>
    <x v="0"/>
    <x v="25"/>
    <n v="6"/>
    <x v="4"/>
    <n v="126"/>
    <n v="2"/>
    <s v="Nasir Jamshed"/>
    <s v="Chittagong Kings"/>
    <s v="field first"/>
    <s v="Chittagong"/>
    <x v="4"/>
    <s v="SBNCS"/>
    <s v="Mirpur"/>
    <n v="8"/>
    <n v="0"/>
    <s v="8 wickets"/>
    <s v="Wickets"/>
    <n v="8"/>
    <s v="Close Match"/>
    <n v="251"/>
    <s v="170+ Match"/>
    <s v="David Orchard"/>
    <s v="Enamul Haque"/>
  </r>
  <r>
    <s v="2015/16"/>
    <s v="2015"/>
    <x v="0"/>
    <s v="Final"/>
    <s v="Dec 15 2015"/>
    <x v="6"/>
    <x v="7"/>
    <n v="4"/>
    <x v="7"/>
    <n v="157"/>
    <n v="7"/>
    <s v="Alok Kapali"/>
    <s v="Comilla Victorians"/>
    <s v="field first"/>
    <s v="Victorians"/>
    <x v="6"/>
    <s v="SBNCS"/>
    <s v="Mirpur"/>
    <n v="3"/>
    <n v="0"/>
    <s v="3 wickets"/>
    <s v="Wickets"/>
    <n v="3"/>
    <s v="Close Match"/>
    <n v="313"/>
    <s v="170+ Match"/>
    <s v="Ahsan Raza"/>
    <s v="Ranmore Martinesz"/>
  </r>
  <r>
    <s v="2011/12"/>
    <s v="2011"/>
    <x v="28"/>
    <s v="League"/>
    <s v="Feb 15 2012"/>
    <x v="4"/>
    <x v="26"/>
    <n v="7"/>
    <x v="3"/>
    <n v="146"/>
    <n v="4"/>
    <s v="Mushfiqur Rahim"/>
    <s v="Khulna Royal Bengals"/>
    <s v="bat first"/>
    <s v="Rajshahi"/>
    <x v="2"/>
    <s v="SBNCS"/>
    <s v="Mirpur"/>
    <n v="6"/>
    <n v="0"/>
    <s v="6 wickets"/>
    <s v="Wickets"/>
    <n v="6"/>
    <s v="Close Match"/>
    <n v="291"/>
    <s v="170+ Match"/>
    <s v="David Orchard"/>
    <s v="Masudur Rahman"/>
  </r>
  <r>
    <s v="2015/16"/>
    <s v="2015"/>
    <x v="29"/>
    <s v="League"/>
    <s v="Dec 13 2015"/>
    <x v="7"/>
    <x v="27"/>
    <n v="9"/>
    <x v="8"/>
    <n v="163"/>
    <n v="5"/>
    <s v="Sabbir Rahman"/>
    <s v="Rangpur Riders"/>
    <s v="bat first"/>
    <s v="Bulls"/>
    <x v="7"/>
    <s v="SBNCS"/>
    <s v="Mirpur"/>
    <n v="5"/>
    <n v="0"/>
    <s v="5 wickets"/>
    <s v="Wickets"/>
    <n v="5"/>
    <s v="Close Match"/>
    <n v="323"/>
    <s v="170+ Match"/>
    <s v="Enamul Haque"/>
    <s v="Ranmore Martinesz"/>
  </r>
  <r>
    <s v="2011/12"/>
    <s v="2011"/>
    <x v="30"/>
    <s v="League"/>
    <s v="Feb 15 2012"/>
    <x v="5"/>
    <x v="28"/>
    <n v="4"/>
    <x v="4"/>
    <n v="154"/>
    <n v="3"/>
    <s v="Mahmudullah"/>
    <s v="Sylhet Royals"/>
    <s v="bat first"/>
    <s v="Chittagong"/>
    <x v="4"/>
    <s v="SBNCS"/>
    <s v="Mirpur"/>
    <n v="7"/>
    <n v="0"/>
    <s v="7 wickets"/>
    <s v="Wickets"/>
    <n v="7"/>
    <s v="Close Match"/>
    <n v="306"/>
    <s v="170+ Match"/>
    <s v="Enamul Haque"/>
    <s v="Jeremy Lloyds"/>
  </r>
  <r>
    <s v="2015/16"/>
    <s v="2015"/>
    <x v="31"/>
    <s v="League"/>
    <s v="Dec 12 2015"/>
    <x v="6"/>
    <x v="29"/>
    <n v="5"/>
    <x v="9"/>
    <n v="117"/>
    <n v="8"/>
    <s v="Al-Amin Hossain"/>
    <s v="Dhaka Dynamites"/>
    <s v="field first"/>
    <s v="Bulls"/>
    <x v="7"/>
    <s v="SBNCS"/>
    <s v="Mirpur"/>
    <n v="0"/>
    <n v="18"/>
    <s v="18 runs"/>
    <s v="Runs"/>
    <n v="18"/>
    <s v="Normal"/>
    <n v="252"/>
    <s v="170+ Match"/>
    <s v="Ahsan Raza"/>
    <s v="Gazi Sohel"/>
  </r>
  <r>
    <s v="2011/12"/>
    <s v="2011"/>
    <x v="32"/>
    <s v="League"/>
    <s v="Feb 14 2012"/>
    <x v="1"/>
    <x v="30"/>
    <n v="5"/>
    <x v="2"/>
    <n v="187"/>
    <n v="5"/>
    <s v="Azhar Mahmood"/>
    <s v="Barisal Burners"/>
    <s v="field first"/>
    <s v="Dhaka"/>
    <x v="0"/>
    <s v="SBNCS"/>
    <s v="Mirpur"/>
    <n v="0"/>
    <n v="21"/>
    <s v="21 runs"/>
    <s v="Runs"/>
    <n v="21"/>
    <s v="Normal"/>
    <n v="395"/>
    <s v="170+ Match"/>
    <s v="Jeremy Lloyds"/>
    <s v="Sharfuddoula"/>
  </r>
  <r>
    <s v="2015/16"/>
    <s v="2015"/>
    <x v="29"/>
    <s v="League"/>
    <s v="Dec 12 2015"/>
    <x v="8"/>
    <x v="31"/>
    <n v="7"/>
    <x v="6"/>
    <n v="91"/>
    <n v="10"/>
    <s v="Ashar Zaidi"/>
    <s v="Rangpur Riders"/>
    <s v="field first"/>
    <s v="Victorians"/>
    <x v="6"/>
    <s v="SBNCS"/>
    <s v="Mirpur"/>
    <n v="0"/>
    <n v="72"/>
    <s v="72 runs"/>
    <s v="Runs"/>
    <n v="72"/>
    <s v="Normal"/>
    <n v="254"/>
    <s v="170+ Match"/>
    <s v="Enamul Haque"/>
    <s v="Ranmore Martinesz"/>
  </r>
  <r>
    <s v="2011/12"/>
    <s v="2011"/>
    <x v="33"/>
    <s v="League"/>
    <s v="Feb 14 2012"/>
    <x v="2"/>
    <x v="22"/>
    <n v="8"/>
    <x v="5"/>
    <n v="155"/>
    <n v="4"/>
    <s v="Marlon Samuels"/>
    <s v="Duronto Rajshahi"/>
    <s v="bat first"/>
    <s v="Rajshahi"/>
    <x v="2"/>
    <s v="SBNCS"/>
    <s v="Mirpur"/>
    <n v="0"/>
    <n v="16"/>
    <s v="16 runs"/>
    <s v="Runs"/>
    <n v="16"/>
    <s v="Normal"/>
    <n v="326"/>
    <s v="170+ Match"/>
    <s v="David Orchard"/>
    <s v="Enamul Haque"/>
  </r>
  <r>
    <s v="2011/12"/>
    <s v="2011"/>
    <x v="34"/>
    <s v="League"/>
    <s v="Feb 13 2012"/>
    <x v="3"/>
    <x v="32"/>
    <n v="6"/>
    <x v="0"/>
    <n v="156"/>
    <n v="4"/>
    <s v="Kieron Pollard"/>
    <s v="Chittagong Kings"/>
    <s v="bat first"/>
    <s v="Dhaka"/>
    <x v="0"/>
    <s v="SBNCS"/>
    <s v="Mirpur"/>
    <n v="6"/>
    <n v="0"/>
    <s v="6 wickets"/>
    <s v="Wickets"/>
    <n v="6"/>
    <s v="Close Match"/>
    <n v="309"/>
    <s v="170+ Match"/>
    <s v="David Orchard"/>
    <s v="Sharfuddoula"/>
  </r>
  <r>
    <s v="2015/16"/>
    <s v="2015"/>
    <x v="3"/>
    <s v="League"/>
    <s v="Dec 10 2015"/>
    <x v="8"/>
    <x v="4"/>
    <n v="4"/>
    <x v="10"/>
    <n v="79"/>
    <n v="10"/>
    <s v="Ahmed Shehzad"/>
    <s v="Sylhet Super Stars"/>
    <s v="field first"/>
    <s v="Victorians"/>
    <x v="6"/>
    <s v="SBNCS"/>
    <s v="Mirpur"/>
    <n v="0"/>
    <n v="71"/>
    <s v="71 runs"/>
    <s v="Runs"/>
    <n v="71"/>
    <s v="Normal"/>
    <n v="229"/>
    <s v="170+ Match"/>
    <s v="Ahsan Raza"/>
    <s v="Enamul Haque"/>
  </r>
  <r>
    <s v="2011/12"/>
    <s v="2011"/>
    <x v="35"/>
    <s v="League"/>
    <s v="Feb 13 2012"/>
    <x v="0"/>
    <x v="25"/>
    <n v="10"/>
    <x v="1"/>
    <n v="131"/>
    <n v="3"/>
    <s v="Dwayne Smith"/>
    <s v="Khulna Royal Bengals"/>
    <s v="field first"/>
    <s v="Khulna"/>
    <x v="5"/>
    <s v="SBNCS"/>
    <s v="Mirpur"/>
    <n v="7"/>
    <n v="0"/>
    <s v="7 wickets"/>
    <s v="Wickets"/>
    <n v="7"/>
    <s v="Close Match"/>
    <n v="256"/>
    <s v="170+ Match"/>
    <s v="Enamul Haque"/>
    <s v="Jeremy Lloyds"/>
  </r>
  <r>
    <s v="2015/16"/>
    <s v="2015"/>
    <x v="4"/>
    <s v="League"/>
    <s v="Dec 9 2015"/>
    <x v="9"/>
    <x v="29"/>
    <n v="7"/>
    <x v="8"/>
    <n v="141"/>
    <n v="2"/>
    <s v="Chris Gayle"/>
    <s v="Barisal Bulls"/>
    <s v="field first"/>
    <s v="Bulls"/>
    <x v="7"/>
    <s v="SBNCS"/>
    <s v="Mirpur"/>
    <n v="8"/>
    <n v="0"/>
    <s v="8 wickets"/>
    <s v="Wickets"/>
    <n v="8"/>
    <s v="Close Match"/>
    <n v="276"/>
    <s v="170+ Match"/>
    <s v="Ahsan Raza"/>
    <s v="Gazi Sohel"/>
  </r>
  <r>
    <s v="2011/12"/>
    <s v="2011"/>
    <x v="36"/>
    <s v="League"/>
    <s v="Feb 12 2012"/>
    <x v="5"/>
    <x v="8"/>
    <n v="10"/>
    <x v="0"/>
    <n v="126"/>
    <n v="3"/>
    <s v="Anamul Haque"/>
    <s v="Sylhet Royals"/>
    <s v="bat first"/>
    <s v="Dhaka"/>
    <x v="0"/>
    <s v="SBNCS"/>
    <s v="Mirpur"/>
    <n v="7"/>
    <n v="0"/>
    <s v="7 wickets"/>
    <s v="Wickets"/>
    <n v="7"/>
    <s v="Close Match"/>
    <n v="250"/>
    <s v="170+ Match"/>
    <s v="Jeremy Lloyds"/>
    <s v="Sharfuddoula"/>
  </r>
  <r>
    <s v="2015/16"/>
    <s v="2015"/>
    <x v="5"/>
    <s v="League"/>
    <s v="Dec 9 2015"/>
    <x v="10"/>
    <x v="33"/>
    <n v="5"/>
    <x v="10"/>
    <n v="162"/>
    <n v="4"/>
    <s v="Ravi Bopara"/>
    <s v="Sylhet Super Stars"/>
    <s v="field first"/>
    <s v="Super"/>
    <x v="8"/>
    <s v="SBNCS"/>
    <s v="Mirpur"/>
    <n v="0"/>
    <n v="0"/>
    <s v="by 6"/>
    <s v="Wickets"/>
    <n v="0"/>
    <s v="Close Match"/>
    <n v="319"/>
    <s v="170+ Match"/>
    <s v="Mahfuzur Rahman"/>
    <s v="Masudur Rahman"/>
  </r>
  <r>
    <s v="2011/12"/>
    <s v="2011"/>
    <x v="37"/>
    <s v="League"/>
    <s v="Feb 12 2012"/>
    <x v="4"/>
    <x v="22"/>
    <n v="3"/>
    <x v="4"/>
    <n v="174"/>
    <n v="4"/>
    <s v="Nasir Jamshed"/>
    <s v="Khulna Royal Bengals"/>
    <s v="bat first"/>
    <s v="Chittagong"/>
    <x v="4"/>
    <s v="SBNCS"/>
    <s v="Mirpur"/>
    <n v="6"/>
    <n v="0"/>
    <s v="6 wickets"/>
    <s v="Wickets"/>
    <n v="6"/>
    <s v="Close Match"/>
    <n v="345"/>
    <s v="170+ Match"/>
    <s v="David Orchard"/>
    <s v="Enamul Haque"/>
  </r>
  <r>
    <s v="2015/16"/>
    <s v="2015"/>
    <x v="6"/>
    <s v="League"/>
    <s v="Dec 8 2015"/>
    <x v="7"/>
    <x v="32"/>
    <n v="6"/>
    <x v="7"/>
    <n v="132"/>
    <n v="10"/>
    <s v="Jahurul Islam"/>
    <s v="Comilla Victorians"/>
    <s v="field first"/>
    <s v="Riders"/>
    <x v="9"/>
    <s v="SBNCS"/>
    <s v="Mirpur"/>
    <n v="0"/>
    <n v="21"/>
    <s v="21 runs"/>
    <s v="Runs"/>
    <n v="21"/>
    <s v="Normal"/>
    <n v="285"/>
    <s v="170+ Match"/>
    <s v="Gazi Sohel"/>
    <s v="Ranmore Martinesz"/>
  </r>
  <r>
    <s v="2011/12"/>
    <s v="2011"/>
    <x v="38"/>
    <s v="League"/>
    <s v="Feb 11 2012"/>
    <x v="0"/>
    <x v="34"/>
    <n v="2"/>
    <x v="3"/>
    <n v="158"/>
    <n v="9"/>
    <s v="Ahmed Shehzad"/>
    <s v="Barisal Burners"/>
    <s v="bat first"/>
    <s v="Barisal"/>
    <x v="1"/>
    <s v="SBNCS"/>
    <s v="Mirpur"/>
    <n v="0"/>
    <n v="22"/>
    <s v="22 runs"/>
    <s v="Runs"/>
    <n v="22"/>
    <s v="Normal"/>
    <n v="338"/>
    <s v="170+ Match"/>
    <s v="David Orchard"/>
    <s v="Gazi Sohel"/>
  </r>
  <r>
    <s v="2015/16"/>
    <s v="2015"/>
    <x v="7"/>
    <s v="League"/>
    <s v="Dec 8 2015"/>
    <x v="10"/>
    <x v="35"/>
    <n v="8"/>
    <x v="11"/>
    <n v="76"/>
    <n v="10"/>
    <s v="Mosharraf Hossain"/>
    <s v="Chittagong Vikings"/>
    <s v="field first"/>
    <s v="Dynamites"/>
    <x v="10"/>
    <s v="SBNCS"/>
    <s v="Mirpur"/>
    <n v="0"/>
    <n v="45"/>
    <s v="45 runs"/>
    <s v="Runs"/>
    <n v="45"/>
    <s v="Normal"/>
    <n v="197"/>
    <s v="170+ Match"/>
    <s v="Ahsan Raza"/>
    <s v="Masudur Rahman"/>
  </r>
  <r>
    <s v="2011/12"/>
    <s v="2011"/>
    <x v="39"/>
    <s v="League"/>
    <s v="Feb 11 2012"/>
    <x v="4"/>
    <x v="36"/>
    <n v="5"/>
    <x v="0"/>
    <n v="156"/>
    <n v="7"/>
    <s v="Andre Russell"/>
    <s v="Khulna Royal Bengals"/>
    <s v="bat first"/>
    <s v="Khulna"/>
    <x v="5"/>
    <s v="SBNCS"/>
    <s v="Mirpur"/>
    <n v="0"/>
    <n v="19"/>
    <s v="19 runs"/>
    <s v="Runs"/>
    <n v="19"/>
    <s v="Normal"/>
    <n v="331"/>
    <s v="170+ Match"/>
    <s v="Jeremy Lloyds"/>
    <s v="Sharfuddoula"/>
  </r>
  <r>
    <s v="2016/17"/>
    <s v="2016"/>
    <x v="0"/>
    <s v="Final"/>
    <s v="Dec 9 2016"/>
    <x v="10"/>
    <x v="37"/>
    <n v="9"/>
    <x v="12"/>
    <n v="103"/>
    <n v="10"/>
    <s v="Kumar Sangakkara"/>
    <s v="Rajshahi Kings"/>
    <s v="field first"/>
    <s v="Dynamites"/>
    <x v="10"/>
    <s v="SBNCS"/>
    <s v="Mirpur"/>
    <n v="0"/>
    <n v="56"/>
    <s v="56 runs"/>
    <s v="Runs"/>
    <n v="56"/>
    <s v="Normal"/>
    <n v="262"/>
    <s v="170+ Match"/>
    <s v="Khalid Mahmood"/>
    <s v="Mahfuzur Rahman"/>
  </r>
  <r>
    <s v="2011/12"/>
    <s v="2011"/>
    <x v="1"/>
    <s v="League"/>
    <s v="Feb 10 2012"/>
    <x v="3"/>
    <x v="38"/>
    <n v="4"/>
    <x v="3"/>
    <n v="153"/>
    <n v="10"/>
    <s v="Dwayne Bravo"/>
    <s v="Chittagong Kings"/>
    <s v="bat first"/>
    <s v="Chittagong"/>
    <x v="4"/>
    <s v="SBNCS"/>
    <s v="Mirpur"/>
    <n v="0"/>
    <n v="53"/>
    <s v="53 runs"/>
    <s v="Runs"/>
    <n v="53"/>
    <s v="Normal"/>
    <n v="359"/>
    <s v="170+ Match"/>
    <s v="Jeremy Lloyds"/>
    <s v="Sharfuddoula"/>
  </r>
  <r>
    <s v="2016/17"/>
    <s v="2016"/>
    <x v="29"/>
    <s v="League"/>
    <s v="Dec 7 2016"/>
    <x v="11"/>
    <x v="25"/>
    <n v="9"/>
    <x v="12"/>
    <n v="129"/>
    <n v="3"/>
    <s v="Samit Patel"/>
    <s v="Khulna Titans"/>
    <s v="bat first"/>
    <s v="Kings"/>
    <x v="11"/>
    <s v="SBNCS"/>
    <s v="Mirpur"/>
    <n v="7"/>
    <n v="0"/>
    <s v="7 wickets"/>
    <s v="Wickets"/>
    <n v="7"/>
    <s v="Close Match"/>
    <n v="254"/>
    <s v="170+ Match"/>
    <s v="Masudur Rahman"/>
    <s v="Ranmore Martinesz"/>
  </r>
  <r>
    <s v="2011/12"/>
    <s v="2011"/>
    <x v="2"/>
    <s v="League"/>
    <s v="Feb 10 2012"/>
    <x v="5"/>
    <x v="6"/>
    <n v="4"/>
    <x v="2"/>
    <n v="167"/>
    <n v="0"/>
    <s v="Chris Gayle"/>
    <s v="Barisal Burners"/>
    <s v="field first"/>
    <s v="Barisal"/>
    <x v="1"/>
    <s v="SBNCS"/>
    <s v="Mirpur"/>
    <n v="10"/>
    <n v="0"/>
    <s v="10 wickets"/>
    <s v="Wickets"/>
    <n v="10"/>
    <s v="Close Match"/>
    <n v="332"/>
    <s v="170+ Match"/>
    <s v="Anisur Rahman"/>
    <s v="David Orchard"/>
  </r>
  <r>
    <s v="2016/17"/>
    <s v="2016"/>
    <x v="29"/>
    <s v="League"/>
    <s v="Dec 6 2016"/>
    <x v="10"/>
    <x v="0"/>
    <n v="8"/>
    <x v="13"/>
    <n v="86"/>
    <n v="10"/>
    <s v="Andre Russell"/>
    <s v="Khulna Titans"/>
    <s v="field first"/>
    <s v="Dynamites"/>
    <x v="10"/>
    <s v="SBNCS"/>
    <s v="Mirpur"/>
    <n v="0"/>
    <n v="54"/>
    <s v="54 runs"/>
    <s v="Runs"/>
    <n v="54"/>
    <s v="Normal"/>
    <n v="226"/>
    <s v="170+ Match"/>
    <s v="Khalid Mahmood"/>
    <s v="Nadir Shah"/>
  </r>
  <r>
    <s v="2016/17"/>
    <s v="2016"/>
    <x v="40"/>
    <s v="League"/>
    <s v="Dec 6 2016"/>
    <x v="9"/>
    <x v="39"/>
    <n v="8"/>
    <x v="12"/>
    <n v="143"/>
    <n v="7"/>
    <s v="Daren Sammy"/>
    <s v="Rajshahi Kings"/>
    <s v="field first"/>
    <s v="Kings"/>
    <x v="11"/>
    <s v="SBNCS"/>
    <s v="Mirpur"/>
    <n v="3"/>
    <n v="0"/>
    <s v="3 wickets"/>
    <s v="Wickets"/>
    <n v="3"/>
    <s v="Close Match"/>
    <n v="285"/>
    <s v="170+ Match"/>
    <s v="Masudur Rahman"/>
    <s v="Ranmore Martinesz"/>
  </r>
  <r>
    <s v="2016/17"/>
    <s v="2016"/>
    <x v="17"/>
    <s v="League"/>
    <s v="Dec 4 2016"/>
    <x v="10"/>
    <x v="40"/>
    <n v="7"/>
    <x v="13"/>
    <n v="159"/>
    <n v="4"/>
    <s v="Mahmudullah"/>
    <s v="Khulna Titans"/>
    <s v="field first"/>
    <s v="Titans"/>
    <x v="12"/>
    <s v="SBNCS"/>
    <s v="Mirpur"/>
    <n v="6"/>
    <n v="0"/>
    <s v="6 wickets"/>
    <s v="Wickets"/>
    <n v="6"/>
    <s v="Close Match"/>
    <n v="317"/>
    <s v="170+ Match"/>
    <s v="Morshed Ali Khan"/>
    <s v="Ranmore Martinesz"/>
  </r>
  <r>
    <s v="2016/17"/>
    <s v="2016"/>
    <x v="19"/>
    <s v="League"/>
    <s v="Dec 4 2016"/>
    <x v="8"/>
    <x v="41"/>
    <n v="6"/>
    <x v="6"/>
    <n v="162"/>
    <n v="8"/>
    <s v="Rashid Khan"/>
    <s v="Rangpur Riders"/>
    <s v="field first"/>
    <s v="Victorians"/>
    <x v="6"/>
    <s v="SBNCS"/>
    <s v="Mirpur"/>
    <n v="0"/>
    <n v="8"/>
    <s v="8 runs"/>
    <s v="Runs"/>
    <n v="8"/>
    <s v="Close Match"/>
    <n v="332"/>
    <s v="170+ Match"/>
    <s v="Khalid Mahmood"/>
    <s v="Nadir Shah"/>
  </r>
  <r>
    <s v="2016/17"/>
    <s v="2016"/>
    <x v="21"/>
    <s v="League"/>
    <s v="Dec 3 2016"/>
    <x v="9"/>
    <x v="42"/>
    <n v="9"/>
    <x v="12"/>
    <n v="112"/>
    <n v="4"/>
    <s v="Afif Hossain"/>
    <s v="Rajshahi Kings"/>
    <s v="field first"/>
    <s v="Kings"/>
    <x v="11"/>
    <s v="SBNCS"/>
    <s v="Mirpur"/>
    <n v="6"/>
    <n v="0"/>
    <s v="6 wickets"/>
    <s v="Wickets"/>
    <n v="6"/>
    <s v="Close Match"/>
    <n v="223"/>
    <s v="170+ Match"/>
    <s v="Nadir Shah"/>
    <s v="Ranmore Martinesz"/>
  </r>
  <r>
    <s v="2016/17"/>
    <s v="2016"/>
    <x v="24"/>
    <s v="League"/>
    <s v="Dec 3 2016"/>
    <x v="7"/>
    <x v="43"/>
    <n v="5"/>
    <x v="8"/>
    <n v="125"/>
    <n v="10"/>
    <s v="Mohammad Shahzad"/>
    <s v="Rangpur Riders"/>
    <s v="bat first"/>
    <s v="Riders"/>
    <x v="9"/>
    <s v="SBNCS"/>
    <s v="Mirpur"/>
    <n v="0"/>
    <n v="29"/>
    <s v="29 runs"/>
    <s v="Runs"/>
    <n v="29"/>
    <s v="Normal"/>
    <n v="279"/>
    <s v="170+ Match"/>
    <s v="Khalid Mahmud"/>
    <s v="Mahfuzur Rahman"/>
  </r>
  <r>
    <s v="2016/17"/>
    <s v="2016"/>
    <x v="26"/>
    <s v="League"/>
    <s v="Dec 2 2016"/>
    <x v="9"/>
    <x v="44"/>
    <n v="6"/>
    <x v="9"/>
    <n v="135"/>
    <n v="4"/>
    <s v="Dwayne Bravo"/>
    <s v="Dhaka Dynamites"/>
    <s v="field first"/>
    <s v="Dynamites"/>
    <x v="10"/>
    <s v="SBNCS"/>
    <s v="Mirpur"/>
    <n v="6"/>
    <n v="0"/>
    <s v="6 wickets"/>
    <s v="Wickets"/>
    <n v="6"/>
    <s v="Close Match"/>
    <n v="269"/>
    <s v="170+ Match"/>
    <s v="Khalid Mahmud"/>
    <s v="Masudur Rahman"/>
  </r>
  <r>
    <s v="2016/17"/>
    <s v="2016"/>
    <x v="41"/>
    <s v="League"/>
    <s v="Dec 2 2016"/>
    <x v="11"/>
    <x v="45"/>
    <n v="6"/>
    <x v="7"/>
    <n v="142"/>
    <n v="5"/>
    <s v="Marlon Samuels"/>
    <s v="Comilla Victorians"/>
    <s v="field first"/>
    <s v="Victorians"/>
    <x v="6"/>
    <s v="SBNCS"/>
    <s v="Mirpur"/>
    <n v="5"/>
    <n v="0"/>
    <s v="5 wickets"/>
    <s v="Wickets"/>
    <n v="5"/>
    <s v="Close Match"/>
    <n v="283"/>
    <s v="170+ Match"/>
    <s v="Ranmore Martinesz"/>
    <s v="Tanvir Ahmed"/>
  </r>
  <r>
    <s v="2017/18"/>
    <s v="2017"/>
    <x v="0"/>
    <s v="Final"/>
    <s v="Dec 12 2017"/>
    <x v="7"/>
    <x v="38"/>
    <n v="1"/>
    <x v="9"/>
    <n v="149"/>
    <n v="9"/>
    <s v="Chris Gayle"/>
    <s v="Dhaka Dynamites"/>
    <s v="field first"/>
    <s v="Riders"/>
    <x v="9"/>
    <s v="SBNCS"/>
    <s v="Mirpur"/>
    <n v="0"/>
    <n v="57"/>
    <s v="57 runs"/>
    <s v="Runs"/>
    <n v="57"/>
    <s v="Normal"/>
    <n v="355"/>
    <s v="170+ Match"/>
    <s v="Mahfuzur Rahman"/>
    <s v="Riazuddin"/>
  </r>
  <r>
    <s v="2017/18"/>
    <s v="2017"/>
    <x v="29"/>
    <s v="League"/>
    <s v="0 - 11 2017"/>
    <x v="7"/>
    <x v="17"/>
    <n v="3"/>
    <x v="7"/>
    <n v="156"/>
    <n v="10"/>
    <s v="Johnson Charles"/>
    <s v="Comilla Victorians"/>
    <s v="field first"/>
    <s v="Riders"/>
    <x v="9"/>
    <s v="SBNCS"/>
    <s v="Mirpur"/>
    <n v="0"/>
    <n v="36"/>
    <s v="36 runs"/>
    <s v="Runs"/>
    <n v="36"/>
    <s v="Normal"/>
    <n v="348"/>
    <s v="170+ Match"/>
    <s v="Gazi Sohel"/>
    <s v="Raveendra Wimalasiri"/>
  </r>
  <r>
    <s v="2017/18"/>
    <s v="2017"/>
    <x v="29"/>
    <s v="League"/>
    <s v="Dec 8 2017"/>
    <x v="10"/>
    <x v="1"/>
    <n v="7"/>
    <x v="7"/>
    <n v="96"/>
    <n v="10"/>
    <s v="Shahid Afridi"/>
    <s v="Dhaka Dynamites"/>
    <s v="bat first"/>
    <s v="Dynamites"/>
    <x v="10"/>
    <s v="SBNCS"/>
    <s v="Mirpur"/>
    <n v="0"/>
    <n v="95"/>
    <s v="95 runs"/>
    <s v="Runs"/>
    <n v="95"/>
    <s v="Normal"/>
    <n v="287"/>
    <s v="170+ Match"/>
    <s v="Mahfuzur Rahman"/>
    <s v="Masudur Rahman"/>
  </r>
  <r>
    <s v="2017/18"/>
    <s v="2017"/>
    <x v="40"/>
    <s v="League"/>
    <s v="Dec 8 2017"/>
    <x v="11"/>
    <x v="46"/>
    <n v="6"/>
    <x v="6"/>
    <n v="171"/>
    <n v="2"/>
    <s v="Chris Gayle"/>
    <s v="Rangpur Riders"/>
    <s v="field first"/>
    <s v="Riders"/>
    <x v="9"/>
    <s v="SBNCS"/>
    <s v="Mirpur"/>
    <n v="8"/>
    <n v="0"/>
    <s v="8 wickets"/>
    <s v="Wickets"/>
    <n v="8"/>
    <s v="Close Match"/>
    <n v="338"/>
    <s v="170+ Match"/>
    <s v="Anisur Rahman"/>
    <s v="Masudur Rahman"/>
  </r>
  <r>
    <s v="2017/18"/>
    <s v="2017"/>
    <x v="17"/>
    <s v="League"/>
    <s v="Dec 6 2017"/>
    <x v="8"/>
    <x v="41"/>
    <n v="4"/>
    <x v="14"/>
    <n v="145"/>
    <n v="7"/>
    <s v="Litton Das"/>
    <s v="Sylhet Sixers"/>
    <s v="field first"/>
    <s v="Victorians"/>
    <x v="6"/>
    <s v="SBNCS"/>
    <s v="Mirpur"/>
    <n v="0"/>
    <n v="25"/>
    <s v="25 runs"/>
    <s v="Runs"/>
    <n v="25"/>
    <s v="Normal"/>
    <n v="315"/>
    <s v="170+ Match"/>
    <s v="Akteruzzaman"/>
    <s v="Moniruzzaman"/>
  </r>
  <r>
    <s v="2017/18"/>
    <s v="2017"/>
    <x v="19"/>
    <s v="League"/>
    <s v="Dec 6 2017"/>
    <x v="10"/>
    <x v="15"/>
    <n v="7"/>
    <x v="6"/>
    <n v="94"/>
    <n v="7"/>
    <s v="Shakib Al Hasan"/>
    <s v="Dhaka Dynamites"/>
    <s v="bat first"/>
    <s v="Dynamites"/>
    <x v="10"/>
    <s v="SBNCS"/>
    <s v="Mirpur"/>
    <n v="0"/>
    <n v="43"/>
    <s v="43 runs"/>
    <s v="Runs"/>
    <n v="43"/>
    <s v="Normal"/>
    <n v="231"/>
    <s v="170+ Match"/>
    <s v="Nadir Shah"/>
    <s v="Riazuddin"/>
  </r>
  <r>
    <s v="2017/18"/>
    <s v="2017"/>
    <x v="21"/>
    <s v="League"/>
    <s v="Dec 5 2017"/>
    <x v="9"/>
    <x v="47"/>
    <n v="2"/>
    <x v="12"/>
    <n v="149"/>
    <n v="9"/>
    <s v="Luis Reece"/>
    <s v="Rajshahi Kings"/>
    <s v="field first"/>
    <s v="Vikings"/>
    <x v="13"/>
    <s v="SBNCS"/>
    <s v="Mirpur"/>
    <n v="0"/>
    <n v="45"/>
    <s v="45 runs"/>
    <s v="Runs"/>
    <n v="45"/>
    <s v="Normal"/>
    <n v="343"/>
    <s v="170+ Match"/>
    <s v="Mahfuzur Rahman"/>
    <s v="Shafiuddin Ahmed"/>
  </r>
  <r>
    <s v="2017/18"/>
    <s v="2017"/>
    <x v="24"/>
    <s v="League"/>
    <s v="Dec 5 2017"/>
    <x v="11"/>
    <x v="48"/>
    <n v="6"/>
    <x v="7"/>
    <n v="160"/>
    <n v="7"/>
    <s v="Ariful Haque"/>
    <s v="Khulna Titans"/>
    <s v="bat first"/>
    <s v="Titans"/>
    <x v="12"/>
    <s v="SBNCS"/>
    <s v="Mirpur"/>
    <n v="0"/>
    <n v="14"/>
    <s v="14 runs"/>
    <s v="Runs"/>
    <n v="14"/>
    <s v="Normal"/>
    <n v="334"/>
    <s v="170+ Match"/>
    <s v="Morshed Ali Khan"/>
    <s v="Riazuddin"/>
  </r>
  <r>
    <s v="2017/18"/>
    <s v="2017"/>
    <x v="26"/>
    <s v="League"/>
    <s v="Dec 3 2017"/>
    <x v="7"/>
    <x v="49"/>
    <n v="6"/>
    <x v="13"/>
    <n v="128"/>
    <n v="8"/>
    <s v="Mohammad Mithun"/>
    <s v="Khulna Titans"/>
    <s v="field first"/>
    <s v="Riders"/>
    <x v="9"/>
    <s v="SBNCS"/>
    <s v="Mirpur"/>
    <n v="0"/>
    <n v="19"/>
    <s v="19 runs"/>
    <s v="Runs"/>
    <n v="19"/>
    <s v="Normal"/>
    <n v="275"/>
    <s v="170+ Match"/>
    <s v="Masudur Rahman"/>
    <s v="Riazuddin"/>
  </r>
  <r>
    <s v="2017/18"/>
    <s v="2017"/>
    <x v="41"/>
    <s v="League"/>
    <s v="Dec 3 2017"/>
    <x v="9"/>
    <x v="50"/>
    <n v="10"/>
    <x v="14"/>
    <n v="68"/>
    <n v="0"/>
    <s v="Nasir Hossain"/>
    <s v="Sylhet Sixers"/>
    <s v="field first"/>
    <s v="Sixers"/>
    <x v="14"/>
    <s v="SBNCS"/>
    <s v="Mirpur"/>
    <n v="10"/>
    <n v="0"/>
    <s v="10 wickets"/>
    <s v="Wickets"/>
    <n v="10"/>
    <s v="Close Match"/>
    <n v="135"/>
    <s v="Below 170"/>
    <s v="Nadir Shah"/>
    <s v="Tanvir Ahmed"/>
  </r>
  <r>
    <s v="2018/19"/>
    <s v="2018"/>
    <x v="0"/>
    <s v="Final"/>
    <s v="Feb 8 2019"/>
    <x v="8"/>
    <x v="51"/>
    <n v="3"/>
    <x v="9"/>
    <n v="182"/>
    <n v="9"/>
    <s v="Tamim Iqbal"/>
    <s v="Dhaka Dynamites"/>
    <s v="field first"/>
    <s v="Victorians"/>
    <x v="6"/>
    <s v="SBNCS"/>
    <s v="Mirpur"/>
    <n v="0"/>
    <n v="17"/>
    <s v="17 runs"/>
    <s v="Runs"/>
    <n v="17"/>
    <s v="Normal"/>
    <n v="381"/>
    <s v="170+ Match"/>
    <s v="Alex Wharf"/>
    <s v="Ranmore Martinesz"/>
  </r>
  <r>
    <s v="2018/19"/>
    <s v="2018"/>
    <x v="1"/>
    <s v="League"/>
    <s v="Feb 6 2019"/>
    <x v="7"/>
    <x v="39"/>
    <n v="10"/>
    <x v="9"/>
    <n v="147"/>
    <n v="5"/>
    <s v="Rubel Hossain"/>
    <s v="Dhaka Dynamites"/>
    <s v="field first"/>
    <s v="Dynamites"/>
    <x v="10"/>
    <s v="SBNCS"/>
    <s v="Mirpur"/>
    <n v="5"/>
    <n v="0"/>
    <s v="5 wickets"/>
    <s v="Wickets"/>
    <n v="5"/>
    <s v="Close Match"/>
    <n v="289"/>
    <s v="170+ Match"/>
    <s v="Alex Wharf"/>
    <s v="Masudur Rahman"/>
  </r>
  <r>
    <s v="2018/19"/>
    <s v="2018"/>
    <x v="2"/>
    <s v="League"/>
    <s v="Feb 4 2019"/>
    <x v="7"/>
    <x v="6"/>
    <n v="5"/>
    <x v="7"/>
    <n v="166"/>
    <n v="2"/>
    <s v="Evin Lewis"/>
    <s v="Rangpur Riders"/>
    <s v="bat first"/>
    <s v="Victorians"/>
    <x v="6"/>
    <s v="SBNCS"/>
    <s v="Mirpur"/>
    <n v="8"/>
    <n v="0"/>
    <s v="8 wickets"/>
    <s v="Wickets"/>
    <n v="8"/>
    <s v="Close Match"/>
    <n v="331"/>
    <s v="170+ Match"/>
    <s v="Alex Wharf"/>
    <s v="Sharfuddoula"/>
  </r>
  <r>
    <s v="2018/19"/>
    <s v="2018"/>
    <x v="40"/>
    <s v="League"/>
    <s v="Feb 4 2019"/>
    <x v="9"/>
    <x v="29"/>
    <n v="8"/>
    <x v="9"/>
    <n v="136"/>
    <n v="4"/>
    <s v="Sunil Narine"/>
    <s v="Chittagong Vikings"/>
    <s v="bat first"/>
    <s v="Dynamites"/>
    <x v="10"/>
    <s v="SBNCS"/>
    <s v="Mirpur"/>
    <n v="6"/>
    <n v="0"/>
    <s v="6 wickets"/>
    <s v="Wickets"/>
    <n v="6"/>
    <s v="Close Match"/>
    <n v="271"/>
    <s v="170+ Match"/>
    <s v="Mahfuzur Rahman"/>
    <s v="Ranmore Martinesz"/>
  </r>
  <r>
    <s v="2018/19"/>
    <s v="2018"/>
    <x v="17"/>
    <s v="League"/>
    <s v="Feb 2 2019"/>
    <x v="11"/>
    <x v="52"/>
    <n v="9"/>
    <x v="9"/>
    <n v="124"/>
    <n v="4"/>
    <s v="Upul Tharanga"/>
    <s v="Khulna Titans"/>
    <s v="bat first"/>
    <s v="Dynamites"/>
    <x v="10"/>
    <s v="SBNCS"/>
    <s v="Mirpur"/>
    <n v="6"/>
    <n v="0"/>
    <s v="6 wickets"/>
    <s v="Wickets"/>
    <n v="6"/>
    <s v="Close Match"/>
    <n v="247"/>
    <s v="170+ Match"/>
    <s v="Nadir Shah"/>
    <s v="Ranmore Martinesz"/>
  </r>
  <r>
    <s v="2018/19"/>
    <s v="2018"/>
    <x v="19"/>
    <s v="League"/>
    <s v="Feb 2 2019"/>
    <x v="8"/>
    <x v="53"/>
    <n v="10"/>
    <x v="6"/>
    <n v="76"/>
    <n v="1"/>
    <s v="Ravi Bopara"/>
    <s v="Comilla Victorians"/>
    <s v="bat first"/>
    <s v="Riders"/>
    <x v="9"/>
    <s v="SBNCS"/>
    <s v="Mirpur"/>
    <n v="9"/>
    <n v="0"/>
    <s v="9 wickets"/>
    <s v="Wickets"/>
    <n v="9"/>
    <s v="Close Match"/>
    <n v="148"/>
    <s v="Below 170"/>
    <s v="Minhajul Abedin Afridi"/>
    <s v="Sanjit Saha"/>
  </r>
  <r>
    <s v="2018/19"/>
    <s v="2018"/>
    <x v="21"/>
    <s v="League"/>
    <s v="Feb 1 2019"/>
    <x v="12"/>
    <x v="6"/>
    <n v="5"/>
    <x v="11"/>
    <n v="136"/>
    <n v="10"/>
    <s v="Ebadot Hossain"/>
    <s v="Chittagong Vikings"/>
    <s v="field first"/>
    <s v="Sixers"/>
    <x v="14"/>
    <s v="SBNCS"/>
    <s v="Mirpur"/>
    <n v="0"/>
    <n v="29"/>
    <s v="29 runs"/>
    <s v="Runs"/>
    <n v="29"/>
    <s v="Normal"/>
    <n v="301"/>
    <s v="170+ Match"/>
    <s v="Nadir Shah"/>
    <s v="Shozab Raza"/>
  </r>
  <r>
    <s v="2018/19"/>
    <s v="2018"/>
    <x v="24"/>
    <s v="League"/>
    <s v="Feb 1 2019"/>
    <x v="8"/>
    <x v="54"/>
    <n v="10"/>
    <x v="9"/>
    <n v="126"/>
    <n v="9"/>
    <s v="Mohammad Saifuddin"/>
    <s v="Dhaka Dynamites"/>
    <s v="field first"/>
    <s v="Victorians"/>
    <x v="6"/>
    <s v="SBNCS"/>
    <s v="Mirpur"/>
    <n v="0"/>
    <n v="0"/>
    <s v="1 run"/>
    <s v="Wickets"/>
    <n v="0"/>
    <s v="Close Match"/>
    <n v="253"/>
    <s v="170+ Match"/>
    <s v="Alex Wharf"/>
    <s v="Masudur Rahman"/>
  </r>
  <r>
    <s v="2018/19"/>
    <s v="2018"/>
    <x v="26"/>
    <s v="League"/>
    <s v="Jan 30 2019"/>
    <x v="12"/>
    <x v="55"/>
    <n v="5"/>
    <x v="12"/>
    <n v="190"/>
    <n v="5"/>
    <s v="Laurie Evans"/>
    <s v="Sylhet Sixers"/>
    <s v="bat first"/>
    <s v="Kings"/>
    <x v="11"/>
    <s v="ZACS"/>
    <s v="Chattogram"/>
    <n v="5"/>
    <n v="0"/>
    <s v="5 wickets"/>
    <s v="Wickets"/>
    <n v="5"/>
    <s v="Close Match"/>
    <n v="379"/>
    <s v="170+ Match"/>
    <s v="Ranmore Martinesz"/>
    <s v="Tanvir Ahmed"/>
  </r>
  <r>
    <s v="2018/19"/>
    <s v="2018"/>
    <x v="41"/>
    <s v="League"/>
    <s v="Jan 30 2019"/>
    <x v="9"/>
    <x v="48"/>
    <n v="5"/>
    <x v="9"/>
    <n v="163"/>
    <n v="9"/>
    <s v="Cameron Delport"/>
    <s v="Chittagong Vikings"/>
    <s v="bat first"/>
    <s v="Vikings"/>
    <x v="13"/>
    <s v="ZACS"/>
    <s v="Chattogram"/>
    <n v="0"/>
    <n v="11"/>
    <s v="11 runs"/>
    <s v="Runs"/>
    <n v="11"/>
    <s v="Normal"/>
    <n v="337"/>
    <s v="170+ Match"/>
    <s v="Mahfuzur Rahman"/>
    <s v="Shozab Raza"/>
  </r>
  <r>
    <s v="2019/20"/>
    <s v="2019"/>
    <x v="0"/>
    <s v="Final"/>
    <s v="Jan 17 2020"/>
    <x v="13"/>
    <x v="41"/>
    <n v="4"/>
    <x v="15"/>
    <n v="149"/>
    <n v="8"/>
    <s v="Andre Russell"/>
    <s v="Khulna Tigers"/>
    <s v="field first"/>
    <s v="Royals"/>
    <x v="15"/>
    <s v="SBNCS"/>
    <s v="Mirpur"/>
    <n v="0"/>
    <n v="21"/>
    <s v="21 runs"/>
    <s v="Runs"/>
    <n v="21"/>
    <s v="Normal"/>
    <n v="319"/>
    <s v="170+ Match"/>
    <s v="David Millns"/>
    <s v="Gazi Sohel"/>
  </r>
  <r>
    <s v="2019/20"/>
    <s v="2019"/>
    <x v="1"/>
    <s v="League"/>
    <s v="Jan 15 2020"/>
    <x v="14"/>
    <x v="56"/>
    <n v="9"/>
    <x v="16"/>
    <n v="165"/>
    <n v="8"/>
    <s v="Andre Russell"/>
    <s v="Rajshahi Royals"/>
    <s v="field first"/>
    <s v="Royals"/>
    <x v="15"/>
    <s v="SBNCS"/>
    <s v="Mirpur"/>
    <n v="2"/>
    <n v="0"/>
    <s v="2 wickets"/>
    <s v="Wickets"/>
    <n v="2"/>
    <s v="Close Match"/>
    <n v="329"/>
    <s v="170+ Match"/>
    <s v="David Millns"/>
    <s v="Mahfuzur Rahman"/>
  </r>
  <r>
    <s v="2019/20"/>
    <s v="2019"/>
    <x v="2"/>
    <s v="League"/>
    <s v="Jan 13 2020"/>
    <x v="15"/>
    <x v="40"/>
    <n v="3"/>
    <x v="16"/>
    <n v="131"/>
    <n v="10"/>
    <s v="Mohammad Amir"/>
    <s v="Rajshahi Royals"/>
    <s v="field first"/>
    <s v="Tigers"/>
    <x v="16"/>
    <s v="SBNCS"/>
    <s v="Mirpur"/>
    <n v="0"/>
    <n v="27"/>
    <s v="27 runs"/>
    <s v="Runs"/>
    <n v="27"/>
    <s v="Normal"/>
    <n v="289"/>
    <s v="170+ Match"/>
    <s v="Gazi Sohel"/>
    <s v="Prageeth Rambukwella"/>
  </r>
  <r>
    <s v="2019/20"/>
    <s v="2019"/>
    <x v="40"/>
    <s v="League"/>
    <s v="Jan 13 2020"/>
    <x v="16"/>
    <x v="20"/>
    <n v="8"/>
    <x v="17"/>
    <n v="147"/>
    <n v="3"/>
    <s v="Rayad Emrit"/>
    <s v="Chattogram Challengers"/>
    <s v="field first"/>
    <s v="Challengers"/>
    <x v="17"/>
    <s v="SBNCS"/>
    <s v="Mirpur"/>
    <n v="7"/>
    <n v="0"/>
    <s v="7 wickets"/>
    <s v="Wickets"/>
    <n v="7"/>
    <s v="Close Match"/>
    <n v="291"/>
    <s v="170+ Match"/>
    <s v="David Millns"/>
    <s v="Mahfuzur Rahman"/>
  </r>
  <r>
    <s v="2019/20"/>
    <s v="2019"/>
    <x v="17"/>
    <s v="League"/>
    <s v="Jan 11 2020"/>
    <x v="16"/>
    <x v="57"/>
    <n v="4"/>
    <x v="15"/>
    <n v="207"/>
    <n v="2"/>
    <s v="Najmul Hossain Shanto"/>
    <s v="Khulna Tigers"/>
    <s v="field first"/>
    <s v="Tigers"/>
    <x v="16"/>
    <s v="SBNCS"/>
    <s v="Mirpur"/>
    <n v="8"/>
    <n v="0"/>
    <s v="8 wickets"/>
    <s v="Wickets"/>
    <n v="8"/>
    <s v="Close Match"/>
    <n v="412"/>
    <s v="170+ Match"/>
    <s v="David Millns"/>
    <s v="Mahfuzur Rahman"/>
  </r>
  <r>
    <s v="2019/20"/>
    <s v="2019"/>
    <x v="19"/>
    <s v="League"/>
    <s v="Jan 11 2020"/>
    <x v="14"/>
    <x v="58"/>
    <n v="5"/>
    <x v="16"/>
    <n v="156"/>
    <n v="2"/>
    <s v="Litton Das"/>
    <s v="Rajshahi Royals"/>
    <s v="field first"/>
    <s v="Royals"/>
    <x v="15"/>
    <s v="SBNCS"/>
    <s v="Mirpur"/>
    <n v="8"/>
    <n v="0"/>
    <s v="8 wickets"/>
    <s v="Wickets"/>
    <n v="8"/>
    <s v="Close Match"/>
    <n v="311"/>
    <s v="170+ Match"/>
    <s v="Prageeth Rambukwella"/>
    <s v="Tanvir Ahmed"/>
  </r>
  <r>
    <s v="2019/20"/>
    <s v="2019"/>
    <x v="21"/>
    <s v="League"/>
    <s v="Jan 10 2020"/>
    <x v="15"/>
    <x v="59"/>
    <n v="2"/>
    <x v="18"/>
    <n v="126"/>
    <n v="9"/>
    <s v="Mushfiqur Rahim"/>
    <s v="Cumilla Warriors"/>
    <s v="field first"/>
    <s v="Tigers"/>
    <x v="16"/>
    <s v="SBNCS"/>
    <s v="Mirpur"/>
    <n v="0"/>
    <n v="92"/>
    <s v="92 runs"/>
    <s v="Runs"/>
    <n v="92"/>
    <s v="Normal"/>
    <n v="344"/>
    <s v="170+ Match"/>
    <s v="Gazi Sohel"/>
    <s v="Prageeth Rambukwella"/>
  </r>
  <r>
    <s v="2019/20"/>
    <s v="2019"/>
    <x v="24"/>
    <s v="League"/>
    <s v="Jan 10 2020"/>
    <x v="17"/>
    <x v="11"/>
    <n v="9"/>
    <x v="19"/>
    <n v="138"/>
    <n v="9"/>
    <s v="Lewis Gregory"/>
    <s v="Dhaka Platoon"/>
    <s v="field first"/>
    <s v="Rangers"/>
    <x v="18"/>
    <s v="SBNCS"/>
    <s v="Mirpur"/>
    <n v="0"/>
    <n v="11"/>
    <s v="11 runs"/>
    <s v="Runs"/>
    <n v="11"/>
    <s v="Normal"/>
    <n v="287"/>
    <s v="170+ Match"/>
    <s v="David Millns"/>
    <s v="Tanvir Ahmed"/>
  </r>
  <r>
    <s v="2019/20"/>
    <s v="2019"/>
    <x v="26"/>
    <s v="League"/>
    <s v="Jan 8 2020"/>
    <x v="16"/>
    <x v="26"/>
    <n v="9"/>
    <x v="20"/>
    <n v="84"/>
    <n v="10"/>
    <s v="Shadab Khan"/>
    <s v="Rangpur Rangers"/>
    <s v="field first"/>
    <s v="Platoon"/>
    <x v="19"/>
    <s v="SBNCS"/>
    <s v="Mirpur"/>
    <n v="0"/>
    <n v="61"/>
    <s v="61 runs"/>
    <s v="Runs"/>
    <n v="61"/>
    <s v="Normal"/>
    <n v="229"/>
    <s v="170+ Match"/>
    <s v="Mahfuzur Rahman"/>
    <s v="Prageeth Rambukwella"/>
  </r>
  <r>
    <s v="2019/20"/>
    <s v="2019"/>
    <x v="41"/>
    <s v="League"/>
    <s v="Jan 8 2020"/>
    <x v="15"/>
    <x v="60"/>
    <n v="2"/>
    <x v="18"/>
    <n v="145"/>
    <n v="10"/>
    <s v="Robbie Frylinck"/>
    <s v="Cumilla Warriors"/>
    <s v="field first"/>
    <s v="Tigers"/>
    <x v="16"/>
    <s v="SBNCS"/>
    <s v="Mirpur"/>
    <n v="0"/>
    <n v="34"/>
    <s v="34 runs"/>
    <s v="Runs"/>
    <n v="34"/>
    <s v="Normal"/>
    <n v="324"/>
    <s v="170+ Match"/>
    <s v="David Millns"/>
    <s v="Gazi Sohel"/>
  </r>
  <r>
    <s v="2021/22"/>
    <s v="2021"/>
    <x v="18"/>
    <s v="League"/>
    <s v="Feb 3 2022"/>
    <x v="14"/>
    <x v="61"/>
    <n v="8"/>
    <x v="7"/>
    <n v="148"/>
    <n v="1"/>
    <s v="Mustafizur Rahman"/>
    <s v="Comilla Victorians"/>
    <s v="field first"/>
    <s v="Victorians"/>
    <x v="6"/>
    <s v="SBNCS"/>
    <s v="Mirpur"/>
    <n v="9"/>
    <n v="0"/>
    <s v="9 wickets"/>
    <s v="Wickets"/>
    <n v="9"/>
    <s v="Close Match"/>
    <n v="286"/>
    <s v="170+ Match"/>
    <s v="Mahfuzur Rahman"/>
    <s v="Prageeth Rambukwella"/>
  </r>
  <r>
    <s v="2021/22"/>
    <s v="2021"/>
    <x v="20"/>
    <s v="League"/>
    <s v="Feb 3 2022"/>
    <x v="18"/>
    <x v="39"/>
    <n v="5"/>
    <x v="15"/>
    <n v="144"/>
    <n v="1"/>
    <s v="Andre Fletcher"/>
    <s v="Khulna Tigers"/>
    <s v="field first"/>
    <s v="Tigers"/>
    <x v="16"/>
    <s v="SBNCS"/>
    <s v="Mirpur"/>
    <n v="9"/>
    <n v="0"/>
    <s v="9 wickets"/>
    <s v="Wickets"/>
    <n v="9"/>
    <s v="Close Match"/>
    <n v="286"/>
    <s v="170+ Match"/>
    <s v="Masudur Rahman"/>
    <s v="Morshed Ali Khan"/>
  </r>
  <r>
    <s v="2021/22"/>
    <s v="2021"/>
    <x v="22"/>
    <s v="League"/>
    <s v="Feb 1 2022"/>
    <x v="19"/>
    <x v="11"/>
    <n v="10"/>
    <x v="17"/>
    <n v="135"/>
    <n v="10"/>
    <s v="Shakib Al Hasan"/>
    <s v="Fortune Barishal"/>
    <s v="bat first"/>
    <s v="Barishal"/>
    <x v="20"/>
    <s v="ZACS"/>
    <s v="Chattogram"/>
    <n v="0"/>
    <n v="14"/>
    <s v="14 runs"/>
    <s v="Runs"/>
    <n v="14"/>
    <s v="Normal"/>
    <n v="284"/>
    <s v="170+ Match"/>
    <s v="Mahfuzur Rahman"/>
    <s v="Masudur Rahman"/>
  </r>
  <r>
    <s v="2021/22"/>
    <s v="2021"/>
    <x v="23"/>
    <s v="League"/>
    <s v="Feb 1 2022"/>
    <x v="20"/>
    <x v="62"/>
    <n v="6"/>
    <x v="7"/>
    <n v="131"/>
    <n v="10"/>
    <s v="Mahmudullah"/>
    <s v="Comilla Victorians"/>
    <s v="field first"/>
    <s v="Dhaka"/>
    <x v="21"/>
    <s v="ZACS"/>
    <s v="Chattogram"/>
    <n v="0"/>
    <n v="50"/>
    <s v="50 runs"/>
    <s v="Runs"/>
    <n v="50"/>
    <s v="Normal"/>
    <n v="312"/>
    <s v="170+ Match"/>
    <s v="Prageeth Rambukwella"/>
    <s v="Tanvir Ahmed"/>
  </r>
  <r>
    <s v="2021/22"/>
    <s v="2021"/>
    <x v="25"/>
    <s v="League"/>
    <s v="Jan 31 2022"/>
    <x v="19"/>
    <x v="26"/>
    <n v="10"/>
    <x v="15"/>
    <n v="139"/>
    <n v="6"/>
    <s v="Shakib Al Hasan"/>
    <s v="Fortune Barishal"/>
    <s v="bat first"/>
    <s v="Barishal"/>
    <x v="20"/>
    <s v="ZACS"/>
    <s v="Chattogram"/>
    <n v="0"/>
    <n v="6"/>
    <s v="6 runs"/>
    <s v="Runs"/>
    <n v="6"/>
    <s v="Close Match"/>
    <n v="284"/>
    <s v="170+ Match"/>
    <s v="Mahfuzur Rahman"/>
    <s v="Prageeth Rambukwella"/>
  </r>
  <r>
    <s v="2021/22"/>
    <s v="2021"/>
    <x v="27"/>
    <s v="League"/>
    <s v="Jan 31 2022"/>
    <x v="8"/>
    <x v="63"/>
    <n v="3"/>
    <x v="17"/>
    <n v="131"/>
    <n v="10"/>
    <s v="Faf du Plessis"/>
    <s v="Chattogram Challengers"/>
    <s v="field first"/>
    <s v="Victorians"/>
    <x v="6"/>
    <s v="ZACS"/>
    <s v="Chattogram"/>
    <n v="0"/>
    <n v="52"/>
    <s v="52 runs"/>
    <s v="Runs"/>
    <n v="52"/>
    <s v="Normal"/>
    <n v="314"/>
    <s v="170+ Match"/>
    <s v="Morshed Ali Khan"/>
    <s v="Sharfuddoula"/>
  </r>
  <r>
    <s v="2021/22"/>
    <s v="2021"/>
    <x v="28"/>
    <s v="League"/>
    <s v="Jan 29 2022"/>
    <x v="14"/>
    <x v="64"/>
    <n v="5"/>
    <x v="21"/>
    <n v="186"/>
    <n v="6"/>
    <s v="Mrittunjoy Chowdhury"/>
    <s v="Sylhet Sunrisers"/>
    <s v="field first"/>
    <s v="Challengers"/>
    <x v="17"/>
    <s v="ZACS"/>
    <s v="Chattogram"/>
    <n v="0"/>
    <n v="16"/>
    <s v="16 runs"/>
    <s v="Runs"/>
    <n v="16"/>
    <s v="Normal"/>
    <n v="388"/>
    <s v="170+ Match"/>
    <s v="Mahfuzur Rahman"/>
    <s v="Sharfuddoula"/>
  </r>
  <r>
    <s v="2021/22"/>
    <s v="2021"/>
    <x v="30"/>
    <s v="League"/>
    <s v="Jan 29 2022"/>
    <x v="19"/>
    <x v="45"/>
    <n v="9"/>
    <x v="15"/>
    <n v="124"/>
    <n v="10"/>
    <s v="Mehedi Hasan Rana"/>
    <s v="Khulna Tigers"/>
    <s v="field first"/>
    <s v="Barishal"/>
    <x v="20"/>
    <s v="ZACS"/>
    <s v="Chattogram"/>
    <n v="0"/>
    <n v="17"/>
    <s v="17 runs"/>
    <s v="Runs"/>
    <n v="17"/>
    <s v="Normal"/>
    <n v="265"/>
    <s v="170+ Match"/>
    <s v="Morshed Ali Khan"/>
    <s v="Prageeth Rambukwella"/>
  </r>
  <r>
    <s v="2012/13"/>
    <s v="2012"/>
    <x v="41"/>
    <s v="League"/>
    <s v="Feb 12 2013"/>
    <x v="5"/>
    <x v="65"/>
    <n v="3"/>
    <x v="1"/>
    <n v="135"/>
    <n v="7"/>
    <s v="Paul Stirling"/>
    <s v="Khulna Royal Bengals"/>
    <s v="field first"/>
    <s v="Royals"/>
    <x v="3"/>
    <s v="SBNCS"/>
    <s v="Mirpur"/>
    <n v="0"/>
    <n v="61"/>
    <s v="61 runs"/>
    <s v="Runs"/>
    <n v="61"/>
    <s v="Normal"/>
    <n v="331"/>
    <s v="170+ Match"/>
    <s v="Jeremy Lloyds"/>
    <s v="Tanvir Ahmed"/>
  </r>
  <r>
    <s v="2012/13"/>
    <s v="2012"/>
    <x v="42"/>
    <s v="League"/>
    <s v="Feb 11 2013"/>
    <x v="7"/>
    <x v="60"/>
    <n v="8"/>
    <x v="3"/>
    <n v="160"/>
    <n v="10"/>
    <s v="Kevin O'Brien"/>
    <s v="Duronto Rajshahi"/>
    <s v="field first"/>
    <s v="Riders"/>
    <x v="9"/>
    <s v="SBNCS"/>
    <s v="Mirpur"/>
    <n v="0"/>
    <n v="19"/>
    <s v="19 runs"/>
    <s v="Runs"/>
    <n v="19"/>
    <s v="Normal"/>
    <n v="339"/>
    <s v="170+ Match"/>
    <s v="Enamul Haque"/>
    <s v="Jeremy Lloyds"/>
  </r>
  <r>
    <s v="2012/13"/>
    <s v="2012"/>
    <x v="43"/>
    <s v="League"/>
    <s v="Feb 11 2013"/>
    <x v="4"/>
    <x v="66"/>
    <n v="6"/>
    <x v="0"/>
    <n v="180"/>
    <n v="4"/>
    <s v="Mohammad Ashraful"/>
    <s v="Khulna Royal Bengals"/>
    <s v="bat first"/>
    <s v="Dhaka"/>
    <x v="0"/>
    <s v="SBNCS"/>
    <s v="Mirpur"/>
    <n v="6"/>
    <n v="0"/>
    <s v="6 wickets"/>
    <s v="Wickets"/>
    <n v="6"/>
    <s v="Close Match"/>
    <n v="356"/>
    <s v="170+ Match"/>
    <s v="Gazi Sohel"/>
    <s v="Jeremy Lloyds"/>
  </r>
  <r>
    <s v="2012/13"/>
    <s v="2012"/>
    <x v="44"/>
    <s v="League"/>
    <s v="Feb 9 2013"/>
    <x v="0"/>
    <x v="24"/>
    <n v="9"/>
    <x v="0"/>
    <n v="115"/>
    <n v="2"/>
    <s v="Shakib Al Hasan"/>
    <s v="Barisal Burners"/>
    <s v="bat first"/>
    <s v="Dhaka"/>
    <x v="0"/>
    <s v="SBNCS"/>
    <s v="Mirpur"/>
    <n v="8"/>
    <n v="0"/>
    <s v="8 wickets"/>
    <s v="Wickets"/>
    <n v="8"/>
    <s v="Close Match"/>
    <n v="229"/>
    <s v="170+ Match"/>
    <s v="Jeremy Lloyds"/>
    <s v="Masudur Rahman"/>
  </r>
  <r>
    <s v="2012/13"/>
    <s v="2012"/>
    <x v="45"/>
    <s v="League"/>
    <s v="Feb 9 2013"/>
    <x v="3"/>
    <x v="27"/>
    <n v="6"/>
    <x v="6"/>
    <n v="161"/>
    <n v="5"/>
    <s v="Danza Hyatt"/>
    <s v="Rangpur Riders"/>
    <s v="field first"/>
    <s v="Riders"/>
    <x v="9"/>
    <s v="SBNCS"/>
    <s v="Mirpur"/>
    <n v="5"/>
    <n v="0"/>
    <s v="5 wickets"/>
    <s v="Wickets"/>
    <n v="5"/>
    <s v="Close Match"/>
    <n v="321"/>
    <s v="170+ Match"/>
    <s v="Enamul Haque"/>
    <s v="Richard Illingworth"/>
  </r>
  <r>
    <s v="2012/13"/>
    <s v="2012"/>
    <x v="46"/>
    <s v="League"/>
    <s v="Feb 8 2013"/>
    <x v="3"/>
    <x v="23"/>
    <n v="4"/>
    <x v="5"/>
    <n v="74"/>
    <n v="10"/>
    <s v="Brendan Taylor"/>
    <s v="Sylhet Royals"/>
    <s v="field first"/>
    <s v="Chittagong"/>
    <x v="4"/>
    <s v="SBNCS"/>
    <s v="Mirpur"/>
    <n v="0"/>
    <n v="119"/>
    <s v="119 runs"/>
    <s v="Runs"/>
    <n v="119"/>
    <s v="Normal"/>
    <n v="267"/>
    <s v="170+ Match"/>
    <s v="Gazi Sohel"/>
    <s v="Richard Illingworth"/>
  </r>
  <r>
    <s v="2012/13"/>
    <s v="2012"/>
    <x v="47"/>
    <s v="League"/>
    <s v="Feb 8 2013"/>
    <x v="2"/>
    <x v="61"/>
    <n v="9"/>
    <x v="1"/>
    <n v="140"/>
    <n v="3"/>
    <s v="Shahriar Nafees"/>
    <s v="Duronto Rajshahi"/>
    <s v="bat first"/>
    <s v="Khulna"/>
    <x v="5"/>
    <s v="SBNCS"/>
    <s v="Mirpur"/>
    <n v="7"/>
    <n v="0"/>
    <s v="7 wickets"/>
    <s v="Wickets"/>
    <n v="7"/>
    <s v="Close Match"/>
    <n v="278"/>
    <s v="170+ Match"/>
    <s v="Enamul Haque"/>
    <s v="Jeremy Lloyds"/>
  </r>
  <r>
    <s v="2012/13"/>
    <s v="2012"/>
    <x v="48"/>
    <s v="League"/>
    <s v="Feb 7 2013"/>
    <x v="7"/>
    <x v="16"/>
    <n v="4"/>
    <x v="5"/>
    <n v="198"/>
    <n v="4"/>
    <s v="Shamsur Rahman"/>
    <s v="Sylhet Royals"/>
    <s v="field first"/>
    <s v="Royals"/>
    <x v="3"/>
    <s v="SBNCS"/>
    <s v="Mirpur"/>
    <n v="6"/>
    <n v="0"/>
    <s v="6 wickets"/>
    <s v="Wickets"/>
    <n v="6"/>
    <s v="Close Match"/>
    <n v="395"/>
    <s v="170+ Match"/>
    <s v="Enamul Haque"/>
    <s v="Richard Illingworth"/>
  </r>
  <r>
    <s v="2012/13"/>
    <s v="2012"/>
    <x v="3"/>
    <s v="League"/>
    <s v="Feb 7 2013"/>
    <x v="3"/>
    <x v="7"/>
    <n v="5"/>
    <x v="1"/>
    <n v="67"/>
    <n v="10"/>
    <s v="Ryan ten Doeschate"/>
    <s v="Khulna Royal Bengals"/>
    <s v="field first"/>
    <s v="Chittagong"/>
    <x v="4"/>
    <s v="SBNCS"/>
    <s v="Mirpur"/>
    <n v="0"/>
    <n v="89"/>
    <s v="89 runs"/>
    <s v="Runs"/>
    <n v="89"/>
    <s v="Normal"/>
    <n v="223"/>
    <s v="170+ Match"/>
    <s v="Jeremy Lloyds"/>
    <s v="Masudur Rahman"/>
  </r>
  <r>
    <s v="2012/13"/>
    <s v="2012"/>
    <x v="4"/>
    <s v="League"/>
    <s v="Feb 5 2013"/>
    <x v="1"/>
    <x v="67"/>
    <n v="4"/>
    <x v="6"/>
    <n v="129"/>
    <n v="10"/>
    <s v="Anamul Haque"/>
    <s v="Rangpur Riders"/>
    <s v="field first"/>
    <s v="Dhaka"/>
    <x v="0"/>
    <s v="SBNCS"/>
    <s v="Mirpur"/>
    <n v="0"/>
    <n v="88"/>
    <s v="88 runs"/>
    <s v="Runs"/>
    <n v="88"/>
    <s v="Normal"/>
    <n v="346"/>
    <s v="170+ Match"/>
    <s v="Enamul Haque"/>
    <s v="Tanvir Ahmed"/>
  </r>
  <r>
    <s v="2012/13"/>
    <s v="2012"/>
    <x v="5"/>
    <s v="League"/>
    <s v="Feb 5 2013"/>
    <x v="5"/>
    <x v="49"/>
    <n v="8"/>
    <x v="3"/>
    <n v="152"/>
    <n v="5"/>
    <s v="Jahurul Islam"/>
    <s v="Duronto Rajshahi"/>
    <s v="field first"/>
    <s v="Rajshahi"/>
    <x v="2"/>
    <s v="SBNCS"/>
    <s v="Mirpur"/>
    <n v="5"/>
    <n v="0"/>
    <s v="5 wickets"/>
    <s v="Wickets"/>
    <n v="5"/>
    <s v="Close Match"/>
    <n v="299"/>
    <s v="170+ Match"/>
    <s v="Enamul Haque"/>
    <s v="Masudur Rahman"/>
  </r>
  <r>
    <s v="2012/13"/>
    <s v="2012"/>
    <x v="6"/>
    <s v="League"/>
    <s v="Feb 4 2013"/>
    <x v="4"/>
    <x v="26"/>
    <n v="7"/>
    <x v="2"/>
    <n v="148"/>
    <n v="3"/>
    <s v="Azhar Mahmood"/>
    <s v="Barisal Burners"/>
    <s v="field first"/>
    <s v="Barisal"/>
    <x v="1"/>
    <s v="SBNCS"/>
    <s v="Mirpur"/>
    <n v="7"/>
    <n v="0"/>
    <s v="7 wickets"/>
    <s v="Wickets"/>
    <n v="7"/>
    <s v="Close Match"/>
    <n v="293"/>
    <s v="170+ Match"/>
    <s v="Gazi Sohel"/>
    <s v="Jeremy Lloyds"/>
  </r>
  <r>
    <s v="2012/13"/>
    <s v="2012"/>
    <x v="7"/>
    <s v="League"/>
    <s v="Feb 4 2013"/>
    <x v="7"/>
    <x v="31"/>
    <n v="3"/>
    <x v="3"/>
    <n v="168"/>
    <n v="3"/>
    <s v="Tamim Iqbal"/>
    <s v="Rangpur Riders"/>
    <s v="bat first"/>
    <s v="Rajshahi"/>
    <x v="2"/>
    <s v="SBNCS"/>
    <s v="Mirpur"/>
    <n v="7"/>
    <n v="0"/>
    <s v="7 wickets"/>
    <s v="Wickets"/>
    <n v="7"/>
    <s v="Close Match"/>
    <n v="331"/>
    <s v="170+ Match"/>
    <s v="Enamul Haque"/>
    <s v="Richard Illingworth"/>
  </r>
  <r>
    <s v="2012/13"/>
    <s v="2012"/>
    <x v="8"/>
    <s v="League"/>
    <s v="Feb 2 2013"/>
    <x v="3"/>
    <x v="39"/>
    <n v="10"/>
    <x v="0"/>
    <n v="88"/>
    <n v="8"/>
    <s v="Naeem Islam"/>
    <s v="Dhaka Gladiators"/>
    <s v="field first"/>
    <s v="Chittagong"/>
    <x v="4"/>
    <s v="MAAziz"/>
    <s v="Chattogram"/>
    <n v="0"/>
    <n v="54"/>
    <s v="54 runs"/>
    <s v="Runs"/>
    <n v="54"/>
    <s v="Normal"/>
    <n v="230"/>
    <s v="170+ Match"/>
    <s v="Mahfuzur Rahman"/>
    <s v="Masudur Rahman"/>
  </r>
  <r>
    <s v="2012/13"/>
    <s v="2012"/>
    <x v="9"/>
    <s v="League"/>
    <s v="Feb 2 2013"/>
    <x v="0"/>
    <x v="28"/>
    <n v="6"/>
    <x v="3"/>
    <n v="153"/>
    <n v="6"/>
    <s v="Jahurul Islam"/>
    <s v="Barisal Burners"/>
    <s v="bat first"/>
    <s v="Rajshahi"/>
    <x v="2"/>
    <s v="MAAziz"/>
    <s v="Chattogram"/>
    <n v="4"/>
    <n v="0"/>
    <s v="4 wickets"/>
    <s v="Wickets"/>
    <n v="4"/>
    <s v="Close Match"/>
    <n v="305"/>
    <s v="170+ Match"/>
    <s v="Gazi Sohel"/>
    <s v="Jeremy Lloyds"/>
  </r>
  <r>
    <s v="2012/13"/>
    <s v="2012"/>
    <x v="11"/>
    <s v="League"/>
    <s v="Feb 1 2013"/>
    <x v="4"/>
    <x v="68"/>
    <n v="5"/>
    <x v="4"/>
    <n v="137"/>
    <n v="2"/>
    <s v="Brendan Taylor"/>
    <s v="Chittagong Kings"/>
    <s v="field first"/>
    <s v="Chittagong"/>
    <x v="4"/>
    <s v="MAAziz"/>
    <s v="Chattogram"/>
    <n v="8"/>
    <n v="0"/>
    <s v="8 wickets"/>
    <s v="Wickets"/>
    <n v="8"/>
    <s v="Close Match"/>
    <n v="273"/>
    <s v="170+ Match"/>
    <s v="Mahfuzur Rahman"/>
    <s v="Masudur Rahman"/>
  </r>
  <r>
    <s v="2012/13"/>
    <s v="2012"/>
    <x v="12"/>
    <s v="League"/>
    <s v="Feb 1 2013"/>
    <x v="1"/>
    <x v="15"/>
    <n v="5"/>
    <x v="3"/>
    <n v="124"/>
    <n v="9"/>
    <s v="Alfonso Thomas"/>
    <s v="Dhaka Gladiators"/>
    <s v="bat first"/>
    <s v="Dhaka"/>
    <x v="0"/>
    <s v="MAAziz"/>
    <s v="Chattogram"/>
    <n v="0"/>
    <n v="13"/>
    <s v="13 runs"/>
    <s v="Runs"/>
    <n v="13"/>
    <s v="Normal"/>
    <n v="261"/>
    <s v="170+ Match"/>
    <s v="Gazi Sohel"/>
    <s v="Jeremy Lloyds"/>
  </r>
  <r>
    <s v="2012/13"/>
    <s v="2012"/>
    <x v="14"/>
    <s v="League"/>
    <s v="Jan 31 2013"/>
    <x v="0"/>
    <x v="69"/>
    <n v="5"/>
    <x v="4"/>
    <n v="176"/>
    <n v="6"/>
    <s v="Azhar Mahmood"/>
    <s v="Barisal Burners"/>
    <s v="bat first"/>
    <s v="Barisal"/>
    <x v="1"/>
    <s v="MAAziz"/>
    <s v="Chattogram"/>
    <n v="0"/>
    <n v="6"/>
    <s v="6 runs"/>
    <s v="Runs"/>
    <n v="6"/>
    <s v="Close Match"/>
    <n v="358"/>
    <s v="170+ Match"/>
    <s v="Anisur Rahman"/>
    <s v="Tanvir Ahmed"/>
  </r>
  <r>
    <s v="2012/13"/>
    <s v="2012"/>
    <x v="16"/>
    <s v="League"/>
    <s v="Jan 31 2013"/>
    <x v="7"/>
    <x v="70"/>
    <n v="10"/>
    <x v="5"/>
    <n v="126"/>
    <n v="5"/>
    <s v="Nazmul Hossain Milon"/>
    <s v="Sylhet Royals"/>
    <s v="field first"/>
    <s v="Royals"/>
    <x v="3"/>
    <s v="MAAziz"/>
    <s v="Chattogram"/>
    <n v="5"/>
    <n v="0"/>
    <s v="5 wickets"/>
    <s v="Wickets"/>
    <n v="5"/>
    <s v="Close Match"/>
    <n v="248"/>
    <s v="170+ Match"/>
    <s v="Jeremy Lloyds"/>
    <s v="Tanvir Ahmed"/>
  </r>
  <r>
    <s v="2012/13"/>
    <s v="2012"/>
    <x v="18"/>
    <s v="League"/>
    <s v="Jan 29 2013"/>
    <x v="7"/>
    <x v="70"/>
    <n v="10"/>
    <x v="1"/>
    <n v="89"/>
    <n v="10"/>
    <s v="Fidel Edwards"/>
    <s v="Rangpur Riders"/>
    <s v="bat first"/>
    <s v="Riders"/>
    <x v="9"/>
    <s v="MAAziz"/>
    <s v="Chattogram"/>
    <n v="0"/>
    <n v="33"/>
    <s v="33 runs"/>
    <s v="Runs"/>
    <n v="33"/>
    <s v="Normal"/>
    <n v="211"/>
    <s v="170+ Match"/>
    <s v="Anisur Rahman"/>
    <s v="Mahfuzur Rahman"/>
  </r>
  <r>
    <s v="2012/13"/>
    <s v="2012"/>
    <x v="20"/>
    <s v="League"/>
    <s v="Jan 29 2013"/>
    <x v="1"/>
    <x v="40"/>
    <n v="5"/>
    <x v="5"/>
    <n v="127"/>
    <n v="8"/>
    <s v="Darren Stevens"/>
    <s v="Sylhet Royals"/>
    <s v="field first"/>
    <s v="Dhaka"/>
    <x v="0"/>
    <s v="MAAziz"/>
    <s v="Chattogram"/>
    <n v="0"/>
    <n v="31"/>
    <s v="31 runs"/>
    <s v="Runs"/>
    <n v="31"/>
    <s v="Normal"/>
    <n v="285"/>
    <s v="170+ Match"/>
    <s v="Jeremy Lloyds"/>
    <s v="Masudur Rahman"/>
  </r>
  <r>
    <s v="2012/13"/>
    <s v="2012"/>
    <x v="22"/>
    <s v="League"/>
    <s v="Jan 28 2013"/>
    <x v="2"/>
    <x v="71"/>
    <n v="6"/>
    <x v="2"/>
    <n v="209"/>
    <n v="7"/>
    <s v="Charles Coventry"/>
    <s v="Duronto Rajshahi"/>
    <s v="bat first"/>
    <s v="Rajshahi"/>
    <x v="2"/>
    <s v="MAAziz"/>
    <s v="Chattogram"/>
    <n v="0"/>
    <n v="4"/>
    <s v="4 runs"/>
    <s v="Runs"/>
    <n v="4"/>
    <s v="Close Match"/>
    <n v="422"/>
    <s v="170+ Match"/>
    <s v="Anisur Rahman"/>
    <s v="Gazi Sohel"/>
  </r>
  <r>
    <s v="2012/13"/>
    <s v="2012"/>
    <x v="23"/>
    <s v="League"/>
    <s v="Jan 28 2013"/>
    <x v="3"/>
    <x v="9"/>
    <n v="6"/>
    <x v="5"/>
    <n v="176"/>
    <n v="7"/>
    <s v="Mohammad Nabi"/>
    <s v="Sylhet Royals"/>
    <s v="field first"/>
    <s v="Royals"/>
    <x v="3"/>
    <s v="MAAziz"/>
    <s v="Chattogram"/>
    <n v="3"/>
    <n v="0"/>
    <s v="3 wickets"/>
    <s v="Wickets"/>
    <n v="3"/>
    <s v="Close Match"/>
    <n v="348"/>
    <s v="170+ Match"/>
    <s v="Jeremy Lloyds"/>
    <s v="Tanvir Ahmed"/>
  </r>
  <r>
    <s v="2012/13"/>
    <s v="2012"/>
    <x v="25"/>
    <s v="League"/>
    <s v="Jan 25 2013"/>
    <x v="4"/>
    <x v="4"/>
    <n v="7"/>
    <x v="6"/>
    <n v="141"/>
    <n v="7"/>
    <s v="Daniel Harris"/>
    <s v="Khulna Royal Bengals"/>
    <s v="bat first"/>
    <s v="Khulna"/>
    <x v="5"/>
    <s v="SAbuNaserK"/>
    <s v="Khulna"/>
    <n v="0"/>
    <n v="9"/>
    <s v="9 runs"/>
    <s v="Runs"/>
    <n v="9"/>
    <s v="Close Match"/>
    <n v="291"/>
    <s v="170+ Match"/>
    <s v="Mahfuzur Rahman"/>
    <s v="Masudur Rahman"/>
  </r>
  <r>
    <s v="2012/13"/>
    <s v="2012"/>
    <x v="27"/>
    <s v="League"/>
    <s v="Jan 25 2013"/>
    <x v="1"/>
    <x v="28"/>
    <n v="8"/>
    <x v="5"/>
    <n v="157"/>
    <n v="3"/>
    <s v="Mushfiqur Rahim"/>
    <s v="Dhaka Gladiators"/>
    <s v="bat first"/>
    <s v="Royals"/>
    <x v="3"/>
    <s v="SAbuNaserK"/>
    <s v="Khulna"/>
    <n v="7"/>
    <n v="0"/>
    <s v="7 wickets"/>
    <s v="Wickets"/>
    <n v="7"/>
    <s v="Close Match"/>
    <n v="309"/>
    <s v="170+ Match"/>
    <s v="Mahfuzur Rahman"/>
    <s v="Richard Illingworth"/>
  </r>
  <r>
    <s v="2012/13"/>
    <s v="2012"/>
    <x v="28"/>
    <s v="League"/>
    <s v="Jan 24 2013"/>
    <x v="4"/>
    <x v="16"/>
    <n v="0"/>
    <x v="3"/>
    <n v="129"/>
    <n v="10"/>
    <s v="Shahriar Nafees"/>
    <s v="Duronto Rajshahi"/>
    <s v="field first"/>
    <s v="Khulna"/>
    <x v="5"/>
    <s v="SAbuNaserK"/>
    <s v="Khulna"/>
    <n v="0"/>
    <n v="68"/>
    <s v="68 runs"/>
    <s v="Runs"/>
    <n v="68"/>
    <s v="Normal"/>
    <n v="326"/>
    <s v="170+ Match"/>
    <s v="Anisur Rahman"/>
    <s v="Tanvir Ahmed"/>
  </r>
  <r>
    <s v="2012/13"/>
    <s v="2012"/>
    <x v="30"/>
    <s v="League"/>
    <s v="Jan 24 2013"/>
    <x v="3"/>
    <x v="72"/>
    <n v="7"/>
    <x v="2"/>
    <n v="108"/>
    <n v="9"/>
    <s v="Ravi Bopara"/>
    <s v="Barisal Burners"/>
    <s v="field first"/>
    <s v="Chittagong"/>
    <x v="4"/>
    <s v="SAbuNaserK"/>
    <s v="Khulna"/>
    <n v="0"/>
    <n v="21"/>
    <s v="21 runs"/>
    <s v="Runs"/>
    <n v="21"/>
    <s v="Normal"/>
    <n v="237"/>
    <s v="170+ Match"/>
    <s v="Gazi Sohel"/>
    <s v="Richard Illingworth"/>
  </r>
  <r>
    <s v="2012/13"/>
    <s v="2012"/>
    <x v="32"/>
    <s v="League"/>
    <s v="Jan 23 2013"/>
    <x v="4"/>
    <x v="26"/>
    <n v="7"/>
    <x v="5"/>
    <n v="146"/>
    <n v="4"/>
    <s v="Hamilton Masakadza"/>
    <s v="Khulna Royal Bengals"/>
    <s v="bat first"/>
    <s v="Royals"/>
    <x v="3"/>
    <s v="SAbuNaserK"/>
    <s v="Khulna"/>
    <n v="6"/>
    <n v="0"/>
    <s v="6 wickets"/>
    <s v="Wickets"/>
    <n v="6"/>
    <s v="Close Match"/>
    <n v="291"/>
    <s v="170+ Match"/>
    <s v="Anisur Rahman"/>
    <s v="Mahfuzur Rahman"/>
  </r>
  <r>
    <s v="2012/13"/>
    <s v="2012"/>
    <x v="33"/>
    <s v="League"/>
    <s v="Jan 23 2013"/>
    <x v="7"/>
    <x v="48"/>
    <n v="4"/>
    <x v="2"/>
    <n v="167"/>
    <n v="8"/>
    <s v="Shamsur Rahman"/>
    <s v="Rangpur Riders"/>
    <s v="bat first"/>
    <s v="Riders"/>
    <x v="9"/>
    <s v="SAbuNaserK"/>
    <s v="Khulna"/>
    <n v="0"/>
    <n v="7"/>
    <s v="7 runs"/>
    <s v="Runs"/>
    <n v="7"/>
    <s v="Close Match"/>
    <n v="341"/>
    <s v="170+ Match"/>
    <s v="Mahfuzur Rahman"/>
    <s v="Richard Illingworth"/>
  </r>
  <r>
    <s v="2012/13"/>
    <s v="2012"/>
    <x v="34"/>
    <s v="League"/>
    <s v="Jan 22 2013"/>
    <x v="1"/>
    <x v="7"/>
    <n v="8"/>
    <x v="3"/>
    <n v="143"/>
    <n v="3"/>
    <s v="Shakib Al Hasan"/>
    <s v="Dhaka Gladiators"/>
    <s v="bat first"/>
    <s v="Dhaka"/>
    <x v="0"/>
    <s v="SAbuNaserK"/>
    <s v="Khulna"/>
    <n v="0"/>
    <n v="13"/>
    <s v="13 runs"/>
    <s v="Runs"/>
    <n v="13"/>
    <s v="Normal"/>
    <n v="299"/>
    <s v="170+ Match"/>
    <s v="Gazi Sohel"/>
    <s v="Masudur Rahman"/>
  </r>
  <r>
    <s v="2012/13"/>
    <s v="2012"/>
    <x v="35"/>
    <s v="League"/>
    <s v="Jan 22 2013"/>
    <x v="3"/>
    <x v="73"/>
    <n v="5"/>
    <x v="6"/>
    <n v="135"/>
    <n v="4"/>
    <s v="Nasir Hossain"/>
    <s v="Chittagong Kings"/>
    <s v="bat first"/>
    <s v="Riders"/>
    <x v="9"/>
    <s v="SAbuNaserK"/>
    <s v="Khulna"/>
    <n v="6"/>
    <n v="0"/>
    <s v="6 wickets"/>
    <s v="Wickets"/>
    <n v="6"/>
    <s v="Close Match"/>
    <n v="267"/>
    <s v="170+ Match"/>
    <s v="Anisur Rahman"/>
    <s v="Richard Illingworth"/>
  </r>
  <r>
    <s v="2012/13"/>
    <s v="2012"/>
    <x v="36"/>
    <s v="League"/>
    <s v="Jan 20 2013"/>
    <x v="2"/>
    <x v="49"/>
    <n v="8"/>
    <x v="5"/>
    <n v="150"/>
    <n v="6"/>
    <s v="Elton Chigumbura"/>
    <s v="Duronto Rajshahi"/>
    <s v="bat first"/>
    <s v="Royals"/>
    <x v="3"/>
    <s v="SBNCS"/>
    <s v="Mirpur"/>
    <n v="4"/>
    <n v="0"/>
    <s v="4 wickets"/>
    <s v="Wickets"/>
    <n v="4"/>
    <s v="Close Match"/>
    <n v="297"/>
    <s v="170+ Match"/>
    <s v="Jeremy Lloyds"/>
    <s v="Tanvir Ahmed"/>
  </r>
  <r>
    <s v="2012/13"/>
    <s v="2012"/>
    <x v="37"/>
    <s v="League"/>
    <s v="Jan 20 2013"/>
    <x v="4"/>
    <x v="39"/>
    <n v="8"/>
    <x v="2"/>
    <n v="146"/>
    <n v="2"/>
    <s v="Brad Hodge"/>
    <s v="Khulna Royal Bengals"/>
    <s v="bat first"/>
    <s v="Barisal"/>
    <x v="1"/>
    <s v="SBNCS"/>
    <s v="Mirpur"/>
    <n v="8"/>
    <n v="0"/>
    <s v="8 wickets"/>
    <s v="Wickets"/>
    <n v="8"/>
    <s v="Close Match"/>
    <n v="288"/>
    <s v="170+ Match"/>
    <s v="Anisur Rahman"/>
    <s v="Richard Illingworth"/>
  </r>
  <r>
    <s v="2012/13"/>
    <s v="2012"/>
    <x v="38"/>
    <s v="League"/>
    <s v="Jan 19 2013"/>
    <x v="1"/>
    <x v="64"/>
    <n v="5"/>
    <x v="6"/>
    <n v="167"/>
    <n v="4"/>
    <s v="Mohammad Ashraful"/>
    <s v="Dhaka Gladiators"/>
    <s v="bat first"/>
    <s v="Dhaka"/>
    <x v="0"/>
    <s v="SBNCS"/>
    <s v="Mirpur"/>
    <n v="0"/>
    <n v="35"/>
    <s v="35 runs"/>
    <s v="Runs"/>
    <n v="35"/>
    <s v="Normal"/>
    <n v="369"/>
    <s v="170+ Match"/>
    <s v="Amit Kumar"/>
    <s v="Mehedi Maruf"/>
  </r>
  <r>
    <s v="2012/13"/>
    <s v="2012"/>
    <x v="39"/>
    <s v="League"/>
    <s v="Jan 19 2013"/>
    <x v="2"/>
    <x v="74"/>
    <n v="9"/>
    <x v="4"/>
    <n v="97"/>
    <n v="10"/>
    <s v="Sean Ervine"/>
    <s v="Duronto Rajshahi"/>
    <s v="bat first"/>
    <s v="Rajshahi"/>
    <x v="2"/>
    <s v="SBNCS"/>
    <s v="Mirpur"/>
    <n v="0"/>
    <n v="2"/>
    <s v="2 runs"/>
    <s v="Runs"/>
    <n v="2"/>
    <s v="Close Match"/>
    <n v="196"/>
    <s v="170+ Match"/>
    <s v="Jeremy Lloyds"/>
    <s v="Mahfuzur Rahman"/>
  </r>
  <r>
    <s v="2012/13"/>
    <s v="2012"/>
    <x v="1"/>
    <s v="League"/>
    <s v="Jan 18 2013"/>
    <x v="5"/>
    <x v="36"/>
    <n v="7"/>
    <x v="2"/>
    <n v="142"/>
    <n v="9"/>
    <s v="Paul Stirling"/>
    <s v="Barisal Burners"/>
    <s v="field first"/>
    <s v="Royals"/>
    <x v="3"/>
    <s v="SBNCS"/>
    <s v="Mirpur"/>
    <n v="0"/>
    <n v="33"/>
    <s v="33 runs"/>
    <s v="Runs"/>
    <n v="33"/>
    <s v="Normal"/>
    <n v="317"/>
    <s v="170+ Match"/>
    <s v="Bishawnath Halder"/>
    <s v="Jubair Ahmed"/>
  </r>
  <r>
    <s v="2012/13"/>
    <s v="2012"/>
    <x v="2"/>
    <s v="League"/>
    <s v="Jan 18 2013"/>
    <x v="1"/>
    <x v="75"/>
    <n v="4"/>
    <x v="1"/>
    <n v="142"/>
    <n v="8"/>
    <s v="Owais Shah"/>
    <s v="Dhaka Gladiators"/>
    <s v="bat first"/>
    <s v="Dhaka"/>
    <x v="0"/>
    <s v="SBNCS"/>
    <s v="Mirpur"/>
    <n v="0"/>
    <n v="62"/>
    <s v="62 runs"/>
    <s v="Runs"/>
    <n v="62"/>
    <s v="Normal"/>
    <n v="346"/>
    <s v="170+ Match"/>
    <s v="Masudur Rahman"/>
    <s v="Richard Illingworth"/>
  </r>
  <r>
    <s v="2015/16"/>
    <s v="2015"/>
    <x v="8"/>
    <s v="League"/>
    <s v="Dec 7 2015"/>
    <x v="21"/>
    <x v="76"/>
    <n v="10"/>
    <x v="6"/>
    <n v="60"/>
    <n v="2"/>
    <s v="Arafat Sunny"/>
    <s v="Rangpur Riders"/>
    <s v="field first"/>
    <s v="Riders"/>
    <x v="9"/>
    <s v="SBNCS"/>
    <s v="Mirpur"/>
    <n v="8"/>
    <n v="0"/>
    <s v="8 wickets"/>
    <s v="Wickets"/>
    <n v="8"/>
    <s v="Close Match"/>
    <n v="119"/>
    <s v="Below 170"/>
    <s v="Anisur Rahman"/>
    <s v="Gazi Sohel"/>
  </r>
  <r>
    <s v="2015/16"/>
    <s v="2015"/>
    <x v="9"/>
    <s v="League"/>
    <s v="Dec 7 2015"/>
    <x v="6"/>
    <x v="77"/>
    <n v="6"/>
    <x v="7"/>
    <n v="106"/>
    <n v="3"/>
    <s v="Ahmed Shehzad"/>
    <s v="Comilla Victorians"/>
    <s v="field first"/>
    <s v="Victorians"/>
    <x v="6"/>
    <s v="SBNCS"/>
    <s v="Mirpur"/>
    <n v="7"/>
    <n v="0"/>
    <s v="7 wickets"/>
    <s v="Wickets"/>
    <n v="7"/>
    <s v="Close Match"/>
    <n v="211"/>
    <s v="170+ Match"/>
    <s v="Ahsan Raza"/>
    <s v="Masudur Rahman"/>
  </r>
  <r>
    <s v="2015/16"/>
    <s v="2015"/>
    <x v="11"/>
    <s v="League"/>
    <s v="Dec 6 2015"/>
    <x v="10"/>
    <x v="29"/>
    <n v="7"/>
    <x v="6"/>
    <n v="136"/>
    <n v="4"/>
    <s v="Jahurul Islam"/>
    <s v="Dhaka Dynamites"/>
    <s v="bat first"/>
    <s v="Riders"/>
    <x v="9"/>
    <s v="SBNCS"/>
    <s v="Mirpur"/>
    <n v="6"/>
    <n v="0"/>
    <s v="6 wickets"/>
    <s v="Wickets"/>
    <n v="6"/>
    <s v="Close Match"/>
    <n v="271"/>
    <s v="170+ Match"/>
    <s v="Ahsan Raza"/>
    <s v="Enamul Haque"/>
  </r>
  <r>
    <s v="2015/16"/>
    <s v="2015"/>
    <x v="12"/>
    <s v="League"/>
    <s v="Dec 6 2015"/>
    <x v="6"/>
    <x v="78"/>
    <n v="10"/>
    <x v="10"/>
    <n v="62"/>
    <n v="1"/>
    <s v="Junaid Siddique"/>
    <s v="Sylhet Super Stars"/>
    <s v="field first"/>
    <s v="Super"/>
    <x v="8"/>
    <s v="SBNCS"/>
    <s v="Mirpur"/>
    <n v="0"/>
    <n v="0"/>
    <s v="by 9"/>
    <s v="Wickets"/>
    <n v="0"/>
    <s v="Close Match"/>
    <n v="120"/>
    <s v="Below 170"/>
    <s v="Gazi Sohel"/>
    <s v="Ranmore Martinesz"/>
  </r>
  <r>
    <s v="2015/16"/>
    <s v="2015"/>
    <x v="14"/>
    <s v="League"/>
    <s v="Dec 3 2015"/>
    <x v="9"/>
    <x v="68"/>
    <n v="5"/>
    <x v="7"/>
    <n v="142"/>
    <n v="5"/>
    <s v="Shoaib Malik"/>
    <s v="Comilla Victorians"/>
    <s v="field first"/>
    <s v="Victorians"/>
    <x v="6"/>
    <s v="ZACS"/>
    <s v="Chattogram"/>
    <n v="5"/>
    <n v="0"/>
    <s v="5 wickets"/>
    <s v="Wickets"/>
    <n v="5"/>
    <s v="Close Match"/>
    <n v="278"/>
    <s v="170+ Match"/>
    <s v="Mahfuzur Rahman"/>
    <s v="Morshed Ali Khan"/>
  </r>
  <r>
    <s v="2015/16"/>
    <s v="2015"/>
    <x v="16"/>
    <s v="League"/>
    <s v="Dec 3 2015"/>
    <x v="7"/>
    <x v="79"/>
    <n v="9"/>
    <x v="8"/>
    <n v="75"/>
    <n v="4"/>
    <s v="Al-Amin Hossain"/>
    <s v="Barisal Bulls"/>
    <s v="field first"/>
    <s v="Bulls"/>
    <x v="9"/>
    <s v="ZACS"/>
    <s v="Chattogram"/>
    <n v="6"/>
    <n v="0"/>
    <s v="6 wickets"/>
    <s v="Wickets"/>
    <n v="6"/>
    <s v="Close Match"/>
    <n v="179"/>
    <s v="170+ Match"/>
    <s v="Anisur Rahman"/>
    <s v="Ranmore Martinesz"/>
  </r>
  <r>
    <s v="2015/16"/>
    <s v="2015"/>
    <x v="18"/>
    <s v="League"/>
    <s v="Dec 2 2015"/>
    <x v="21"/>
    <x v="19"/>
    <n v="9"/>
    <x v="11"/>
    <n v="140"/>
    <n v="0"/>
    <s v="Tillakaratne Dilshan"/>
    <s v="Chittagong Vikings"/>
    <s v="field first"/>
    <s v="Vikings"/>
    <x v="13"/>
    <s v="ZACS"/>
    <s v="Chattogram"/>
    <n v="10"/>
    <n v="0"/>
    <s v="10 wickets"/>
    <s v="Wickets"/>
    <n v="10"/>
    <s v="Close Match"/>
    <n v="279"/>
    <s v="170+ Match"/>
    <s v="Anisur Rahman"/>
    <s v="Morshed Ali Khan"/>
  </r>
  <r>
    <s v="2015/16"/>
    <s v="2015"/>
    <x v="20"/>
    <s v="League"/>
    <s v="Dec 2 2015"/>
    <x v="8"/>
    <x v="45"/>
    <n v="7"/>
    <x v="9"/>
    <n v="131"/>
    <n v="6"/>
    <s v="Ashar Zaidi"/>
    <s v="Dhaka Dynamites"/>
    <s v="field first"/>
    <s v="Victorians"/>
    <x v="6"/>
    <s v="ZACS"/>
    <s v="Chattogram"/>
    <n v="0"/>
    <n v="10"/>
    <s v="10 runs"/>
    <s v="Runs"/>
    <n v="10"/>
    <s v="Close Match"/>
    <n v="272"/>
    <s v="170+ Match"/>
    <s v="Mahfuzur Rahman"/>
    <s v="Tanvir Ahmed"/>
  </r>
  <r>
    <s v="2015/16"/>
    <s v="2015"/>
    <x v="22"/>
    <s v="League"/>
    <s v="Dec 1 2015"/>
    <x v="10"/>
    <x v="40"/>
    <n v="5"/>
    <x v="8"/>
    <n v="159"/>
    <n v="1"/>
    <s v="Evin Lewis"/>
    <s v="Barisal Bulls"/>
    <s v="field first"/>
    <s v="Bulls"/>
    <x v="7"/>
    <s v="ZACS"/>
    <s v="Chattogram"/>
    <n v="9"/>
    <n v="0"/>
    <s v="9 wickets"/>
    <s v="Wickets"/>
    <n v="9"/>
    <s v="Close Match"/>
    <n v="317"/>
    <s v="170+ Match"/>
    <s v="Enamul Haque"/>
    <s v="Ranmore Martinesz"/>
  </r>
  <r>
    <s v="2015/16"/>
    <s v="2015"/>
    <x v="23"/>
    <s v="League"/>
    <s v="Dec 1 2015"/>
    <x v="9"/>
    <x v="42"/>
    <n v="8"/>
    <x v="6"/>
    <n v="113"/>
    <n v="1"/>
    <s v="Soumya Sarkar"/>
    <s v="Chittagong Vikings"/>
    <s v="bat first"/>
    <s v="Riders"/>
    <x v="9"/>
    <s v="ZACS"/>
    <s v="Chattogram"/>
    <n v="9"/>
    <n v="0"/>
    <s v="9 wickets"/>
    <s v="Wickets"/>
    <n v="9"/>
    <s v="Close Match"/>
    <n v="224"/>
    <s v="170+ Match"/>
    <s v="Enamul Haque"/>
    <s v="Sharfuddoula"/>
  </r>
  <r>
    <s v="2015/16"/>
    <s v="2015"/>
    <x v="25"/>
    <s v="League"/>
    <s v="Nov 30 2015"/>
    <x v="8"/>
    <x v="56"/>
    <n v="5"/>
    <x v="10"/>
    <n v="168"/>
    <n v="6"/>
    <s v="Ravi Bopara"/>
    <s v="Sylhet Super Stars"/>
    <s v="field first"/>
    <s v="Super"/>
    <x v="8"/>
    <s v="ZACS"/>
    <s v="Chattogram"/>
    <n v="0"/>
    <n v="0"/>
    <s v="by 4"/>
    <s v="Wickets"/>
    <n v="0"/>
    <s v="Close Match"/>
    <n v="332"/>
    <s v="170+ Match"/>
    <s v="Enamul Haque"/>
    <s v="Sharfuddoula"/>
  </r>
  <r>
    <s v="2015/16"/>
    <s v="2015"/>
    <x v="27"/>
    <s v="League"/>
    <s v="Nov 30 2015"/>
    <x v="6"/>
    <x v="41"/>
    <n v="7"/>
    <x v="11"/>
    <n v="137"/>
    <n v="10"/>
    <s v="Kevon Cooper"/>
    <s v="Chittagong Vikings"/>
    <s v="field first"/>
    <s v="Bulls"/>
    <x v="7"/>
    <s v="ZACS"/>
    <s v="Chattogram"/>
    <n v="0"/>
    <n v="33"/>
    <s v="33 runs"/>
    <s v="Runs"/>
    <n v="33"/>
    <s v="Normal"/>
    <n v="307"/>
    <s v="170+ Match"/>
    <s v="Ranmore Martinesz"/>
    <s v="Sharfuddoula"/>
  </r>
  <r>
    <s v="2015/16"/>
    <s v="2015"/>
    <x v="28"/>
    <s v="League"/>
    <s v="Nov 27 2015"/>
    <x v="10"/>
    <x v="80"/>
    <n v="6"/>
    <x v="10"/>
    <n v="132"/>
    <n v="10"/>
    <s v="Kumar Sangakkara"/>
    <s v="Dhaka Dynamites"/>
    <s v="bat first"/>
    <s v="Dynamites"/>
    <x v="10"/>
    <s v="SBNCS"/>
    <s v="Mirpur"/>
    <n v="0"/>
    <n v="34"/>
    <s v="34 runs"/>
    <s v="Runs"/>
    <n v="34"/>
    <s v="Normal"/>
    <n v="298"/>
    <s v="170+ Match"/>
    <s v="Mahfuzur Rahman"/>
    <s v="Tanvir Ahmed"/>
  </r>
  <r>
    <s v="2015/16"/>
    <s v="2015"/>
    <x v="30"/>
    <s v="League"/>
    <s v="Nov 27 2015"/>
    <x v="7"/>
    <x v="81"/>
    <n v="10"/>
    <x v="7"/>
    <n v="84"/>
    <n v="1"/>
    <s v="Marlon Samuels"/>
    <s v="Comilla Victorians"/>
    <s v="field first"/>
    <s v="Victorians"/>
    <x v="6"/>
    <s v="SBNCS"/>
    <s v="Mirpur"/>
    <n v="9"/>
    <n v="0"/>
    <s v="9 wickets"/>
    <s v="Wickets"/>
    <n v="9"/>
    <s v="Close Match"/>
    <n v="166"/>
    <s v="Below 170"/>
    <s v="Mahfuzur Rahman"/>
    <s v="Masudur Rahman"/>
  </r>
  <r>
    <s v="2015/16"/>
    <s v="2015"/>
    <x v="32"/>
    <s v="League"/>
    <s v="Nov 26 2015"/>
    <x v="9"/>
    <x v="82"/>
    <n v="10"/>
    <x v="9"/>
    <n v="96"/>
    <n v="4"/>
    <s v="Shadman Islam"/>
    <s v="Chittagong Vikings"/>
    <s v="bat first"/>
    <s v="Dynamites"/>
    <x v="10"/>
    <s v="SBNCS"/>
    <s v="Mirpur"/>
    <n v="6"/>
    <n v="0"/>
    <s v="6 wickets"/>
    <s v="Wickets"/>
    <n v="6"/>
    <s v="Close Match"/>
    <n v="188"/>
    <s v="170+ Match"/>
    <s v="Ranmore Martinesz"/>
    <s v="Sharfuddoula"/>
  </r>
  <r>
    <s v="2015/16"/>
    <s v="2015"/>
    <x v="33"/>
    <s v="League"/>
    <s v="Nov 26 2015"/>
    <x v="7"/>
    <x v="83"/>
    <n v="9"/>
    <x v="10"/>
    <n v="103"/>
    <n v="10"/>
    <s v="Shakib Al Hasan"/>
    <s v="Rangpur Riders"/>
    <s v="bat first"/>
    <s v="Riders"/>
    <x v="9"/>
    <s v="SBNCS"/>
    <s v="Mirpur"/>
    <n v="0"/>
    <n v="6"/>
    <s v="6 runs"/>
    <s v="Runs"/>
    <n v="6"/>
    <s v="Close Match"/>
    <n v="212"/>
    <s v="170+ Match"/>
    <s v="Sharfuddoula"/>
    <s v="Tanvir Ahmed"/>
  </r>
  <r>
    <s v="2015/16"/>
    <s v="2015"/>
    <x v="34"/>
    <s v="League"/>
    <s v="Nov 25 2015"/>
    <x v="6"/>
    <x v="84"/>
    <n v="10"/>
    <x v="7"/>
    <n v="90"/>
    <n v="2"/>
    <s v="Nuwan Kulasekara"/>
    <s v="Barisal Bulls"/>
    <s v="bat first"/>
    <s v="Victorians"/>
    <x v="6"/>
    <s v="SBNCS"/>
    <s v="Mirpur"/>
    <n v="8"/>
    <n v="0"/>
    <s v="8 wickets"/>
    <s v="Wickets"/>
    <n v="8"/>
    <s v="Close Match"/>
    <n v="179"/>
    <s v="170+ Match"/>
    <s v="Masudur Rahman"/>
    <s v="Tanvir Ahmed"/>
  </r>
  <r>
    <s v="2015/16"/>
    <s v="2015"/>
    <x v="35"/>
    <s v="League"/>
    <s v="Nov 25 2015"/>
    <x v="7"/>
    <x v="66"/>
    <n v="6"/>
    <x v="9"/>
    <n v="107"/>
    <n v="10"/>
    <s v="Shakib Al Hasan"/>
    <s v="Rangpur Riders"/>
    <s v="bat first"/>
    <s v="Riders"/>
    <x v="9"/>
    <s v="SBNCS"/>
    <s v="Mirpur"/>
    <n v="0"/>
    <n v="69"/>
    <s v="69 runs"/>
    <s v="Runs"/>
    <n v="69"/>
    <s v="Normal"/>
    <n v="283"/>
    <s v="170+ Match"/>
    <s v="Enamul Haque"/>
    <s v="Mahfuzur Rahman"/>
  </r>
  <r>
    <s v="2015/16"/>
    <s v="2015"/>
    <x v="36"/>
    <s v="League"/>
    <s v="Nov 24 2015"/>
    <x v="6"/>
    <x v="85"/>
    <n v="10"/>
    <x v="10"/>
    <n v="107"/>
    <n v="9"/>
    <s v="Al-Amin Hossain"/>
    <s v="Barisal Bulls"/>
    <s v="bat first"/>
    <s v="Bulls"/>
    <x v="7"/>
    <s v="SBNCS"/>
    <s v="Mirpur"/>
    <n v="0"/>
    <n v="0"/>
    <s v="1 run"/>
    <s v="Wickets"/>
    <n v="0"/>
    <s v="Close Match"/>
    <n v="215"/>
    <s v="170+ Match"/>
    <s v="Anisur Rahman"/>
    <s v="Masudur Rahman"/>
  </r>
  <r>
    <s v="2015/16"/>
    <s v="2015"/>
    <x v="37"/>
    <s v="League"/>
    <s v="Nov 24 2015"/>
    <x v="9"/>
    <x v="66"/>
    <n v="4"/>
    <x v="7"/>
    <n v="177"/>
    <n v="3"/>
    <s v="Mashrafe Mortaza"/>
    <s v="Comilla Victorians"/>
    <s v="field first"/>
    <s v="Victorians"/>
    <x v="6"/>
    <s v="SBNCS"/>
    <s v="Mirpur"/>
    <n v="7"/>
    <n v="0"/>
    <s v="7 wickets"/>
    <s v="Wickets"/>
    <n v="7"/>
    <s v="Close Match"/>
    <n v="353"/>
    <s v="170+ Match"/>
    <s v="Anisur Rahman"/>
    <s v="Ranmore Martinesz"/>
  </r>
  <r>
    <s v="2015/16"/>
    <s v="2015"/>
    <x v="38"/>
    <s v="League"/>
    <s v="Nov 23 2015"/>
    <x v="6"/>
    <x v="58"/>
    <n v="9"/>
    <x v="6"/>
    <n v="142"/>
    <n v="10"/>
    <s v="Kevon Cooper"/>
    <s v="Rangpur Riders"/>
    <s v="field first"/>
    <s v="Bulls"/>
    <x v="7"/>
    <s v="SBNCS"/>
    <s v="Mirpur"/>
    <n v="0"/>
    <n v="13"/>
    <s v="13 runs"/>
    <s v="Runs"/>
    <n v="13"/>
    <s v="Normal"/>
    <n v="297"/>
    <s v="170+ Match"/>
    <s v="Enamul Haque"/>
    <s v="Masudur Rahman"/>
  </r>
  <r>
    <s v="2015/16"/>
    <s v="2015"/>
    <x v="39"/>
    <s v="League"/>
    <s v="Nov 23 2015"/>
    <x v="9"/>
    <x v="34"/>
    <n v="5"/>
    <x v="10"/>
    <n v="179"/>
    <n v="6"/>
    <s v="Shafiul Islam"/>
    <s v="Sylhet Super Stars"/>
    <s v="field first"/>
    <s v="Vikings"/>
    <x v="13"/>
    <s v="SBNCS"/>
    <s v="Mirpur"/>
    <n v="0"/>
    <n v="0"/>
    <s v="1 run"/>
    <s v="Wickets"/>
    <n v="0"/>
    <s v="Close Match"/>
    <n v="359"/>
    <s v="170+ Match"/>
    <s v="Masudur Rahman"/>
    <s v="Sharfuddoula"/>
  </r>
  <r>
    <s v="2015/16"/>
    <s v="2015"/>
    <x v="1"/>
    <s v="League"/>
    <s v="Nov 22 2015"/>
    <x v="8"/>
    <x v="86"/>
    <n v="8"/>
    <x v="9"/>
    <n v="112"/>
    <n v="4"/>
    <s v="Abul Hasan"/>
    <s v="Comilla Victorians"/>
    <s v="bat first"/>
    <s v="Dynamites"/>
    <x v="10"/>
    <s v="SBNCS"/>
    <s v="Mirpur"/>
    <n v="6"/>
    <n v="0"/>
    <s v="6 wickets"/>
    <s v="Wickets"/>
    <n v="6"/>
    <s v="Close Match"/>
    <n v="222"/>
    <s v="170+ Match"/>
    <s v="Enamul Haque"/>
    <s v="Ranmore Martinesz"/>
  </r>
  <r>
    <s v="2015/16"/>
    <s v="2015"/>
    <x v="2"/>
    <s v="League"/>
    <s v="Nov 22 2015"/>
    <x v="9"/>
    <x v="87"/>
    <n v="7"/>
    <x v="6"/>
    <n v="188"/>
    <n v="8"/>
    <s v="Misbah-ul-Haq"/>
    <s v="Chittagong Vikings"/>
    <s v="bat first"/>
    <s v="Riders"/>
    <x v="9"/>
    <s v="SBNCS"/>
    <s v="Mirpur"/>
    <n v="2"/>
    <n v="0"/>
    <s v="2 wickets"/>
    <s v="Wickets"/>
    <n v="2"/>
    <s v="Close Match"/>
    <n v="375"/>
    <s v="170+ Match"/>
    <s v="Enamul Haque"/>
    <s v="Sharfuddoula"/>
  </r>
  <r>
    <s v="2016/17"/>
    <s v="2016"/>
    <x v="42"/>
    <s v="League"/>
    <s v="Dec 1 2016"/>
    <x v="6"/>
    <x v="12"/>
    <n v="4"/>
    <x v="12"/>
    <n v="144"/>
    <n v="7"/>
    <s v="Rayad Emrit"/>
    <s v="Rajshahi Kings"/>
    <s v="field first"/>
    <s v="Bulls"/>
    <x v="7"/>
    <s v="SBNCS"/>
    <s v="Mirpur"/>
    <n v="0"/>
    <n v="17"/>
    <s v="17 runs"/>
    <s v="Runs"/>
    <n v="17"/>
    <s v="Normal"/>
    <n v="305"/>
    <s v="170+ Match"/>
    <s v="Mahfuzur Rahman"/>
    <s v="Ranmore Martinesz"/>
  </r>
  <r>
    <s v="2016/17"/>
    <s v="2016"/>
    <x v="43"/>
    <s v="League"/>
    <s v="Nov 30 2016"/>
    <x v="22"/>
    <x v="8"/>
    <n v="7"/>
    <x v="7"/>
    <n v="125"/>
    <n v="2"/>
    <s v="Mohammad Saifuddin"/>
    <s v="Rajshahi Kings"/>
    <s v="bat first"/>
    <s v="Victorians"/>
    <x v="6"/>
    <s v="SBNCS"/>
    <s v="Mirpur"/>
    <n v="8"/>
    <n v="0"/>
    <s v="8 wickets"/>
    <s v="Wickets"/>
    <n v="8"/>
    <s v="Close Match"/>
    <n v="249"/>
    <s v="170+ Match"/>
    <s v="Masudur Rahman"/>
    <s v="Rashid Riaz"/>
  </r>
  <r>
    <s v="2016/17"/>
    <s v="2016"/>
    <x v="44"/>
    <s v="League"/>
    <s v="Nov 30 2016"/>
    <x v="10"/>
    <x v="88"/>
    <n v="7"/>
    <x v="6"/>
    <n v="146"/>
    <n v="8"/>
    <s v="Evin Lewis"/>
    <s v="Dhaka Dynamites"/>
    <s v="bat first"/>
    <s v="Dynamites"/>
    <x v="10"/>
    <s v="SBNCS"/>
    <s v="Mirpur"/>
    <n v="0"/>
    <n v="42"/>
    <s v="42 runs"/>
    <s v="Runs"/>
    <n v="42"/>
    <s v="Normal"/>
    <n v="334"/>
    <s v="170+ Match"/>
    <s v="Khalid Mahmood"/>
    <s v="Nadir Shah"/>
  </r>
  <r>
    <s v="2016/17"/>
    <s v="2016"/>
    <x v="45"/>
    <s v="League"/>
    <s v="Nov 29 2016"/>
    <x v="11"/>
    <x v="89"/>
    <n v="8"/>
    <x v="11"/>
    <n v="135"/>
    <n v="5"/>
    <s v="Tamim Iqbal"/>
    <s v="Khulna Titans"/>
    <s v="bat first"/>
    <s v="Vikings"/>
    <x v="13"/>
    <s v="SBNCS"/>
    <s v="Mirpur"/>
    <n v="5"/>
    <n v="0"/>
    <s v="5 wickets"/>
    <s v="Wickets"/>
    <n v="5"/>
    <s v="Close Match"/>
    <n v="266"/>
    <s v="170+ Match"/>
    <s v="Gazi Sohel"/>
    <s v="Ranmore Martinesz"/>
  </r>
  <r>
    <s v="2016/17"/>
    <s v="2016"/>
    <x v="46"/>
    <s v="League"/>
    <s v="Nov 29 2016"/>
    <x v="6"/>
    <x v="39"/>
    <n v="8"/>
    <x v="7"/>
    <n v="145"/>
    <n v="2"/>
    <s v="Nabil Samad"/>
    <s v="Barisal Bulls"/>
    <s v="bat first"/>
    <s v="Victorians"/>
    <x v="6"/>
    <s v="SBNCS"/>
    <s v="Mirpur"/>
    <n v="8"/>
    <n v="0"/>
    <s v="8 wickets"/>
    <s v="Wickets"/>
    <n v="8"/>
    <s v="Close Match"/>
    <n v="287"/>
    <s v="170+ Match"/>
    <s v="Khalid Mahmood"/>
    <s v="Mahfuzur Rahman"/>
  </r>
  <r>
    <s v="2016/17"/>
    <s v="2016"/>
    <x v="47"/>
    <s v="League"/>
    <s v="Nov 28 2016"/>
    <x v="22"/>
    <x v="13"/>
    <n v="7"/>
    <x v="6"/>
    <n v="79"/>
    <n v="10"/>
    <s v="Mehidy Hasan Miraz"/>
    <s v="Rajshahi Kings"/>
    <s v="bat first"/>
    <s v="Kings"/>
    <x v="11"/>
    <s v="SBNCS"/>
    <s v="Mirpur"/>
    <n v="0"/>
    <n v="49"/>
    <s v="49 runs"/>
    <s v="Runs"/>
    <n v="49"/>
    <s v="Normal"/>
    <n v="207"/>
    <s v="170+ Match"/>
    <s v="Gazi Sohel"/>
    <s v="Rashid Riaz"/>
  </r>
  <r>
    <s v="2016/17"/>
    <s v="2016"/>
    <x v="48"/>
    <s v="League"/>
    <s v="Nov 27 2016"/>
    <x v="7"/>
    <x v="8"/>
    <n v="6"/>
    <x v="11"/>
    <n v="128"/>
    <n v="1"/>
    <s v="Tamim Iqbal"/>
    <s v="Rangpur Riders"/>
    <s v="bat first"/>
    <s v="Vikings"/>
    <x v="13"/>
    <s v="SBNCS"/>
    <s v="Mirpur"/>
    <n v="9"/>
    <n v="0"/>
    <s v="9 wickets"/>
    <s v="Wickets"/>
    <n v="9"/>
    <s v="Close Match"/>
    <n v="252"/>
    <s v="170+ Match"/>
    <s v="Nadir Shah"/>
    <s v="Ranmore Martinesz"/>
  </r>
  <r>
    <s v="2016/17"/>
    <s v="2016"/>
    <x v="3"/>
    <s v="League"/>
    <s v="Nov 27 2016"/>
    <x v="6"/>
    <x v="73"/>
    <n v="6"/>
    <x v="9"/>
    <n v="135"/>
    <n v="6"/>
    <s v="Shakib Al Hasan"/>
    <s v="Barisal Bulls"/>
    <s v="bat first"/>
    <s v="Dynamites"/>
    <x v="10"/>
    <s v="SBNCS"/>
    <s v="Mirpur"/>
    <n v="4"/>
    <n v="0"/>
    <s v="4 wickets"/>
    <s v="Wickets"/>
    <n v="4"/>
    <s v="Close Match"/>
    <n v="267"/>
    <s v="170+ Match"/>
    <s v="Khalid Mahmood"/>
    <s v="Masudur Rahman"/>
  </r>
  <r>
    <s v="2016/17"/>
    <s v="2016"/>
    <x v="4"/>
    <s v="League"/>
    <s v="Nov 26 2016"/>
    <x v="22"/>
    <x v="43"/>
    <n v="8"/>
    <x v="13"/>
    <n v="145"/>
    <n v="6"/>
    <s v="Daren Sammy"/>
    <s v="Rajshahi Kings"/>
    <s v="bat first"/>
    <s v="Kings"/>
    <x v="11"/>
    <s v="SBNCS"/>
    <s v="Mirpur"/>
    <n v="0"/>
    <n v="9"/>
    <s v="9 runs"/>
    <s v="Runs"/>
    <n v="9"/>
    <s v="Close Match"/>
    <n v="299"/>
    <s v="170+ Match"/>
    <s v="Mahfuzur Rahman"/>
    <s v="Rashid Riaz"/>
  </r>
  <r>
    <s v="2016/17"/>
    <s v="2016"/>
    <x v="5"/>
    <s v="League"/>
    <s v="Nov 26 2016"/>
    <x v="10"/>
    <x v="41"/>
    <n v="4"/>
    <x v="7"/>
    <n v="138"/>
    <n v="8"/>
    <s v="Shakib Al Hasan"/>
    <s v="Dhaka Dynamites"/>
    <s v="bat first"/>
    <s v="Dynamites"/>
    <x v="10"/>
    <s v="SBNCS"/>
    <s v="Mirpur"/>
    <n v="0"/>
    <n v="32"/>
    <s v="32 runs"/>
    <s v="Runs"/>
    <n v="32"/>
    <s v="Normal"/>
    <n v="308"/>
    <s v="170+ Match"/>
    <s v="Khalid Mahmood"/>
    <s v="Nadir Shah"/>
  </r>
  <r>
    <s v="2016/17"/>
    <s v="2016"/>
    <x v="6"/>
    <s v="League"/>
    <s v="Nov 25 2016"/>
    <x v="6"/>
    <x v="90"/>
    <n v="5"/>
    <x v="13"/>
    <n v="120"/>
    <n v="4"/>
    <s v="Shuvagata Hom"/>
    <s v="Barisal Bulls"/>
    <s v="bat first"/>
    <s v="Titans"/>
    <x v="12"/>
    <s v="SBNCS"/>
    <s v="Mirpur"/>
    <n v="6"/>
    <n v="0"/>
    <s v="6 wickets"/>
    <s v="Wickets"/>
    <n v="6"/>
    <s v="Close Match"/>
    <n v="239"/>
    <s v="170+ Match"/>
    <s v="Anisur Rahman"/>
    <s v="Khalid Mahmood"/>
  </r>
  <r>
    <s v="2016/17"/>
    <s v="2016"/>
    <x v="7"/>
    <s v="League"/>
    <s v="Nov 25 2016"/>
    <x v="22"/>
    <x v="91"/>
    <n v="5"/>
    <x v="6"/>
    <n v="150"/>
    <n v="5"/>
    <s v="Daren Sammy"/>
    <s v="Rangpur Riders"/>
    <s v="field first"/>
    <s v="Kings"/>
    <x v="11"/>
    <s v="SBNCS"/>
    <s v="Mirpur"/>
    <n v="0"/>
    <n v="12"/>
    <s v="12 runs"/>
    <s v="Runs"/>
    <n v="12"/>
    <s v="Normal"/>
    <n v="312"/>
    <s v="170+ Match"/>
    <s v="Ranmore Martinesz"/>
    <s v="Sharfuddoula"/>
  </r>
  <r>
    <s v="2016/17"/>
    <s v="2016"/>
    <x v="8"/>
    <s v="League"/>
    <s v="Nov 22 2016"/>
    <x v="9"/>
    <x v="92"/>
    <n v="5"/>
    <x v="8"/>
    <n v="107"/>
    <n v="10"/>
    <s v="Shoaib Malik"/>
    <s v="Chittagong Vikings"/>
    <s v="bat first"/>
    <s v="Vikings"/>
    <x v="13"/>
    <s v="ZACS"/>
    <s v="Chattogram"/>
    <n v="0"/>
    <n v="78"/>
    <s v="78 runs"/>
    <s v="Runs"/>
    <n v="78"/>
    <s v="Normal"/>
    <n v="292"/>
    <s v="170+ Match"/>
    <s v="Gazi Sohel"/>
    <s v="Ranmore Martinesz"/>
  </r>
  <r>
    <s v="2016/17"/>
    <s v="2016"/>
    <x v="9"/>
    <s v="League"/>
    <s v="Nov 22 2016"/>
    <x v="11"/>
    <x v="25"/>
    <n v="7"/>
    <x v="6"/>
    <n v="129"/>
    <n v="3"/>
    <s v="Shahid Afridi"/>
    <s v="Khulna Titans"/>
    <s v="bat first"/>
    <s v="Riders"/>
    <x v="9"/>
    <s v="ZACS"/>
    <s v="Chattogram"/>
    <n v="7"/>
    <n v="0"/>
    <s v="7 wickets"/>
    <s v="Wickets"/>
    <n v="7"/>
    <s v="Close Match"/>
    <n v="254"/>
    <s v="170+ Match"/>
    <s v="Khalid Mahmood"/>
    <s v="Morshed Ali Khan"/>
  </r>
  <r>
    <s v="2016/17"/>
    <s v="2016"/>
    <x v="11"/>
    <s v="League"/>
    <s v="Nov 21 2016"/>
    <x v="8"/>
    <x v="63"/>
    <n v="3"/>
    <x v="11"/>
    <n v="186"/>
    <n v="4"/>
    <s v="Mohammad Nabi"/>
    <s v="Comilla Victorians"/>
    <s v="bat first"/>
    <s v="Vikings"/>
    <x v="13"/>
    <s v="ZACS"/>
    <s v="Chattogram"/>
    <n v="6"/>
    <n v="0"/>
    <s v="6 wickets"/>
    <s v="Wickets"/>
    <n v="6"/>
    <s v="Close Match"/>
    <n v="369"/>
    <s v="170+ Match"/>
    <s v="Habibur Rahman"/>
    <s v="Shohidul Islam"/>
  </r>
  <r>
    <s v="2016/17"/>
    <s v="2016"/>
    <x v="12"/>
    <s v="League"/>
    <s v="Nov 21 2016"/>
    <x v="10"/>
    <x v="69"/>
    <n v="4"/>
    <x v="12"/>
    <n v="184"/>
    <n v="7"/>
    <s v="Samit Patel"/>
    <s v="Dhaka Dynamites"/>
    <s v="bat first"/>
    <s v="Kings"/>
    <x v="11"/>
    <s v="ZACS"/>
    <s v="Chattogram"/>
    <n v="3"/>
    <n v="0"/>
    <s v="3 wickets"/>
    <s v="Wickets"/>
    <n v="3"/>
    <s v="Close Match"/>
    <n v="366"/>
    <s v="170+ Match"/>
    <s v="Nadir Shah"/>
    <s v="Ranmore Martinesz"/>
  </r>
  <r>
    <s v="2016/17"/>
    <s v="2016"/>
    <x v="14"/>
    <s v="League"/>
    <s v="Nov 20 2016"/>
    <x v="11"/>
    <x v="93"/>
    <n v="7"/>
    <x v="8"/>
    <n v="129"/>
    <n v="10"/>
    <s v="Mahmudullah"/>
    <s v="Barisal Bulls"/>
    <s v="field first"/>
    <s v="Titans"/>
    <x v="12"/>
    <s v="ZACS"/>
    <s v="Chattogram"/>
    <n v="0"/>
    <n v="22"/>
    <s v="22 runs"/>
    <s v="Runs"/>
    <n v="22"/>
    <s v="Normal"/>
    <n v="280"/>
    <s v="170+ Match"/>
    <s v="Gazi Sohel"/>
    <s v="Ranmore Martinesz"/>
  </r>
  <r>
    <s v="2016/17"/>
    <s v="2016"/>
    <x v="16"/>
    <s v="League"/>
    <s v="Nov 19 2016"/>
    <x v="8"/>
    <x v="28"/>
    <n v="5"/>
    <x v="12"/>
    <n v="120"/>
    <n v="10"/>
    <s v="Sohail Tanvir"/>
    <s v="Rajshahi Kings"/>
    <s v="field first"/>
    <s v="Victorians"/>
    <x v="6"/>
    <s v="ZACS"/>
    <s v="Chattogram"/>
    <n v="0"/>
    <n v="32"/>
    <s v="32 runs"/>
    <s v="Runs"/>
    <n v="32"/>
    <s v="Normal"/>
    <n v="272"/>
    <s v="170+ Match"/>
    <s v="Nadir Shah"/>
    <s v="Ranmore Martinesz"/>
  </r>
  <r>
    <s v="2016/17"/>
    <s v="2016"/>
    <x v="18"/>
    <s v="League"/>
    <s v="Nov 19 2016"/>
    <x v="11"/>
    <x v="33"/>
    <n v="5"/>
    <x v="9"/>
    <n v="148"/>
    <n v="10"/>
    <s v="Mosharraf Hossain"/>
    <s v="Khulna Titans"/>
    <s v="bat first"/>
    <s v="Titans"/>
    <x v="12"/>
    <s v="ZACS"/>
    <s v="Chattogram"/>
    <n v="0"/>
    <n v="9"/>
    <s v="9 runs"/>
    <s v="Runs"/>
    <n v="9"/>
    <s v="Close Match"/>
    <n v="305"/>
    <s v="170+ Match"/>
    <s v="Khalid Mahmood"/>
    <s v="Masudur Rahman"/>
  </r>
  <r>
    <s v="2016/17"/>
    <s v="2016"/>
    <x v="20"/>
    <s v="League"/>
    <s v="Nov 18 2016"/>
    <x v="8"/>
    <x v="70"/>
    <n v="5"/>
    <x v="6"/>
    <n v="126"/>
    <n v="1"/>
    <s v="Mohammad Shahzad"/>
    <s v="Rangpur Riders"/>
    <s v="field first"/>
    <s v="Riders"/>
    <x v="9"/>
    <s v="ZACS"/>
    <s v="Chattogram"/>
    <n v="9"/>
    <n v="0"/>
    <s v="9 wickets"/>
    <s v="Wickets"/>
    <n v="9"/>
    <s v="Close Match"/>
    <n v="248"/>
    <s v="170+ Match"/>
    <s v="Ranmore Martinesz"/>
    <s v="Tanvir Ahmed"/>
  </r>
  <r>
    <s v="2016/17"/>
    <s v="2016"/>
    <x v="22"/>
    <s v="League"/>
    <s v="Nov 18 2016"/>
    <x v="9"/>
    <x v="94"/>
    <n v="5"/>
    <x v="12"/>
    <n v="171"/>
    <n v="9"/>
    <s v="Mohammad Nabi"/>
    <s v="Rajshahi Kings"/>
    <s v="field first"/>
    <s v="Vikings"/>
    <x v="13"/>
    <s v="ZACS"/>
    <s v="Chattogram"/>
    <n v="0"/>
    <n v="19"/>
    <s v="19 runs"/>
    <s v="Runs"/>
    <n v="19"/>
    <s v="Normal"/>
    <n v="361"/>
    <s v="170+ Match"/>
    <s v="Khalid Mahmood"/>
    <s v="Nadir Shah"/>
  </r>
  <r>
    <s v="2016/17"/>
    <s v="2016"/>
    <x v="23"/>
    <s v="League"/>
    <s v="Nov 17 2016"/>
    <x v="7"/>
    <x v="36"/>
    <n v="6"/>
    <x v="8"/>
    <n v="163"/>
    <n v="10"/>
    <s v="Mohammad Mithun"/>
    <s v="Barisal Bulls"/>
    <s v="field first"/>
    <s v="Riders"/>
    <x v="9"/>
    <s v="ZACS"/>
    <s v="Chattogram"/>
    <n v="0"/>
    <n v="12"/>
    <s v="12 runs"/>
    <s v="Runs"/>
    <n v="12"/>
    <s v="Normal"/>
    <n v="338"/>
    <s v="170+ Match"/>
    <s v="Khalid Mahmood"/>
    <s v="Masudur Rahman"/>
  </r>
  <r>
    <s v="2016/17"/>
    <s v="2016"/>
    <x v="25"/>
    <s v="League"/>
    <s v="Nov 17 2016"/>
    <x v="10"/>
    <x v="95"/>
    <n v="9"/>
    <x v="11"/>
    <n v="129"/>
    <n v="8"/>
    <s v="Mohammad Shahid"/>
    <s v="Chittagong Vikings"/>
    <s v="field first"/>
    <s v="Dynamites"/>
    <x v="10"/>
    <s v="ZACS"/>
    <s v="Chattogram"/>
    <n v="0"/>
    <n v="19"/>
    <s v="19 runs"/>
    <s v="Runs"/>
    <n v="19"/>
    <s v="Normal"/>
    <n v="277"/>
    <s v="170+ Match"/>
    <s v="Nadir Shah"/>
    <s v="Ranmore Martinesz"/>
  </r>
  <r>
    <s v="2016/17"/>
    <s v="2016"/>
    <x v="27"/>
    <s v="League"/>
    <s v="Nov 14 2016"/>
    <x v="10"/>
    <x v="47"/>
    <n v="5"/>
    <x v="7"/>
    <n v="161"/>
    <n v="9"/>
    <s v="Mehedi Maruf"/>
    <s v="Comilla Victorians"/>
    <s v="field first"/>
    <s v="Dynamites"/>
    <x v="10"/>
    <s v="SBNCS"/>
    <s v="Mirpur"/>
    <n v="0"/>
    <n v="33"/>
    <s v="33 runs"/>
    <s v="Runs"/>
    <n v="33"/>
    <s v="Normal"/>
    <n v="355"/>
    <s v="170+ Match"/>
    <s v="Nadir Shah"/>
    <s v="Ranmore Martinesz"/>
  </r>
  <r>
    <s v="2016/17"/>
    <s v="2016"/>
    <x v="28"/>
    <s v="League"/>
    <s v="Nov 14 2016"/>
    <x v="9"/>
    <x v="31"/>
    <n v="3"/>
    <x v="8"/>
    <n v="167"/>
    <n v="3"/>
    <s v="Dawid Malan"/>
    <s v="Barisal Bulls"/>
    <s v="field first"/>
    <s v="Bulls"/>
    <x v="7"/>
    <s v="SBNCS"/>
    <s v="Mirpur"/>
    <n v="7"/>
    <n v="0"/>
    <s v="7 wickets"/>
    <s v="Wickets"/>
    <n v="7"/>
    <s v="Close Match"/>
    <n v="330"/>
    <s v="170+ Match"/>
    <s v="Khalid Mahmood"/>
    <s v="Tanvir Ahmed"/>
  </r>
  <r>
    <s v="2016/17"/>
    <s v="2016"/>
    <x v="30"/>
    <s v="League"/>
    <s v="Nov 13 2016"/>
    <x v="11"/>
    <x v="20"/>
    <n v="9"/>
    <x v="7"/>
    <n v="131"/>
    <n v="9"/>
    <s v="Shafiul Islam"/>
    <s v="Comilla Victorians"/>
    <s v="field first"/>
    <s v="Titans"/>
    <x v="12"/>
    <s v="SBNCS"/>
    <s v="Mirpur"/>
    <n v="0"/>
    <n v="13"/>
    <s v="13 runs"/>
    <s v="Runs"/>
    <n v="13"/>
    <s v="Normal"/>
    <n v="275"/>
    <s v="170+ Match"/>
    <s v="Ranmore Martinesz"/>
    <s v="Sharfuddoula"/>
  </r>
  <r>
    <s v="2016/17"/>
    <s v="2016"/>
    <x v="32"/>
    <s v="League"/>
    <s v="Nov 13 2016"/>
    <x v="6"/>
    <x v="17"/>
    <n v="4"/>
    <x v="12"/>
    <n v="188"/>
    <n v="6"/>
    <s v="Sabbir Rahman"/>
    <s v="Rajshahi Kings"/>
    <s v="field first"/>
    <s v="Bulls"/>
    <x v="7"/>
    <s v="SBNCS"/>
    <s v="Mirpur"/>
    <n v="0"/>
    <n v="4"/>
    <s v="4 runs"/>
    <s v="Runs"/>
    <n v="4"/>
    <s v="Close Match"/>
    <n v="380"/>
    <s v="170+ Match"/>
    <s v="Anisur Rahman"/>
    <s v="Khalid Mahmood"/>
  </r>
  <r>
    <s v="2016/17"/>
    <s v="2016"/>
    <x v="33"/>
    <s v="League"/>
    <s v="Nov 12 2016"/>
    <x v="10"/>
    <x v="41"/>
    <n v="6"/>
    <x v="6"/>
    <n v="92"/>
    <n v="10"/>
    <s v="Mosaddek Hossain"/>
    <s v="Rangpur Riders"/>
    <s v="field first"/>
    <s v="Dynamites"/>
    <x v="10"/>
    <s v="SBNCS"/>
    <s v="Mirpur"/>
    <n v="0"/>
    <n v="78"/>
    <s v="78 runs"/>
    <s v="Runs"/>
    <n v="78"/>
    <s v="Normal"/>
    <n v="262"/>
    <s v="170+ Match"/>
    <s v="Khalid Mahmood"/>
    <s v="Nadir Shah"/>
  </r>
  <r>
    <s v="2016/17"/>
    <s v="2016"/>
    <x v="34"/>
    <s v="League"/>
    <s v="Nov 12 2016"/>
    <x v="11"/>
    <x v="54"/>
    <n v="7"/>
    <x v="11"/>
    <n v="123"/>
    <n v="9"/>
    <s v="Mahmudullah"/>
    <s v="Chittagong Vikings"/>
    <s v="field first"/>
    <s v="Titans"/>
    <x v="12"/>
    <s v="SBNCS"/>
    <s v="Mirpur"/>
    <n v="0"/>
    <n v="4"/>
    <s v="4 runs"/>
    <s v="Runs"/>
    <n v="4"/>
    <s v="Close Match"/>
    <n v="250"/>
    <s v="170+ Match"/>
    <s v="Mahfuzur Rahman"/>
    <s v="Ranmore Martinesz"/>
  </r>
  <r>
    <s v="2016/17"/>
    <s v="2016"/>
    <x v="35"/>
    <s v="League"/>
    <s v="Nov 11 2016"/>
    <x v="10"/>
    <x v="61"/>
    <n v="5"/>
    <x v="12"/>
    <n v="139"/>
    <n v="4"/>
    <s v="Samit Patel"/>
    <s v="Rajshahi Kings"/>
    <s v="field first"/>
    <s v="Kings"/>
    <x v="11"/>
    <s v="SBNCS"/>
    <s v="Mirpur"/>
    <n v="6"/>
    <n v="0"/>
    <s v="6 wickets"/>
    <s v="Wickets"/>
    <n v="6"/>
    <s v="Close Match"/>
    <n v="277"/>
    <s v="170+ Match"/>
    <s v="Khalid Mahmood"/>
    <s v="Masudur Rahman"/>
  </r>
  <r>
    <s v="2016/17"/>
    <s v="2016"/>
    <x v="36"/>
    <s v="League"/>
    <s v="Nov 11 2016"/>
    <x v="8"/>
    <x v="72"/>
    <n v="8"/>
    <x v="8"/>
    <n v="130"/>
    <n v="4"/>
    <s v="Thisara Perera"/>
    <s v="Comilla Victorians"/>
    <s v="bat first"/>
    <s v="Bulls"/>
    <x v="7"/>
    <s v="SBNCS"/>
    <s v="Mirpur"/>
    <n v="6"/>
    <n v="0"/>
    <s v="6 wickets"/>
    <s v="Wickets"/>
    <n v="6"/>
    <s v="Close Match"/>
    <n v="259"/>
    <s v="170+ Match"/>
    <s v="Nadir Shah"/>
    <s v="Ranmore Martinesz"/>
  </r>
  <r>
    <s v="2016/17"/>
    <s v="2016"/>
    <x v="37"/>
    <s v="League"/>
    <s v="Nov 10 2016"/>
    <x v="11"/>
    <x v="96"/>
    <n v="10"/>
    <x v="6"/>
    <n v="45"/>
    <n v="1"/>
    <s v="Shahid Afridi"/>
    <s v="Rangpur Riders"/>
    <s v="field first"/>
    <s v="Riders"/>
    <x v="9"/>
    <s v="SBNCS"/>
    <s v="Mirpur"/>
    <n v="9"/>
    <n v="0"/>
    <s v="9 wickets"/>
    <s v="Wickets"/>
    <n v="9"/>
    <s v="Close Match"/>
    <n v="89"/>
    <s v="Below 170"/>
    <s v="Mahfuzur Rahman"/>
    <s v="Ranmore Martinesz"/>
  </r>
  <r>
    <s v="2016/17"/>
    <s v="2016"/>
    <x v="38"/>
    <s v="League"/>
    <s v="Nov 9 2016"/>
    <x v="9"/>
    <x v="8"/>
    <n v="10"/>
    <x v="6"/>
    <n v="125"/>
    <n v="1"/>
    <s v="Mohammad Shahzad"/>
    <s v="Rangpur Riders"/>
    <s v="field first"/>
    <s v="Riders"/>
    <x v="9"/>
    <s v="SBNCS"/>
    <s v="Mirpur"/>
    <n v="9"/>
    <n v="0"/>
    <s v="9 wickets"/>
    <s v="Wickets"/>
    <n v="9"/>
    <s v="Close Match"/>
    <n v="249"/>
    <s v="170+ Match"/>
    <s v="Khalid Mahmood"/>
    <s v="Nadir Shah"/>
  </r>
  <r>
    <s v="2016/17"/>
    <s v="2016"/>
    <x v="39"/>
    <s v="League"/>
    <s v="Nov 9 2016"/>
    <x v="11"/>
    <x v="97"/>
    <n v="8"/>
    <x v="12"/>
    <n v="130"/>
    <n v="10"/>
    <s v="Mahmudullah"/>
    <s v="Khulna Titans"/>
    <s v="bat first"/>
    <s v="Titans"/>
    <x v="12"/>
    <s v="SBNCS"/>
    <s v="Mirpur"/>
    <n v="0"/>
    <n v="3"/>
    <s v="3 runs"/>
    <s v="Runs"/>
    <n v="3"/>
    <s v="Close Match"/>
    <n v="263"/>
    <s v="170+ Match"/>
    <s v="Abdul Mazid"/>
    <s v="Mehidy Hasan Miraz"/>
  </r>
  <r>
    <s v="2016/17"/>
    <s v="2016"/>
    <x v="1"/>
    <s v="League"/>
    <s v="Nov 8 2016"/>
    <x v="6"/>
    <x v="95"/>
    <n v="6"/>
    <x v="9"/>
    <n v="149"/>
    <n v="2"/>
    <s v="Mehedi Maruf"/>
    <s v="Dhaka Dynamites"/>
    <s v="field first"/>
    <s v="Dynamites"/>
    <x v="10"/>
    <s v="SBNCS"/>
    <s v="Mirpur"/>
    <n v="8"/>
    <n v="0"/>
    <s v="8 wickets"/>
    <s v="Wickets"/>
    <n v="8"/>
    <s v="Close Match"/>
    <n v="297"/>
    <s v="170+ Match"/>
    <s v="Khalid Mahmood"/>
    <s v="Nadir Shah"/>
  </r>
  <r>
    <s v="2016/17"/>
    <s v="2016"/>
    <x v="2"/>
    <s v="League"/>
    <s v="Nov 8 2016"/>
    <x v="9"/>
    <x v="12"/>
    <n v="3"/>
    <x v="7"/>
    <n v="132"/>
    <n v="8"/>
    <s v="Mohammad Nabi"/>
    <s v="Comilla Victorians"/>
    <s v="field first"/>
    <s v="Vikings"/>
    <x v="13"/>
    <s v="SBNCS"/>
    <s v="Mirpur"/>
    <n v="0"/>
    <n v="29"/>
    <s v="29 runs"/>
    <s v="Runs"/>
    <n v="29"/>
    <s v="Normal"/>
    <n v="293"/>
    <s v="170+ Match"/>
    <s v="Nahidul Islam"/>
    <s v="Najmul Hossain Shanto"/>
  </r>
  <r>
    <s v="2017/18"/>
    <s v="2017"/>
    <x v="42"/>
    <s v="League"/>
    <s v="Dec 2 2017"/>
    <x v="10"/>
    <x v="57"/>
    <n v="5"/>
    <x v="12"/>
    <n v="106"/>
    <n v="10"/>
    <s v="Sunil Narine"/>
    <s v="Dhaka Dynamites"/>
    <s v="bat first"/>
    <s v="Dynamites"/>
    <x v="10"/>
    <s v="SBNCS"/>
    <s v="Mirpur"/>
    <n v="0"/>
    <n v="99"/>
    <s v="99 runs"/>
    <s v="Runs"/>
    <n v="99"/>
    <s v="Normal"/>
    <n v="311"/>
    <s v="170+ Match"/>
    <s v="Masudur Rahman"/>
    <s v="Riazuddin"/>
  </r>
  <r>
    <s v="2017/18"/>
    <s v="2017"/>
    <x v="43"/>
    <s v="League"/>
    <s v="Dec 2 2017"/>
    <x v="7"/>
    <x v="98"/>
    <n v="10"/>
    <x v="7"/>
    <n v="100"/>
    <n v="6"/>
    <s v="Mahedi Hasan"/>
    <s v="Comilla Victorians"/>
    <s v="field first"/>
    <s v="Victorians"/>
    <x v="6"/>
    <s v="SBNCS"/>
    <s v="Mirpur"/>
    <n v="4"/>
    <n v="0"/>
    <s v="4 wickets"/>
    <s v="Wickets"/>
    <n v="4"/>
    <s v="Close Match"/>
    <n v="197"/>
    <s v="170+ Match"/>
    <s v="Nadir Shah"/>
    <s v="Ranmore Martinesz"/>
  </r>
  <r>
    <s v="2017/18"/>
    <s v="2017"/>
    <x v="44"/>
    <s v="League"/>
    <s v="Nov 29 2017"/>
    <x v="8"/>
    <x v="46"/>
    <n v="6"/>
    <x v="9"/>
    <n v="155"/>
    <n v="8"/>
    <s v="Dwayne Bravo"/>
    <s v="Dhaka Dynamites"/>
    <s v="field first"/>
    <s v="Victorians"/>
    <x v="6"/>
    <s v="ZACS"/>
    <s v="Chattogram"/>
    <n v="0"/>
    <n v="12"/>
    <s v="12 runs"/>
    <s v="Runs"/>
    <n v="12"/>
    <s v="Normal"/>
    <n v="322"/>
    <s v="170+ Match"/>
    <s v="Nadir Shah"/>
    <s v="Riazuddin"/>
  </r>
  <r>
    <s v="2017/18"/>
    <s v="2017"/>
    <x v="45"/>
    <s v="League"/>
    <s v="Nov 29 2017"/>
    <x v="22"/>
    <x v="33"/>
    <n v="6"/>
    <x v="11"/>
    <n v="124"/>
    <n v="10"/>
    <s v="Daren Sammy"/>
    <s v="Rajshahi Kings"/>
    <s v="bat first"/>
    <s v="Kings"/>
    <x v="11"/>
    <s v="ZACS"/>
    <s v="Chattogram"/>
    <n v="0"/>
    <n v="33"/>
    <s v="33 runs"/>
    <s v="Runs"/>
    <n v="33"/>
    <s v="Normal"/>
    <n v="281"/>
    <s v="170+ Match"/>
    <s v="Nayeem Hasan"/>
    <s v="Qazi Onik"/>
  </r>
  <r>
    <s v="2017/18"/>
    <s v="2017"/>
    <x v="46"/>
    <s v="League"/>
    <s v="Nov 28 2017"/>
    <x v="11"/>
    <x v="42"/>
    <n v="10"/>
    <x v="7"/>
    <n v="112"/>
    <n v="1"/>
    <s v="Shoaib Malik"/>
    <s v="Khulna Titans"/>
    <s v="bat first"/>
    <s v="Victorians"/>
    <x v="6"/>
    <s v="ZACS"/>
    <s v="Chattogram"/>
    <n v="9"/>
    <n v="0"/>
    <s v="9 wickets"/>
    <s v="Wickets"/>
    <n v="9"/>
    <s v="Close Match"/>
    <n v="223"/>
    <s v="170+ Match"/>
    <s v="Nadir Shah"/>
    <s v="Riazuddin"/>
  </r>
  <r>
    <s v="2017/18"/>
    <s v="2017"/>
    <x v="47"/>
    <s v="League"/>
    <s v="Nov 28 2017"/>
    <x v="12"/>
    <x v="99"/>
    <n v="5"/>
    <x v="6"/>
    <n v="177"/>
    <n v="6"/>
    <s v="Nazmul Islam"/>
    <s v="Rangpur Riders"/>
    <s v="field first"/>
    <s v="Riders"/>
    <x v="9"/>
    <s v="ZACS"/>
    <s v="Chattogram"/>
    <n v="4"/>
    <n v="0"/>
    <s v="4 wickets"/>
    <s v="Wickets"/>
    <n v="4"/>
    <s v="Close Match"/>
    <n v="350"/>
    <s v="170+ Match"/>
    <s v="Mahfuzur Rahman"/>
    <s v="Ranmore Martinesz"/>
  </r>
  <r>
    <s v="2017/18"/>
    <s v="2017"/>
    <x v="48"/>
    <s v="League"/>
    <s v="Nov 27 2017"/>
    <x v="11"/>
    <x v="71"/>
    <n v="5"/>
    <x v="12"/>
    <n v="145"/>
    <n v="10"/>
    <s v="Nicholas Pooran"/>
    <s v="Rajshahi Kings"/>
    <s v="field first"/>
    <s v="Titans"/>
    <x v="12"/>
    <s v="ZACS"/>
    <s v="Chattogram"/>
    <n v="0"/>
    <n v="68"/>
    <s v="68 runs"/>
    <s v="Runs"/>
    <n v="68"/>
    <s v="Normal"/>
    <n v="358"/>
    <s v="170+ Match"/>
    <s v="Gazi Sohel"/>
    <s v="Mahfuzur Rahman"/>
  </r>
  <r>
    <s v="2017/18"/>
    <s v="2017"/>
    <x v="3"/>
    <s v="League"/>
    <s v="Nov 27 2017"/>
    <x v="9"/>
    <x v="87"/>
    <n v="5"/>
    <x v="9"/>
    <n v="191"/>
    <n v="3"/>
    <s v="Evin Lewis"/>
    <s v="Chittagong Vikings"/>
    <s v="bat first"/>
    <s v="Dynamites"/>
    <x v="10"/>
    <s v="ZACS"/>
    <s v="Chattogram"/>
    <n v="7"/>
    <n v="0"/>
    <s v="7 wickets"/>
    <s v="Wickets"/>
    <n v="7"/>
    <s v="Close Match"/>
    <n v="378"/>
    <s v="170+ Match"/>
    <s v="Nadir Shah"/>
    <s v="Riazuddin"/>
  </r>
  <r>
    <s v="2017/18"/>
    <s v="2017"/>
    <x v="4"/>
    <s v="League"/>
    <s v="Nov 25 2017"/>
    <x v="9"/>
    <x v="66"/>
    <n v="7"/>
    <x v="6"/>
    <n v="180"/>
    <n v="7"/>
    <s v="Mashrafe Mortaza"/>
    <s v="Rangpur Riders"/>
    <s v="field first"/>
    <s v="Riders"/>
    <x v="9"/>
    <s v="ZACS"/>
    <s v="Chattogram"/>
    <n v="3"/>
    <n v="0"/>
    <s v="3 wickets"/>
    <s v="Wickets"/>
    <n v="3"/>
    <s v="Close Match"/>
    <n v="356"/>
    <s v="170+ Match"/>
    <s v="Riazuddin"/>
    <s v="Tanvir Ahmed"/>
  </r>
  <r>
    <s v="2017/18"/>
    <s v="2017"/>
    <x v="5"/>
    <s v="League"/>
    <s v="Nov 25 2017"/>
    <x v="22"/>
    <x v="92"/>
    <n v="7"/>
    <x v="7"/>
    <n v="155"/>
    <n v="10"/>
    <s v="Daren Sammy"/>
    <s v="Rajshahi Kings"/>
    <s v="bat first"/>
    <s v="Kings"/>
    <x v="11"/>
    <s v="ZACS"/>
    <s v="Chattogram"/>
    <n v="0"/>
    <n v="30"/>
    <s v="30 runs"/>
    <s v="Runs"/>
    <n v="30"/>
    <s v="Normal"/>
    <n v="340"/>
    <s v="170+ Match"/>
    <s v="Anisur Rahman"/>
    <s v="Morshed Ali Khan"/>
  </r>
  <r>
    <s v="2017/18"/>
    <s v="2017"/>
    <x v="6"/>
    <s v="League"/>
    <s v="Nov 24 2017"/>
    <x v="9"/>
    <x v="100"/>
    <n v="5"/>
    <x v="14"/>
    <n v="171"/>
    <n v="8"/>
    <s v="Sikandar Raza"/>
    <s v="Sylhet Sixers"/>
    <s v="field first"/>
    <s v="Vikings"/>
    <x v="13"/>
    <s v="ZACS"/>
    <s v="Chattogram"/>
    <n v="0"/>
    <n v="40"/>
    <s v="40 runs"/>
    <s v="Runs"/>
    <n v="40"/>
    <s v="Normal"/>
    <n v="382"/>
    <s v="170+ Match"/>
    <s v="Anisur Rahman"/>
    <s v="Tanvir Ahmed"/>
  </r>
  <r>
    <s v="2017/18"/>
    <s v="2017"/>
    <x v="7"/>
    <s v="League"/>
    <s v="Nov 24 2017"/>
    <x v="11"/>
    <x v="40"/>
    <n v="8"/>
    <x v="6"/>
    <n v="149"/>
    <n v="6"/>
    <s v="Mahmudullah"/>
    <s v="Rangpur Riders"/>
    <s v="field first"/>
    <s v="Titans"/>
    <x v="12"/>
    <s v="ZACS"/>
    <s v="Chattogram"/>
    <n v="0"/>
    <n v="9"/>
    <s v="9 runs"/>
    <s v="Runs"/>
    <n v="9"/>
    <s v="Close Match"/>
    <n v="307"/>
    <s v="170+ Match"/>
    <s v="Morshed Ali Khan"/>
    <s v="Riazuddin"/>
  </r>
  <r>
    <s v="2017/18"/>
    <s v="2017"/>
    <x v="8"/>
    <s v="League"/>
    <s v="Nov 21 2017"/>
    <x v="7"/>
    <x v="39"/>
    <n v="10"/>
    <x v="9"/>
    <n v="139"/>
    <n v="10"/>
    <s v="Chris Gayle"/>
    <s v="Dhaka Dynamites"/>
    <s v="field first"/>
    <s v="Riders"/>
    <x v="9"/>
    <s v="SBNCS"/>
    <s v="Mirpur"/>
    <n v="0"/>
    <n v="3"/>
    <s v="3 runs"/>
    <s v="Runs"/>
    <n v="3"/>
    <s v="Close Match"/>
    <n v="281"/>
    <s v="170+ Match"/>
    <s v="Anisur Rahman"/>
    <s v="Riazuddin"/>
  </r>
  <r>
    <s v="2017/18"/>
    <s v="2017"/>
    <x v="9"/>
    <s v="League"/>
    <s v="Nov 21 2017"/>
    <x v="22"/>
    <x v="80"/>
    <n v="8"/>
    <x v="13"/>
    <n v="168"/>
    <n v="8"/>
    <s v="Ariful Haque"/>
    <s v="Khulna Titans"/>
    <s v="field first"/>
    <s v="Titans"/>
    <x v="12"/>
    <s v="SBNCS"/>
    <s v="Mirpur"/>
    <n v="2"/>
    <n v="0"/>
    <s v="2 wickets"/>
    <s v="Wickets"/>
    <n v="2"/>
    <s v="Close Match"/>
    <n v="334"/>
    <s v="170+ Match"/>
    <s v="Nadir Shah"/>
    <s v="Sharfuddoula"/>
  </r>
  <r>
    <s v="2017/18"/>
    <s v="2017"/>
    <x v="11"/>
    <s v="League"/>
    <s v="Nov 20 2017"/>
    <x v="7"/>
    <x v="101"/>
    <n v="7"/>
    <x v="14"/>
    <n v="162"/>
    <n v="4"/>
    <s v="Chris Gayle"/>
    <s v="Sylhet Sixers"/>
    <s v="field first"/>
    <s v="Riders"/>
    <x v="9"/>
    <s v="SBNCS"/>
    <s v="Mirpur"/>
    <n v="0"/>
    <n v="7"/>
    <s v="7 runs"/>
    <s v="Runs"/>
    <n v="7"/>
    <s v="Close Match"/>
    <n v="331"/>
    <s v="170+ Match"/>
    <s v="Anisur Rahman"/>
    <s v="Riazuddin"/>
  </r>
  <r>
    <s v="2017/18"/>
    <s v="2017"/>
    <x v="12"/>
    <s v="League"/>
    <s v="Nov 20 2017"/>
    <x v="10"/>
    <x v="13"/>
    <n v="10"/>
    <x v="7"/>
    <n v="129"/>
    <n v="6"/>
    <s v="Hasan Ali"/>
    <s v="Dhaka Dynamites"/>
    <s v="bat first"/>
    <s v="Victorians"/>
    <x v="6"/>
    <s v="SBNCS"/>
    <s v="Mirpur"/>
    <n v="4"/>
    <n v="0"/>
    <s v="4 wickets"/>
    <s v="Wickets"/>
    <n v="4"/>
    <s v="Close Match"/>
    <n v="257"/>
    <s v="170+ Match"/>
    <s v="Masudur Rahman"/>
    <s v="Ranmore Martinesz"/>
  </r>
  <r>
    <s v="2017/18"/>
    <s v="2017"/>
    <x v="14"/>
    <s v="League"/>
    <s v="Nov 18 2017"/>
    <x v="8"/>
    <x v="32"/>
    <n v="6"/>
    <x v="6"/>
    <n v="139"/>
    <n v="7"/>
    <s v="Mahedi Hasan"/>
    <s v="Rangpur Riders"/>
    <s v="field first"/>
    <s v="Victorians"/>
    <x v="6"/>
    <s v="SBNCS"/>
    <s v="Mirpur"/>
    <n v="0"/>
    <n v="14"/>
    <s v="14 runs"/>
    <s v="Runs"/>
    <n v="14"/>
    <s v="Normal"/>
    <n v="292"/>
    <s v="170+ Match"/>
    <s v="Mahfuzur Rahman"/>
    <s v="Ranmore Martinesz"/>
  </r>
  <r>
    <s v="2017/18"/>
    <s v="2017"/>
    <x v="16"/>
    <s v="League"/>
    <s v="Nov 18 2017"/>
    <x v="10"/>
    <x v="102"/>
    <n v="7"/>
    <x v="12"/>
    <n v="133"/>
    <n v="10"/>
    <s v="Evin Lewis"/>
    <s v="Rajshahi Kings"/>
    <s v="field first"/>
    <s v="Dynamites"/>
    <x v="10"/>
    <s v="SBNCS"/>
    <s v="Mirpur"/>
    <n v="0"/>
    <n v="68"/>
    <s v="68 runs"/>
    <s v="Runs"/>
    <n v="68"/>
    <s v="Normal"/>
    <n v="334"/>
    <s v="170+ Match"/>
    <s v="Nadir Shah"/>
    <s v="Riazuddin"/>
  </r>
  <r>
    <s v="2017/18"/>
    <s v="2017"/>
    <x v="18"/>
    <s v="League"/>
    <s v="Nov 17 2017"/>
    <x v="9"/>
    <x v="27"/>
    <n v="5"/>
    <x v="13"/>
    <n v="164"/>
    <n v="5"/>
    <s v="Rilee Rossouw"/>
    <s v="Khulna Titans"/>
    <s v="field first"/>
    <s v="Titans"/>
    <x v="12"/>
    <s v="SBNCS"/>
    <s v="Mirpur"/>
    <n v="5"/>
    <n v="0"/>
    <s v="5 wickets"/>
    <s v="Wickets"/>
    <n v="5"/>
    <s v="Close Match"/>
    <n v="324"/>
    <s v="170+ Match"/>
    <s v="Nadir Shah"/>
    <s v="Riazuddin"/>
  </r>
  <r>
    <s v="2017/18"/>
    <s v="2017"/>
    <x v="20"/>
    <s v="League"/>
    <s v="Nov 17 2017"/>
    <x v="12"/>
    <x v="103"/>
    <n v="6"/>
    <x v="12"/>
    <n v="150"/>
    <n v="3"/>
    <s v="Zakir Hasan"/>
    <s v="Rajshahi Kings"/>
    <s v="field first"/>
    <s v="Kings"/>
    <x v="11"/>
    <s v="SBNCS"/>
    <s v="Mirpur"/>
    <n v="7"/>
    <n v="0"/>
    <s v="7 wickets"/>
    <s v="Wickets"/>
    <n v="7"/>
    <s v="Close Match"/>
    <n v="296"/>
    <s v="170+ Match"/>
    <s v="Mahfuzur Rahman"/>
    <s v="Ranmore Martinesz"/>
  </r>
  <r>
    <s v="2017/18"/>
    <s v="2017"/>
    <x v="25"/>
    <s v="League"/>
    <s v="Nov 14 2017"/>
    <x v="9"/>
    <x v="19"/>
    <n v="4"/>
    <x v="7"/>
    <n v="140"/>
    <n v="4"/>
    <s v="Imrul Kayes"/>
    <s v="Comilla Victorians"/>
    <s v="field first"/>
    <s v="Victorians"/>
    <x v="6"/>
    <s v="SBNCS"/>
    <s v="Mirpur"/>
    <n v="6"/>
    <n v="0"/>
    <s v="6 wickets"/>
    <s v="Wickets"/>
    <n v="6"/>
    <s v="Close Match"/>
    <n v="279"/>
    <s v="170+ Match"/>
    <s v="Riazuddin"/>
    <s v="Sharfuddoula"/>
  </r>
  <r>
    <s v="2017/18"/>
    <s v="2017"/>
    <x v="27"/>
    <s v="League"/>
    <s v="Nov 14 2017"/>
    <x v="11"/>
    <x v="7"/>
    <n v="5"/>
    <x v="9"/>
    <n v="157"/>
    <n v="6"/>
    <s v="Jahurul Islam"/>
    <s v="Dhaka Dynamites"/>
    <s v="field first"/>
    <s v="Dynamites"/>
    <x v="10"/>
    <s v="SBNCS"/>
    <s v="Mirpur"/>
    <n v="4"/>
    <n v="0"/>
    <s v="4 wickets"/>
    <s v="Wickets"/>
    <n v="4"/>
    <s v="Close Match"/>
    <n v="313"/>
    <s v="170+ Match"/>
    <s v="Mahfuzur Rahman"/>
    <s v="Ranmore Martinesz"/>
  </r>
  <r>
    <s v="2017/18"/>
    <s v="2017"/>
    <x v="28"/>
    <s v="League"/>
    <s v="Nov 12 2017"/>
    <x v="22"/>
    <x v="104"/>
    <n v="7"/>
    <x v="7"/>
    <n v="120"/>
    <n v="1"/>
    <s v="Rashid Khan"/>
    <s v="Comilla Victorians"/>
    <s v="field first"/>
    <s v="Victorians"/>
    <x v="6"/>
    <s v="SBNCS"/>
    <s v="Mirpur"/>
    <n v="9"/>
    <n v="0"/>
    <s v="9 wickets"/>
    <s v="Wickets"/>
    <n v="9"/>
    <s v="Close Match"/>
    <n v="235"/>
    <s v="170+ Match"/>
    <s v="Masudur Rahman"/>
    <s v="Riazuddin"/>
  </r>
  <r>
    <s v="2017/18"/>
    <s v="2017"/>
    <x v="30"/>
    <s v="League"/>
    <s v="Nov 12 2017"/>
    <x v="11"/>
    <x v="41"/>
    <n v="7"/>
    <x v="11"/>
    <n v="152"/>
    <n v="7"/>
    <s v="Abu Jayed"/>
    <s v="Chittagong Vikings"/>
    <s v="field first"/>
    <s v="Titans"/>
    <x v="12"/>
    <s v="SBNCS"/>
    <s v="Mirpur"/>
    <n v="0"/>
    <n v="18"/>
    <s v="18 runs"/>
    <s v="Runs"/>
    <n v="18"/>
    <s v="Normal"/>
    <n v="322"/>
    <s v="170+ Match"/>
    <s v="Mahfuzur Rahman"/>
    <s v="Ranmore Martinesz"/>
  </r>
  <r>
    <s v="2017/18"/>
    <s v="2017"/>
    <x v="32"/>
    <s v="League"/>
    <s v="Nov 11 2017"/>
    <x v="12"/>
    <x v="105"/>
    <n v="9"/>
    <x v="9"/>
    <n v="106"/>
    <n v="2"/>
    <s v="Shahid Afridi"/>
    <s v="Dhaka Dynamites"/>
    <s v="field first"/>
    <s v="Dynamites"/>
    <x v="10"/>
    <s v="SBNCS"/>
    <s v="Mirpur"/>
    <n v="8"/>
    <n v="0"/>
    <s v="8 wickets"/>
    <s v="Wickets"/>
    <n v="8"/>
    <s v="Close Match"/>
    <n v="207"/>
    <s v="170+ Match"/>
    <s v="Nadir Shah"/>
    <s v="Ranmore Martinesz"/>
  </r>
  <r>
    <s v="2017/18"/>
    <s v="2017"/>
    <x v="33"/>
    <s v="League"/>
    <s v="Nov 11 2017"/>
    <x v="7"/>
    <x v="44"/>
    <n v="5"/>
    <x v="12"/>
    <n v="138"/>
    <n v="2"/>
    <s v="Mominul Haque"/>
    <s v="Rangpur Riders"/>
    <s v="bat first"/>
    <s v="Kings"/>
    <x v="11"/>
    <s v="SBNCS"/>
    <s v="Mirpur"/>
    <n v="8"/>
    <n v="0"/>
    <s v="8 wickets"/>
    <s v="Wickets"/>
    <n v="8"/>
    <s v="Close Match"/>
    <n v="272"/>
    <s v="170+ Match"/>
    <s v="Anisur Rahman"/>
    <s v="Riazuddin"/>
  </r>
  <r>
    <s v="2017/18"/>
    <s v="2017"/>
    <x v="34"/>
    <s v="League"/>
    <s v="Nov 8 2017"/>
    <x v="12"/>
    <x v="29"/>
    <n v="5"/>
    <x v="13"/>
    <n v="138"/>
    <n v="4"/>
    <s v="Mahmudullah"/>
    <s v="Khulna Titans"/>
    <s v="field first"/>
    <s v="Titans"/>
    <x v="12"/>
    <s v="SylhetICS"/>
    <s v="Sylhet"/>
    <n v="6"/>
    <n v="0"/>
    <s v="6 wickets"/>
    <s v="Wickets"/>
    <n v="6"/>
    <s v="Close Match"/>
    <n v="273"/>
    <s v="170+ Match"/>
    <s v="Anisur Rahman"/>
    <s v="Masudur Rahman"/>
  </r>
  <r>
    <s v="2017/18"/>
    <s v="2017"/>
    <x v="35"/>
    <s v="League"/>
    <s v="Nov 8 2017"/>
    <x v="9"/>
    <x v="80"/>
    <n v="4"/>
    <x v="6"/>
    <n v="155"/>
    <n v="8"/>
    <s v="Taskin Ahmed"/>
    <s v="Rangpur Riders"/>
    <s v="field first"/>
    <s v="Vikings"/>
    <x v="13"/>
    <s v="SylhetICS"/>
    <s v="Sylhet"/>
    <n v="0"/>
    <n v="11"/>
    <s v="11 runs"/>
    <s v="Runs"/>
    <n v="11"/>
    <s v="Normal"/>
    <n v="321"/>
    <s v="170+ Match"/>
    <s v="Riazuddin"/>
    <s v="Sharfuddoula"/>
  </r>
  <r>
    <s v="2017/18"/>
    <s v="2017"/>
    <x v="36"/>
    <s v="League"/>
    <s v="Nov 7 2017"/>
    <x v="12"/>
    <x v="57"/>
    <n v="6"/>
    <x v="12"/>
    <n v="172"/>
    <n v="8"/>
    <s v="Danushka Gunathilaka"/>
    <s v="Rajshahi Kings"/>
    <s v="field first"/>
    <s v="Sixers"/>
    <x v="14"/>
    <s v="SylhetICS"/>
    <s v="Sylhet"/>
    <n v="0"/>
    <n v="33"/>
    <s v="33 runs"/>
    <s v="Runs"/>
    <n v="33"/>
    <s v="Normal"/>
    <n v="377"/>
    <s v="170+ Match"/>
    <s v="Anisur Rahman"/>
    <s v="Riazuddin"/>
  </r>
  <r>
    <s v="2017/18"/>
    <s v="2017"/>
    <x v="37"/>
    <s v="League"/>
    <s v="Nov 7 2017"/>
    <x v="9"/>
    <x v="106"/>
    <n v="7"/>
    <x v="7"/>
    <n v="144"/>
    <n v="2"/>
    <s v="Mohammad Saifuddin"/>
    <s v="Comilla Victorians"/>
    <s v="field first"/>
    <s v="Victorians"/>
    <x v="6"/>
    <s v="SylhetICS"/>
    <s v="Sylhet"/>
    <n v="8"/>
    <n v="0"/>
    <s v="8 wickets"/>
    <s v="Wickets"/>
    <n v="8"/>
    <s v="Close Match"/>
    <n v="287"/>
    <s v="170+ Match"/>
    <s v="Masudur Rahman"/>
    <s v="Sharfuddoula"/>
  </r>
  <r>
    <s v="2017/18"/>
    <s v="2017"/>
    <x v="38"/>
    <s v="League"/>
    <s v="Nov 5 2017"/>
    <x v="10"/>
    <x v="64"/>
    <n v="7"/>
    <x v="13"/>
    <n v="137"/>
    <n v="10"/>
    <s v="Cameron Delport"/>
    <s v="Khulna Titans"/>
    <s v="field first"/>
    <s v="Dynamites"/>
    <x v="10"/>
    <s v="SylhetICS"/>
    <s v="Sylhet"/>
    <n v="0"/>
    <n v="65"/>
    <s v="65 runs"/>
    <s v="Runs"/>
    <n v="65"/>
    <s v="Normal"/>
    <n v="339"/>
    <s v="170+ Match"/>
    <s v="Akteruzzaman"/>
    <s v="Riazuddin"/>
  </r>
  <r>
    <s v="2017/18"/>
    <s v="2017"/>
    <x v="39"/>
    <s v="League"/>
    <s v="Nov 5 2017"/>
    <x v="8"/>
    <x v="26"/>
    <n v="6"/>
    <x v="14"/>
    <n v="148"/>
    <n v="6"/>
    <s v="Upul Tharanga"/>
    <s v="Sylhet Sixers"/>
    <s v="field first"/>
    <s v="Sixers"/>
    <x v="14"/>
    <s v="SylhetICS"/>
    <s v="Sylhet"/>
    <n v="4"/>
    <n v="0"/>
    <s v="4 wickets"/>
    <s v="Wickets"/>
    <n v="4"/>
    <s v="Close Match"/>
    <n v="293"/>
    <s v="170+ Match"/>
    <s v="Mahfuzur Rahman"/>
    <s v="Masudur Rahman"/>
  </r>
  <r>
    <s v="2017/18"/>
    <s v="2017"/>
    <x v="1"/>
    <s v="League"/>
    <s v="Nov 4 2017"/>
    <x v="22"/>
    <x v="43"/>
    <n v="8"/>
    <x v="6"/>
    <n v="155"/>
    <n v="4"/>
    <s v="Ravi Bopara"/>
    <s v="Rangpur Riders"/>
    <s v="field first"/>
    <s v="Riders"/>
    <x v="9"/>
    <s v="SylhetICS"/>
    <s v="Sylhet"/>
    <n v="6"/>
    <n v="0"/>
    <s v="6 wickets"/>
    <s v="Wickets"/>
    <n v="6"/>
    <s v="Close Match"/>
    <n v="309"/>
    <s v="170+ Match"/>
    <s v="Mahfuzur Rahman"/>
    <s v="Tanvir Ahmed"/>
  </r>
  <r>
    <s v="2017/18"/>
    <s v="2017"/>
    <x v="2"/>
    <s v="League"/>
    <s v="Nov 4 2017"/>
    <x v="10"/>
    <x v="68"/>
    <n v="7"/>
    <x v="14"/>
    <n v="137"/>
    <n v="1"/>
    <s v="Upul Tharanga"/>
    <s v="Sylhet Sixers"/>
    <s v="field first"/>
    <s v="Sixers"/>
    <x v="14"/>
    <s v="SylhetICS"/>
    <s v="Sylhet"/>
    <n v="9"/>
    <n v="0"/>
    <s v="9 wickets"/>
    <s v="Wickets"/>
    <n v="9"/>
    <s v="Close Match"/>
    <n v="273"/>
    <s v="170+ Match"/>
    <s v="Masudur Rahman"/>
    <s v="Riazuddin"/>
  </r>
  <r>
    <s v="2018/19"/>
    <s v="2018"/>
    <x v="42"/>
    <s v="League"/>
    <s v="Jan 29 2019"/>
    <x v="22"/>
    <x v="45"/>
    <n v="8"/>
    <x v="6"/>
    <n v="145"/>
    <n v="4"/>
    <s v="Farhad Reza"/>
    <s v="Rajshahi Kings"/>
    <s v="bat first"/>
    <s v="Riders"/>
    <x v="9"/>
    <s v="ZACS"/>
    <s v="Chattogram"/>
    <n v="6"/>
    <n v="0"/>
    <s v="6 wickets"/>
    <s v="Wickets"/>
    <n v="6"/>
    <s v="Close Match"/>
    <n v="286"/>
    <s v="170+ Match"/>
    <s v="Alex Wharf"/>
    <s v="Masudur Rahman"/>
  </r>
  <r>
    <s v="2018/19"/>
    <s v="2018"/>
    <x v="43"/>
    <s v="League"/>
    <s v="Jan 29 2019"/>
    <x v="9"/>
    <x v="3"/>
    <n v="8"/>
    <x v="7"/>
    <n v="117"/>
    <n v="3"/>
    <s v="Shahid Afridi"/>
    <s v="Chittagong Vikings"/>
    <s v="bat first"/>
    <s v="Victorians"/>
    <x v="6"/>
    <s v="ZACS"/>
    <s v="Chattogram"/>
    <n v="7"/>
    <n v="0"/>
    <s v="7 wickets"/>
    <s v="Wickets"/>
    <n v="7"/>
    <s v="Close Match"/>
    <n v="233"/>
    <s v="170+ Match"/>
    <s v="Mahfuzur Rahman"/>
    <s v="Ranmore Martinesz"/>
  </r>
  <r>
    <s v="2018/19"/>
    <s v="2018"/>
    <x v="44"/>
    <s v="League"/>
    <s v="Jan 28 2019"/>
    <x v="10"/>
    <x v="107"/>
    <n v="6"/>
    <x v="6"/>
    <n v="189"/>
    <n v="2"/>
    <s v="AB de Villiers"/>
    <s v="Dhaka Dynamites"/>
    <s v="bat first"/>
    <s v="Riders"/>
    <x v="9"/>
    <s v="ZACS"/>
    <s v="Chattogram"/>
    <n v="8"/>
    <n v="0"/>
    <s v="8 wickets"/>
    <s v="Wickets"/>
    <n v="8"/>
    <s v="Close Match"/>
    <n v="375"/>
    <s v="170+ Match"/>
    <s v="Masudur Rahman"/>
    <s v="Ranmore Martinesz"/>
  </r>
  <r>
    <s v="2018/19"/>
    <s v="2018"/>
    <x v="45"/>
    <s v="League"/>
    <s v="Jan 28 2019"/>
    <x v="8"/>
    <x v="108"/>
    <n v="5"/>
    <x v="13"/>
    <n v="157"/>
    <n v="10"/>
    <s v="Evin Lewis"/>
    <s v="Khulna Titans"/>
    <s v="field first"/>
    <s v="Victorians"/>
    <x v="6"/>
    <s v="ZACS"/>
    <s v="Chattogram"/>
    <n v="0"/>
    <n v="80"/>
    <s v="80 runs"/>
    <s v="Runs"/>
    <n v="80"/>
    <s v="Normal"/>
    <n v="394"/>
    <s v="170+ Match"/>
    <s v="Shozab Raza"/>
    <s v="Tanvir Ahmed"/>
  </r>
  <r>
    <s v="2018/19"/>
    <s v="2018"/>
    <x v="46"/>
    <s v="League"/>
    <s v="Jan 26 2019"/>
    <x v="22"/>
    <x v="109"/>
    <n v="5"/>
    <x v="11"/>
    <n v="191"/>
    <n v="8"/>
    <s v="Mustafizur Rahman"/>
    <s v="Chittagong Vikings"/>
    <s v="field first"/>
    <s v="Kings"/>
    <x v="11"/>
    <s v="ZACS"/>
    <s v="Chattogram"/>
    <n v="0"/>
    <n v="7"/>
    <s v="7 runs"/>
    <s v="Runs"/>
    <n v="7"/>
    <s v="Close Match"/>
    <n v="389"/>
    <s v="170+ Match"/>
    <s v="Sharfuddoula"/>
    <s v="Shozab Raza"/>
  </r>
  <r>
    <s v="2018/19"/>
    <s v="2018"/>
    <x v="47"/>
    <s v="League"/>
    <s v="Jan 26 2019"/>
    <x v="12"/>
    <x v="110"/>
    <n v="4"/>
    <x v="13"/>
    <n v="137"/>
    <n v="10"/>
    <s v="Mohammad Nawaz"/>
    <s v="Sylhet Sixers"/>
    <s v="bat first"/>
    <s v="Sixers"/>
    <x v="14"/>
    <s v="ZACS"/>
    <s v="Chattogram"/>
    <n v="0"/>
    <n v="58"/>
    <s v="58 runs"/>
    <s v="Runs"/>
    <n v="58"/>
    <s v="Normal"/>
    <n v="332"/>
    <s v="170+ Match"/>
    <s v="Alex Wharf"/>
    <s v="Gazi Sohel"/>
  </r>
  <r>
    <s v="2018/19"/>
    <s v="2018"/>
    <x v="48"/>
    <s v="League"/>
    <s v="Jan 25 2019"/>
    <x v="7"/>
    <x v="111"/>
    <n v="4"/>
    <x v="11"/>
    <n v="167"/>
    <n v="8"/>
    <s v="Alex Hales"/>
    <s v="Chittagong Vikings"/>
    <s v="field first"/>
    <s v="Riders"/>
    <x v="9"/>
    <s v="ZACS"/>
    <s v="Chattogram"/>
    <n v="0"/>
    <n v="72"/>
    <s v="72 runs"/>
    <s v="Runs"/>
    <n v="72"/>
    <s v="Normal"/>
    <n v="406"/>
    <s v="170+ Match"/>
    <s v="Alex Wharf"/>
    <s v="Sharfuddoula"/>
  </r>
  <r>
    <s v="2018/19"/>
    <s v="2018"/>
    <x v="3"/>
    <s v="League"/>
    <s v="Jan 25 2019"/>
    <x v="12"/>
    <x v="34"/>
    <n v="6"/>
    <x v="12"/>
    <n v="104"/>
    <n v="10"/>
    <s v="Sohail Tanvir"/>
    <s v="Rajshahi Kings"/>
    <s v="field first"/>
    <s v="Sixers"/>
    <x v="14"/>
    <s v="ZACS"/>
    <s v="Chattogram"/>
    <n v="0"/>
    <n v="76"/>
    <s v="76 runs"/>
    <s v="Runs"/>
    <n v="76"/>
    <s v="Normal"/>
    <n v="284"/>
    <s v="170+ Match"/>
    <s v="Morshed Ali Khan"/>
    <s v="Shozab Raza"/>
  </r>
  <r>
    <s v="2018/19"/>
    <s v="2018"/>
    <x v="4"/>
    <s v="League"/>
    <s v="Jan 23 2019"/>
    <x v="11"/>
    <x v="41"/>
    <n v="9"/>
    <x v="14"/>
    <n v="149"/>
    <n v="7"/>
    <s v="David Wiese"/>
    <s v="Sylhet Sixers"/>
    <s v="field first"/>
    <s v="Titans"/>
    <x v="12"/>
    <s v="SBNCS"/>
    <s v="Mirpur"/>
    <n v="0"/>
    <n v="21"/>
    <s v="21 runs"/>
    <s v="Runs"/>
    <n v="21"/>
    <s v="Normal"/>
    <n v="319"/>
    <s v="170+ Match"/>
    <s v="Alex Wharf"/>
    <s v="Morshed Ali Khan"/>
  </r>
  <r>
    <s v="2018/19"/>
    <s v="2018"/>
    <x v="5"/>
    <s v="League"/>
    <s v="Jan 23 2019"/>
    <x v="22"/>
    <x v="33"/>
    <n v="5"/>
    <x v="11"/>
    <n v="159"/>
    <n v="4"/>
    <s v="Mushfiqur Rahim"/>
    <s v="Chittagong Vikings"/>
    <s v="field first"/>
    <s v="Vikings"/>
    <x v="13"/>
    <s v="SBNCS"/>
    <s v="Mirpur"/>
    <n v="6"/>
    <n v="0"/>
    <s v="6 wickets"/>
    <s v="Wickets"/>
    <n v="6"/>
    <s v="Close Match"/>
    <n v="316"/>
    <s v="170+ Match"/>
    <s v="Nadir Shah"/>
    <s v="Ranmore Martinesz"/>
  </r>
  <r>
    <s v="2018/19"/>
    <s v="2018"/>
    <x v="6"/>
    <s v="League"/>
    <s v="Jan 22 2019"/>
    <x v="8"/>
    <x v="32"/>
    <n v="8"/>
    <x v="9"/>
    <n v="146"/>
    <n v="9"/>
    <s v="Thisara Perera"/>
    <s v="Dhaka Dynamites"/>
    <s v="field first"/>
    <s v="Victorians"/>
    <x v="6"/>
    <s v="SBNCS"/>
    <s v="Mirpur"/>
    <n v="0"/>
    <n v="7"/>
    <s v="7 runs"/>
    <s v="Runs"/>
    <n v="7"/>
    <s v="Close Match"/>
    <n v="299"/>
    <s v="170+ Match"/>
    <s v="Mahfuzur Rahman"/>
    <s v="Ranmore Martinesz"/>
  </r>
  <r>
    <s v="2018/19"/>
    <s v="2018"/>
    <x v="7"/>
    <s v="League"/>
    <s v="Jan 22 2019"/>
    <x v="11"/>
    <x v="62"/>
    <n v="6"/>
    <x v="6"/>
    <n v="183"/>
    <n v="4"/>
    <s v="Farhad Reza"/>
    <s v="Rangpur Riders"/>
    <s v="field first"/>
    <s v="Riders"/>
    <x v="9"/>
    <s v="SBNCS"/>
    <s v="Mirpur"/>
    <n v="6"/>
    <n v="0"/>
    <s v="6 wickets"/>
    <s v="Wickets"/>
    <n v="6"/>
    <s v="Close Match"/>
    <n v="364"/>
    <s v="170+ Match"/>
    <s v="Sharfuddoula"/>
    <s v="Shozab Raza"/>
  </r>
  <r>
    <s v="2018/19"/>
    <s v="2018"/>
    <x v="8"/>
    <s v="League"/>
    <s v="Jan 21 2019"/>
    <x v="10"/>
    <x v="19"/>
    <n v="9"/>
    <x v="11"/>
    <n v="145"/>
    <n v="7"/>
    <s v="Robbie Frylinck"/>
    <s v="Dhaka Dynamites"/>
    <s v="bat first"/>
    <s v="Vikings"/>
    <x v="13"/>
    <s v="SBNCS"/>
    <s v="Mirpur"/>
    <n v="3"/>
    <n v="0"/>
    <s v="3 wickets"/>
    <s v="Wickets"/>
    <n v="3"/>
    <s v="Close Match"/>
    <n v="284"/>
    <s v="170+ Match"/>
    <s v="Nadir Shah"/>
    <s v="Ranmore Martinesz"/>
  </r>
  <r>
    <s v="2018/19"/>
    <s v="2018"/>
    <x v="9"/>
    <s v="League"/>
    <s v="Jan 21 2019"/>
    <x v="22"/>
    <x v="66"/>
    <n v="3"/>
    <x v="7"/>
    <n v="138"/>
    <n v="10"/>
    <s v="Laurie Evans"/>
    <s v="Comilla Victorians"/>
    <s v="field first"/>
    <s v="Kings"/>
    <x v="11"/>
    <s v="SBNCS"/>
    <s v="Mirpur"/>
    <n v="0"/>
    <n v="38"/>
    <s v="38 runs"/>
    <s v="Runs"/>
    <n v="38"/>
    <s v="Normal"/>
    <n v="314"/>
    <s v="170+ Match"/>
    <s v="Sharfuddoula"/>
    <s v="Shozab Raza"/>
  </r>
  <r>
    <s v="2018/19"/>
    <s v="2018"/>
    <x v="11"/>
    <s v="League"/>
    <s v="Jan 19 2019"/>
    <x v="9"/>
    <x v="112"/>
    <n v="4"/>
    <x v="13"/>
    <n v="188"/>
    <n v="8"/>
    <s v="Mushfiqur Rahim"/>
    <s v="Khulna Titans"/>
    <s v="field first"/>
    <s v="Vikings"/>
    <x v="13"/>
    <s v="SylhetICS"/>
    <s v="Sylhet"/>
    <n v="0"/>
    <n v="26"/>
    <s v="26 runs"/>
    <s v="Runs"/>
    <n v="26"/>
    <s v="Normal"/>
    <n v="402"/>
    <s v="170+ Match"/>
    <s v="Ranmore Martinesz"/>
    <s v="Tanvir Ahmed"/>
  </r>
  <r>
    <s v="2018/19"/>
    <s v="2018"/>
    <x v="12"/>
    <s v="League"/>
    <s v="Jan 19 2019"/>
    <x v="12"/>
    <x v="47"/>
    <n v="4"/>
    <x v="6"/>
    <n v="195"/>
    <n v="6"/>
    <s v="Rilee Rossouw"/>
    <s v="Rangpur Riders"/>
    <s v="field first"/>
    <s v="Riders"/>
    <x v="9"/>
    <s v="SylhetICS"/>
    <s v="Sylhet"/>
    <n v="4"/>
    <n v="0"/>
    <s v="4 wickets"/>
    <s v="Wickets"/>
    <n v="4"/>
    <s v="Close Match"/>
    <n v="389"/>
    <s v="170+ Match"/>
    <s v="Alex Wharf"/>
    <s v="Gazi Sohel"/>
  </r>
  <r>
    <s v="2018/19"/>
    <s v="2018"/>
    <x v="14"/>
    <s v="League"/>
    <s v="Jan 18 2019"/>
    <x v="11"/>
    <x v="62"/>
    <n v="7"/>
    <x v="7"/>
    <n v="186"/>
    <n v="7"/>
    <s v="Tamim Iqbal"/>
    <s v="Comilla Victorians"/>
    <s v="field first"/>
    <s v="Victorians"/>
    <x v="6"/>
    <s v="SylhetICS"/>
    <s v="Sylhet"/>
    <n v="3"/>
    <n v="0"/>
    <s v="3 wickets"/>
    <s v="Wickets"/>
    <n v="3"/>
    <s v="Close Match"/>
    <n v="367"/>
    <s v="170+ Match"/>
    <s v="Alex Wharf"/>
    <s v="Gazi Sohel"/>
  </r>
  <r>
    <s v="2018/19"/>
    <s v="2018"/>
    <x v="16"/>
    <s v="League"/>
    <s v="Jan 18 2019"/>
    <x v="12"/>
    <x v="40"/>
    <n v="8"/>
    <x v="9"/>
    <n v="163"/>
    <n v="4"/>
    <s v="Shakib Al Hasan"/>
    <s v="Sylhet Sixers"/>
    <s v="bat first"/>
    <s v="Dynamites"/>
    <x v="10"/>
    <s v="SylhetICS"/>
    <s v="Sylhet"/>
    <n v="6"/>
    <n v="0"/>
    <s v="6 wickets"/>
    <s v="Wickets"/>
    <n v="6"/>
    <s v="Close Match"/>
    <n v="321"/>
    <s v="170+ Match"/>
    <s v="Masudur Rahman"/>
    <s v="Ranmore Martinesz"/>
  </r>
  <r>
    <s v="2018/19"/>
    <s v="2018"/>
    <x v="18"/>
    <s v="League"/>
    <s v="Jan 16 2019"/>
    <x v="12"/>
    <x v="87"/>
    <n v="5"/>
    <x v="6"/>
    <n v="160"/>
    <n v="6"/>
    <s v="Litton Das"/>
    <s v="Rangpur Riders"/>
    <s v="field first"/>
    <s v="Sixers"/>
    <x v="14"/>
    <s v="SylhetICS"/>
    <s v="Sylhet"/>
    <n v="0"/>
    <n v="27"/>
    <s v="27 runs"/>
    <s v="Runs"/>
    <n v="27"/>
    <s v="Normal"/>
    <n v="347"/>
    <s v="170+ Match"/>
    <s v="Masudur Rahman"/>
    <s v="Ranmore Martinesz"/>
  </r>
  <r>
    <s v="2018/19"/>
    <s v="2018"/>
    <x v="20"/>
    <s v="League"/>
    <s v="Jan 16 2019"/>
    <x v="22"/>
    <x v="68"/>
    <n v="6"/>
    <x v="9"/>
    <n v="116"/>
    <n v="9"/>
    <s v="Arafat Sunny"/>
    <s v="Rajshahi Kings"/>
    <s v="bat first"/>
    <s v="Kings"/>
    <x v="11"/>
    <s v="SylhetICS"/>
    <s v="Sylhet"/>
    <n v="0"/>
    <n v="20"/>
    <s v="20 runs"/>
    <s v="Runs"/>
    <n v="20"/>
    <s v="Normal"/>
    <n v="252"/>
    <s v="170+ Match"/>
    <s v="Alex Wharf"/>
    <s v="Mahfuzur Rahman"/>
  </r>
  <r>
    <s v="2018/19"/>
    <s v="2018"/>
    <x v="22"/>
    <s v="League"/>
    <s v="Jan 15 2019"/>
    <x v="12"/>
    <x v="113"/>
    <n v="10"/>
    <x v="7"/>
    <n v="69"/>
    <n v="2"/>
    <s v="Mahedi Hasan"/>
    <s v="Comilla Victorians"/>
    <s v="field first"/>
    <s v="Victorians"/>
    <x v="6"/>
    <s v="SylhetICS"/>
    <s v="Sylhet"/>
    <n v="8"/>
    <n v="0"/>
    <s v="8 wickets"/>
    <s v="Wickets"/>
    <n v="8"/>
    <s v="Close Match"/>
    <n v="137"/>
    <s v="Below 170"/>
    <s v="Masudur Rahman"/>
    <s v="Ranmore Martinesz"/>
  </r>
  <r>
    <s v="2018/19"/>
    <s v="2018"/>
    <x v="23"/>
    <s v="League"/>
    <s v="Jan 15 2019"/>
    <x v="11"/>
    <x v="13"/>
    <n v="9"/>
    <x v="12"/>
    <n v="103"/>
    <n v="10"/>
    <s v="Taijul Islam"/>
    <s v="Khulna Titans"/>
    <s v="bat first"/>
    <s v="Titans"/>
    <x v="12"/>
    <s v="SylhetICS"/>
    <s v="Sylhet"/>
    <n v="0"/>
    <n v="25"/>
    <s v="25 runs"/>
    <s v="Runs"/>
    <n v="25"/>
    <s v="Normal"/>
    <n v="231"/>
    <s v="170+ Match"/>
    <s v="Alex Wharf"/>
    <s v="Tanvir Ahmed"/>
  </r>
  <r>
    <s v="2018/19"/>
    <s v="2018"/>
    <x v="25"/>
    <s v="League"/>
    <s v="Jan 13 2019"/>
    <x v="8"/>
    <x v="2"/>
    <n v="5"/>
    <x v="11"/>
    <n v="186"/>
    <n v="6"/>
    <s v="Mushfiqur Rahim"/>
    <s v="Chittagong Vikings"/>
    <s v="field first"/>
    <s v="Vikings"/>
    <x v="13"/>
    <s v="SBNCS"/>
    <s v="Mirpur"/>
    <n v="4"/>
    <n v="0"/>
    <s v="4 wickets"/>
    <s v="Wickets"/>
    <n v="4"/>
    <s v="Close Match"/>
    <n v="370"/>
    <s v="170+ Match"/>
    <s v="Alex Wharf"/>
    <s v="Nadir Shah"/>
  </r>
  <r>
    <s v="2018/19"/>
    <s v="2018"/>
    <x v="27"/>
    <s v="League"/>
    <s v="Jan 13 2019"/>
    <x v="22"/>
    <x v="29"/>
    <n v="8"/>
    <x v="6"/>
    <n v="130"/>
    <n v="6"/>
    <s v="Zakir Hasan"/>
    <s v="Rangpur Riders"/>
    <s v="field first"/>
    <s v="Kings"/>
    <x v="11"/>
    <s v="SBNCS"/>
    <s v="Mirpur"/>
    <n v="0"/>
    <n v="5"/>
    <s v="5 runs"/>
    <s v="Runs"/>
    <n v="5"/>
    <s v="Close Match"/>
    <n v="265"/>
    <s v="170+ Match"/>
    <s v="Ranmore Martinesz"/>
    <s v="Sharfuddoula"/>
  </r>
  <r>
    <s v="2018/19"/>
    <s v="2018"/>
    <x v="28"/>
    <s v="League"/>
    <s v="Jan 12 2019"/>
    <x v="10"/>
    <x v="99"/>
    <n v="7"/>
    <x v="14"/>
    <n v="141"/>
    <n v="9"/>
    <s v="Rony Talukdar"/>
    <s v="Dhaka Dynamites"/>
    <s v="bat first"/>
    <s v="Dynamites"/>
    <x v="10"/>
    <s v="SBNCS"/>
    <s v="Mirpur"/>
    <n v="0"/>
    <n v="32"/>
    <s v="32 runs"/>
    <s v="Runs"/>
    <n v="32"/>
    <s v="Normal"/>
    <n v="314"/>
    <s v="170+ Match"/>
    <s v="Alex Wharf"/>
    <s v="Mahfuzur Rahman"/>
  </r>
  <r>
    <s v="2018/19"/>
    <s v="2018"/>
    <x v="30"/>
    <s v="League"/>
    <s v="Jan 12 2019"/>
    <x v="11"/>
    <x v="93"/>
    <n v="6"/>
    <x v="11"/>
    <n v="151"/>
    <n v="8"/>
    <s v="Robbie Frylinck"/>
    <s v="Chittagong Vikings"/>
    <s v="field first"/>
    <s v="Match"/>
    <x v="13"/>
    <s v="SBNCS"/>
    <s v="Mirpur"/>
    <n v="0"/>
    <n v="0"/>
    <s v="won the"/>
    <s v="Wickets"/>
    <n v="0"/>
    <s v="Close Match"/>
    <n v="302"/>
    <s v="170+ Match"/>
    <s v="Morshed Ali Khan"/>
    <s v="Ranmore Martinesz"/>
  </r>
  <r>
    <s v="2018/19"/>
    <s v="2018"/>
    <x v="32"/>
    <s v="League"/>
    <s v="Jan 11 2019"/>
    <x v="22"/>
    <x v="8"/>
    <n v="10"/>
    <x v="7"/>
    <n v="130"/>
    <n v="5"/>
    <s v="Shahid Afridi"/>
    <s v="Comilla Victorians"/>
    <s v="field first"/>
    <s v="Victorians"/>
    <x v="6"/>
    <s v="SBNCS"/>
    <s v="Mirpur"/>
    <n v="5"/>
    <n v="0"/>
    <s v="5 wickets"/>
    <s v="Wickets"/>
    <n v="5"/>
    <s v="Close Match"/>
    <n v="254"/>
    <s v="170+ Match"/>
    <s v="Alex Wharf"/>
    <s v="Morshed Ali Khan"/>
  </r>
  <r>
    <s v="2018/19"/>
    <s v="2018"/>
    <x v="33"/>
    <s v="League"/>
    <s v="Jan 11 2019"/>
    <x v="10"/>
    <x v="63"/>
    <n v="9"/>
    <x v="6"/>
    <n v="181"/>
    <n v="9"/>
    <s v="Al Islam"/>
    <s v="Rangpur Riders"/>
    <s v="field first"/>
    <s v="Dynamites"/>
    <x v="10"/>
    <s v="SBNCS"/>
    <s v="Mirpur"/>
    <n v="0"/>
    <n v="2"/>
    <s v="2 runs"/>
    <s v="Runs"/>
    <n v="2"/>
    <s v="Close Match"/>
    <n v="364"/>
    <s v="170+ Match"/>
    <s v="Masudur Rahman"/>
    <s v="Ranmore Martinesz"/>
  </r>
  <r>
    <s v="2018/19"/>
    <s v="2018"/>
    <x v="34"/>
    <s v="League"/>
    <s v="Jan 9 2019"/>
    <x v="11"/>
    <x v="114"/>
    <n v="9"/>
    <x v="12"/>
    <n v="118"/>
    <n v="3"/>
    <s v="Isuru Udana"/>
    <s v="Khulna Titans"/>
    <s v="bat first"/>
    <s v="Kings"/>
    <x v="11"/>
    <s v="SBNCS"/>
    <s v="Mirpur"/>
    <n v="7"/>
    <n v="0"/>
    <s v="7 wickets"/>
    <s v="Wickets"/>
    <n v="7"/>
    <s v="Close Match"/>
    <n v="235"/>
    <s v="170+ Match"/>
    <s v="Alex Wharf"/>
    <s v="Nadir Shah"/>
  </r>
  <r>
    <s v="2018/19"/>
    <s v="2018"/>
    <x v="35"/>
    <s v="League"/>
    <s v="Jan 9 2019"/>
    <x v="12"/>
    <x v="18"/>
    <n v="5"/>
    <x v="11"/>
    <n v="163"/>
    <n v="7"/>
    <s v="Nicholas Pooran"/>
    <s v="Sylhet Sixers"/>
    <s v="bat first"/>
    <s v="Sixers"/>
    <x v="14"/>
    <s v="SBNCS"/>
    <s v="Mirpur"/>
    <n v="0"/>
    <n v="5"/>
    <s v="5 runs"/>
    <s v="Runs"/>
    <n v="5"/>
    <s v="Close Match"/>
    <n v="331"/>
    <s v="170+ Match"/>
    <s v="Mahfuzur Rahman"/>
    <s v="Ranmore Martinesz"/>
  </r>
  <r>
    <s v="2018/19"/>
    <s v="2018"/>
    <x v="36"/>
    <s v="League"/>
    <s v="Jan 8 2019"/>
    <x v="8"/>
    <x v="115"/>
    <n v="10"/>
    <x v="6"/>
    <n v="67"/>
    <n v="1"/>
    <s v="Mashrafe Mortaza"/>
    <s v="Rangpur Riders"/>
    <s v="field first"/>
    <s v="Riders"/>
    <x v="9"/>
    <s v="SBNCS"/>
    <s v="Mirpur"/>
    <n v="9"/>
    <n v="0"/>
    <s v="9 wickets"/>
    <s v="Wickets"/>
    <n v="9"/>
    <s v="Close Match"/>
    <n v="130"/>
    <s v="Below 170"/>
    <s v="Mahfuzur Rahman"/>
    <s v="Ranmore Martinesz"/>
  </r>
  <r>
    <s v="2018/19"/>
    <s v="2018"/>
    <x v="37"/>
    <s v="League"/>
    <s v="Jan 8 2019"/>
    <x v="10"/>
    <x v="17"/>
    <n v="6"/>
    <x v="13"/>
    <n v="87"/>
    <n v="10"/>
    <s v="Hazratullah Zazai"/>
    <s v="Khulna Titans"/>
    <s v="field first"/>
    <s v="Dynamites"/>
    <x v="10"/>
    <s v="SBNCS"/>
    <s v="Mirpur"/>
    <n v="0"/>
    <n v="105"/>
    <s v="105 runs"/>
    <s v="Runs"/>
    <n v="105"/>
    <s v="Normal"/>
    <n v="279"/>
    <s v="170+ Match"/>
    <s v="Alex Wharf"/>
    <s v="Nadir Shah"/>
  </r>
  <r>
    <s v="2018/19"/>
    <s v="2018"/>
    <x v="38"/>
    <s v="League"/>
    <s v="Jan 6 2019"/>
    <x v="7"/>
    <x v="101"/>
    <n v="3"/>
    <x v="13"/>
    <n v="161"/>
    <n v="5"/>
    <s v="Rilee Rossouw"/>
    <s v="Khulna Titans"/>
    <s v="field first"/>
    <s v="Riders"/>
    <x v="9"/>
    <s v="SBNCS"/>
    <s v="Mirpur"/>
    <n v="0"/>
    <n v="8"/>
    <s v="8 runs"/>
    <s v="Runs"/>
    <n v="8"/>
    <s v="Close Match"/>
    <n v="330"/>
    <s v="170+ Match"/>
    <s v="Alex Wharf"/>
    <s v="Sharfuddoula"/>
  </r>
  <r>
    <s v="2018/19"/>
    <s v="2018"/>
    <x v="39"/>
    <s v="League"/>
    <s v="Jan 6 2019"/>
    <x v="12"/>
    <x v="54"/>
    <n v="8"/>
    <x v="7"/>
    <n v="130"/>
    <n v="6"/>
    <s v="Shahid Afridi"/>
    <s v="Comilla Victorians"/>
    <s v="field first"/>
    <s v="Victorians"/>
    <x v="6"/>
    <s v="SBNCS"/>
    <s v="Mirpur"/>
    <n v="4"/>
    <n v="0"/>
    <s v="4 wickets"/>
    <s v="Wickets"/>
    <n v="4"/>
    <s v="Close Match"/>
    <n v="257"/>
    <s v="170+ Match"/>
    <s v="Masudur Rahman"/>
    <s v="Ranmore Martinesz"/>
  </r>
  <r>
    <s v="2018/19"/>
    <s v="2018"/>
    <x v="1"/>
    <s v="League"/>
    <s v="Jan 5 2019"/>
    <x v="10"/>
    <x v="55"/>
    <n v="5"/>
    <x v="12"/>
    <n v="106"/>
    <n v="10"/>
    <s v="Hazratullah Zazai"/>
    <s v="Rajshahi Kings"/>
    <s v="field first"/>
    <s v="Dynamites"/>
    <x v="10"/>
    <s v="SBNCS"/>
    <s v="Mirpur"/>
    <n v="0"/>
    <n v="83"/>
    <s v="83 runs"/>
    <s v="Runs"/>
    <n v="83"/>
    <s v="Normal"/>
    <n v="295"/>
    <s v="170+ Match"/>
    <s v="Masudur Rahman"/>
    <s v="Ranmore Martinesz"/>
  </r>
  <r>
    <s v="2018/19"/>
    <s v="2018"/>
    <x v="2"/>
    <s v="League"/>
    <s v="Jan 5 2019"/>
    <x v="7"/>
    <x v="116"/>
    <n v="10"/>
    <x v="11"/>
    <n v="101"/>
    <n v="7"/>
    <s v="Robbie Frylinck"/>
    <s v="Chittagong Vikings"/>
    <s v="field first"/>
    <s v="Vikings"/>
    <x v="13"/>
    <s v="SBNCS"/>
    <s v="Mirpur"/>
    <n v="3"/>
    <n v="0"/>
    <s v="3 wickets"/>
    <s v="Wickets"/>
    <n v="3"/>
    <s v="Close Match"/>
    <n v="199"/>
    <s v="170+ Match"/>
    <s v="Alex Wharf"/>
    <s v="Sharfuddoula"/>
  </r>
  <r>
    <s v="2019/20"/>
    <s v="2019"/>
    <x v="42"/>
    <s v="League"/>
    <s v="Jan 7 2020"/>
    <x v="13"/>
    <x v="80"/>
    <n v="8"/>
    <x v="17"/>
    <n v="170"/>
    <n v="3"/>
    <s v="Imrul Kayes"/>
    <s v="Chattogram Challengers"/>
    <s v="field first"/>
    <s v="Challengers"/>
    <x v="17"/>
    <s v="SBNCS"/>
    <s v="Mirpur"/>
    <n v="7"/>
    <n v="0"/>
    <s v="7 wickets"/>
    <s v="Wickets"/>
    <n v="7"/>
    <s v="Close Match"/>
    <n v="336"/>
    <s v="170+ Match"/>
    <s v="David Millns"/>
    <s v="Morshed Ali Khan"/>
  </r>
  <r>
    <s v="2019/20"/>
    <s v="2019"/>
    <x v="43"/>
    <s v="League"/>
    <s v="Jan 7 2020"/>
    <x v="23"/>
    <x v="45"/>
    <n v="5"/>
    <x v="18"/>
    <n v="142"/>
    <n v="5"/>
    <s v="Dawid Malan"/>
    <s v="Cumilla Warriors"/>
    <s v="field first"/>
    <s v="Warriors"/>
    <x v="22"/>
    <s v="SBNCS"/>
    <s v="Mirpur"/>
    <n v="5"/>
    <n v="0"/>
    <s v="5 wickets"/>
    <s v="Wickets"/>
    <n v="5"/>
    <s v="Close Match"/>
    <n v="283"/>
    <s v="170+ Match"/>
    <s v="Gazi Sohel"/>
    <s v="Prageeth Rambukwella"/>
  </r>
  <r>
    <s v="2019/20"/>
    <s v="2019"/>
    <x v="44"/>
    <s v="League"/>
    <s v="Jan 4 2020"/>
    <x v="23"/>
    <x v="106"/>
    <n v="6"/>
    <x v="16"/>
    <n v="145"/>
    <n v="4"/>
    <s v="Afif Hossain"/>
    <s v="Sylhet Thunder"/>
    <s v="bat first"/>
    <s v="Royals"/>
    <x v="15"/>
    <s v="SylhetICS"/>
    <s v="Sylhet"/>
    <n v="6"/>
    <n v="0"/>
    <s v="6 wickets"/>
    <s v="Wickets"/>
    <n v="6"/>
    <s v="Close Match"/>
    <n v="288"/>
    <s v="170+ Match"/>
    <s v="Prageeth Rambukwella"/>
    <s v="Tanvir Ahmed"/>
  </r>
  <r>
    <s v="2019/20"/>
    <s v="2019"/>
    <x v="45"/>
    <s v="League"/>
    <s v="Jan 4 2020"/>
    <x v="15"/>
    <x v="35"/>
    <n v="10"/>
    <x v="17"/>
    <n v="124"/>
    <n v="4"/>
    <s v="Mehedi Hasan Rana"/>
    <s v="Chattogram Challengers"/>
    <s v="field first"/>
    <s v="Challengers"/>
    <x v="17"/>
    <s v="SylhetICS"/>
    <s v="Sylhet"/>
    <n v="6"/>
    <n v="0"/>
    <s v="6 wickets"/>
    <s v="Wickets"/>
    <n v="6"/>
    <s v="Close Match"/>
    <n v="245"/>
    <s v="170+ Match"/>
    <s v="David Millns"/>
    <s v="Mahfuzur Rahman"/>
  </r>
  <r>
    <s v="2019/20"/>
    <s v="2019"/>
    <x v="46"/>
    <s v="League"/>
    <s v="Jan 3 2020"/>
    <x v="17"/>
    <x v="51"/>
    <n v="5"/>
    <x v="22"/>
    <n v="161"/>
    <n v="10"/>
    <s v="Shane Watson"/>
    <s v="Sylhet Thunder"/>
    <s v="field first"/>
    <s v="Rangers"/>
    <x v="18"/>
    <s v="SylhetICS"/>
    <s v="Sylhet"/>
    <n v="0"/>
    <n v="38"/>
    <s v="38 runs"/>
    <s v="Runs"/>
    <n v="38"/>
    <s v="Normal"/>
    <n v="360"/>
    <s v="170+ Match"/>
    <s v="David Millns"/>
    <s v="Gazi Sohel"/>
  </r>
  <r>
    <s v="2019/20"/>
    <s v="2019"/>
    <x v="47"/>
    <s v="League"/>
    <s v="Jan 3 2020"/>
    <x v="16"/>
    <x v="9"/>
    <n v="4"/>
    <x v="15"/>
    <n v="160"/>
    <n v="8"/>
    <s v="Hasan Mahmud"/>
    <s v="Khulna Tigers"/>
    <s v="field first"/>
    <s v="Platoon"/>
    <x v="19"/>
    <s v="SylhetICS"/>
    <s v="Sylhet"/>
    <n v="0"/>
    <n v="12"/>
    <s v="12 runs"/>
    <s v="Runs"/>
    <n v="12"/>
    <s v="Normal"/>
    <n v="332"/>
    <s v="170+ Match"/>
    <s v="Prageeth Rambukwella"/>
    <s v="Tanvir Ahmed"/>
  </r>
  <r>
    <s v="2019/20"/>
    <s v="2019"/>
    <x v="48"/>
    <s v="League"/>
    <s v="Jan 2 2020"/>
    <x v="24"/>
    <x v="0"/>
    <n v="9"/>
    <x v="22"/>
    <n v="140"/>
    <n v="10"/>
    <s v="Mujeeb Ur Rahman"/>
    <s v="Sylhet Thunder"/>
    <s v="field first"/>
    <s v="Match"/>
    <x v="23"/>
    <s v="SylhetICS"/>
    <s v="Sylhet"/>
    <n v="0"/>
    <n v="0"/>
    <s v="won the"/>
    <s v="Wickets"/>
    <n v="0"/>
    <s v="Close Match"/>
    <n v="280"/>
    <s v="170+ Match"/>
    <s v="Masudur Rahman"/>
    <s v="Prageeth Rambukwella"/>
  </r>
  <r>
    <s v="2019/20"/>
    <s v="2019"/>
    <x v="3"/>
    <s v="League"/>
    <s v="Jan 2 2020"/>
    <x v="13"/>
    <x v="60"/>
    <n v="4"/>
    <x v="20"/>
    <n v="149"/>
    <n v="7"/>
    <s v="Ravi Bopara"/>
    <s v="Rangpur Rangers"/>
    <s v="field first"/>
    <s v="Royals"/>
    <x v="15"/>
    <s v="SylhetICS"/>
    <s v="Sylhet"/>
    <n v="0"/>
    <n v="30"/>
    <s v="30 runs"/>
    <s v="Runs"/>
    <n v="30"/>
    <s v="Normal"/>
    <n v="328"/>
    <s v="170+ Match"/>
    <s v="David Millns"/>
    <s v="Mahfuzur Rahman"/>
  </r>
  <r>
    <s v="2019/20"/>
    <s v="2019"/>
    <x v="4"/>
    <s v="League"/>
    <s v="Dec 31 2019"/>
    <x v="17"/>
    <x v="69"/>
    <n v="6"/>
    <x v="16"/>
    <n v="135"/>
    <n v="8"/>
    <s v="Lewis Gregory"/>
    <s v="Rajshahi Royals"/>
    <s v="field first"/>
    <s v="Rangers"/>
    <x v="18"/>
    <s v="SBNCS"/>
    <s v="Mirpur"/>
    <n v="0"/>
    <n v="47"/>
    <s v="47 runs"/>
    <s v="Runs"/>
    <n v="47"/>
    <s v="Normal"/>
    <n v="317"/>
    <s v="170+ Match"/>
    <s v="David Millns"/>
    <s v="Tanvir Ahmed"/>
  </r>
  <r>
    <s v="2019/20"/>
    <s v="2019"/>
    <x v="5"/>
    <s v="League"/>
    <s v="Dec 31 2019"/>
    <x v="14"/>
    <x v="37"/>
    <n v="6"/>
    <x v="18"/>
    <n v="161"/>
    <n v="8"/>
    <s v="Dawid Malan"/>
    <s v="Cumilla Warriors"/>
    <s v="field first"/>
    <s v="Warriors"/>
    <x v="22"/>
    <s v="SBNCS"/>
    <s v="Mirpur"/>
    <n v="2"/>
    <n v="0"/>
    <s v="2 wickets"/>
    <s v="Wickets"/>
    <n v="2"/>
    <s v="Close Match"/>
    <n v="320"/>
    <s v="170+ Match"/>
    <s v="Masudur Rahman"/>
    <s v="Prageeth Rambukwella"/>
  </r>
  <r>
    <s v="2019/20"/>
    <s v="2019"/>
    <x v="6"/>
    <s v="League"/>
    <s v="Dec 30 2019"/>
    <x v="16"/>
    <x v="48"/>
    <n v="5"/>
    <x v="16"/>
    <n v="100"/>
    <n v="10"/>
    <s v="Wahab Riaz"/>
    <s v="Rajshahi Royals"/>
    <s v="field first"/>
    <s v="Platoon"/>
    <x v="19"/>
    <s v="SBNCS"/>
    <s v="Mirpur"/>
    <n v="0"/>
    <n v="74"/>
    <s v="74 runs"/>
    <s v="Runs"/>
    <n v="74"/>
    <s v="Normal"/>
    <n v="274"/>
    <s v="170+ Match"/>
    <s v="D Milns"/>
    <s v="Tanvir Ahmed"/>
  </r>
  <r>
    <s v="2019/20"/>
    <s v="2019"/>
    <x v="7"/>
    <s v="League"/>
    <s v="Dec 30 2019"/>
    <x v="23"/>
    <x v="97"/>
    <n v="9"/>
    <x v="20"/>
    <n v="134"/>
    <n v="3"/>
    <s v="Mustafizur Rahman"/>
    <s v="Rangpur Rangers"/>
    <s v="field first"/>
    <s v="Rangers"/>
    <x v="18"/>
    <s v="SBNCS"/>
    <s v="Mirpur"/>
    <n v="7"/>
    <n v="0"/>
    <s v="7 wickets"/>
    <s v="Wickets"/>
    <n v="7"/>
    <s v="Close Match"/>
    <n v="267"/>
    <s v="170+ Match"/>
    <s v="Moniruzzaman"/>
    <s v="Prageeth Rambukwella"/>
  </r>
  <r>
    <s v="2019/20"/>
    <s v="2019"/>
    <x v="8"/>
    <s v="League"/>
    <s v="Dec 28 2019"/>
    <x v="23"/>
    <x v="33"/>
    <n v="4"/>
    <x v="15"/>
    <n v="158"/>
    <n v="2"/>
    <s v="Mehidy Hasan Miraz"/>
    <s v="Khulna Tigers"/>
    <s v="field first"/>
    <s v="Tigers"/>
    <x v="16"/>
    <s v="SBNCS"/>
    <s v="Mirpur"/>
    <n v="8"/>
    <n v="0"/>
    <s v="8 wickets"/>
    <s v="Wickets"/>
    <n v="8"/>
    <s v="Close Match"/>
    <n v="315"/>
    <s v="170+ Match"/>
    <s v="Mahfuzur Rahman"/>
    <s v="Prageeth Rambukwella"/>
  </r>
  <r>
    <s v="2019/20"/>
    <s v="2019"/>
    <x v="9"/>
    <s v="League"/>
    <s v="Dec 28 2019"/>
    <x v="13"/>
    <x v="94"/>
    <n v="4"/>
    <x v="18"/>
    <n v="175"/>
    <n v="4"/>
    <s v="Shoaib Malik"/>
    <s v="Cumilla Warriors"/>
    <s v="field first"/>
    <s v="Royals"/>
    <x v="15"/>
    <s v="SBNCS"/>
    <s v="Mirpur"/>
    <n v="0"/>
    <n v="15"/>
    <s v="15 runs"/>
    <s v="Runs"/>
    <n v="15"/>
    <s v="Normal"/>
    <n v="365"/>
    <s v="170+ Match"/>
    <s v="David Millns"/>
    <s v="Morshed Ali Khan"/>
  </r>
  <r>
    <s v="2019/20"/>
    <s v="2019"/>
    <x v="11"/>
    <s v="League"/>
    <s v="Dec 27 2019"/>
    <x v="15"/>
    <x v="69"/>
    <n v="7"/>
    <x v="20"/>
    <n v="130"/>
    <n v="9"/>
    <s v="Shohidul Islam"/>
    <s v="Rangpur Rangers"/>
    <s v="field first"/>
    <s v="Tigers"/>
    <x v="16"/>
    <s v="SBNCS"/>
    <s v="Mirpur"/>
    <n v="0"/>
    <n v="52"/>
    <s v="52 runs"/>
    <s v="Runs"/>
    <n v="52"/>
    <s v="Normal"/>
    <n v="312"/>
    <s v="170+ Match"/>
    <s v="Mahfuzur Rahman"/>
    <s v="Prageeth Rambukwella"/>
  </r>
  <r>
    <s v="2019/20"/>
    <s v="2019"/>
    <x v="12"/>
    <s v="League"/>
    <s v="Dec 27 2019"/>
    <x v="16"/>
    <x v="8"/>
    <n v="9"/>
    <x v="17"/>
    <n v="125"/>
    <n v="4"/>
    <s v="Imrul Kayes"/>
    <s v="Chattogram Challengers"/>
    <s v="field first"/>
    <s v="Challengers"/>
    <x v="17"/>
    <s v="SBNCS"/>
    <s v="Mirpur"/>
    <n v="6"/>
    <n v="0"/>
    <s v="6 wickets"/>
    <s v="Wickets"/>
    <n v="6"/>
    <s v="Close Match"/>
    <n v="249"/>
    <s v="170+ Match"/>
    <s v="David Millns"/>
    <s v="Sharfuddoula"/>
  </r>
  <r>
    <s v="2019/20"/>
    <s v="2019"/>
    <x v="14"/>
    <s v="League"/>
    <s v="Dec 24 2019"/>
    <x v="24"/>
    <x v="41"/>
    <n v="8"/>
    <x v="16"/>
    <n v="171"/>
    <n v="3"/>
    <s v="Dawid Malan"/>
    <s v="Rajshahi Royals"/>
    <s v="field first"/>
    <s v="Royals"/>
    <x v="15"/>
    <s v="ZACS"/>
    <s v="Chattogram"/>
    <n v="7"/>
    <n v="0"/>
    <s v="7 wickets"/>
    <s v="Wickets"/>
    <n v="7"/>
    <s v="Close Match"/>
    <n v="341"/>
    <s v="170+ Match"/>
    <s v="Dawid Malan"/>
    <s v="Afif Hossain"/>
  </r>
  <r>
    <s v="2019/20"/>
    <s v="2019"/>
    <x v="16"/>
    <s v="League"/>
    <s v="Dec 24 2019"/>
    <x v="23"/>
    <x v="48"/>
    <n v="4"/>
    <x v="19"/>
    <n v="175"/>
    <n v="2"/>
    <s v="Mahedi Hasan"/>
    <s v="Sylhet Thunder"/>
    <s v="bat first"/>
    <s v="Platoon"/>
    <x v="19"/>
    <s v="ZACS"/>
    <s v="Chattogram"/>
    <n v="8"/>
    <n v="0"/>
    <s v="8 wickets"/>
    <s v="Wickets"/>
    <n v="8"/>
    <s v="Close Match"/>
    <n v="349"/>
    <s v="170+ Match"/>
    <s v="David Millns"/>
    <s v="Gazi Sohel"/>
  </r>
  <r>
    <s v="2019/20"/>
    <s v="2019"/>
    <x v="18"/>
    <s v="League"/>
    <s v="Dec 23 2019"/>
    <x v="15"/>
    <x v="26"/>
    <n v="9"/>
    <x v="16"/>
    <n v="149"/>
    <n v="3"/>
    <s v="Andre Russell"/>
    <s v="Rajshahi Royals"/>
    <s v="field first"/>
    <s v="Royals"/>
    <x v="15"/>
    <s v="ZACS"/>
    <s v="Chattogram"/>
    <n v="7"/>
    <n v="0"/>
    <s v="7 wickets"/>
    <s v="Wickets"/>
    <n v="7"/>
    <s v="Close Match"/>
    <n v="294"/>
    <s v="170+ Match"/>
    <s v="David Millns"/>
    <s v="Morshed Ali Khan"/>
  </r>
  <r>
    <s v="2019/20"/>
    <s v="2019"/>
    <x v="20"/>
    <s v="League"/>
    <s v="Dec 23 2019"/>
    <x v="24"/>
    <x v="27"/>
    <n v="3"/>
    <x v="19"/>
    <n v="161"/>
    <n v="5"/>
    <s v="Mahedi Hasan"/>
    <s v="Dhaka Platoon"/>
    <s v="field first"/>
    <s v="Platoon"/>
    <x v="19"/>
    <s v="ZACS"/>
    <s v="Chattogram"/>
    <n v="5"/>
    <n v="0"/>
    <s v="5 wickets"/>
    <s v="Wickets"/>
    <n v="5"/>
    <s v="Close Match"/>
    <n v="321"/>
    <s v="170+ Match"/>
    <s v="Gazi Sohel"/>
    <s v="Prageeth Rambukwella"/>
  </r>
  <r>
    <s v="2019/20"/>
    <s v="2019"/>
    <x v="22"/>
    <s v="League"/>
    <s v="Dec 21 2019"/>
    <x v="14"/>
    <x v="31"/>
    <n v="7"/>
    <x v="20"/>
    <n v="167"/>
    <n v="4"/>
    <s v="Lewis Gregory"/>
    <s v="Rangpur Rangers"/>
    <s v="field first"/>
    <s v="Rangers"/>
    <x v="18"/>
    <s v="ZACS"/>
    <s v="Chattogram"/>
    <n v="6"/>
    <n v="0"/>
    <s v="6 wickets"/>
    <s v="Wickets"/>
    <n v="6"/>
    <s v="Close Match"/>
    <n v="330"/>
    <s v="170+ Match"/>
    <s v="David Millns"/>
    <s v="Masudur Rahman"/>
  </r>
  <r>
    <s v="2019/20"/>
    <s v="2019"/>
    <x v="23"/>
    <s v="League"/>
    <s v="Dec 21 2019"/>
    <x v="23"/>
    <x v="117"/>
    <n v="5"/>
    <x v="15"/>
    <n v="152"/>
    <n v="10"/>
    <s v="Andre Fletcher"/>
    <s v="Khulna Tigers"/>
    <s v="field first"/>
    <s v="Thunder"/>
    <x v="23"/>
    <s v="ZACS"/>
    <s v="Chattogram"/>
    <n v="0"/>
    <n v="80"/>
    <s v="80 runs"/>
    <s v="Runs"/>
    <n v="80"/>
    <s v="Normal"/>
    <n v="384"/>
    <s v="170+ Match"/>
    <s v="Mahfuzur Rahman"/>
    <s v="Prageeth Rambukwella"/>
  </r>
  <r>
    <s v="2019/20"/>
    <s v="2019"/>
    <x v="25"/>
    <s v="League"/>
    <s v="Dec 20 2019"/>
    <x v="14"/>
    <x v="118"/>
    <n v="4"/>
    <x v="18"/>
    <n v="222"/>
    <n v="7"/>
    <s v="Chadwick Walton"/>
    <s v="Cumilla Warriors"/>
    <s v="field first"/>
    <s v="Challengers"/>
    <x v="17"/>
    <s v="ZACS"/>
    <s v="Chattogram"/>
    <n v="0"/>
    <n v="16"/>
    <s v="16 runs"/>
    <s v="Runs"/>
    <n v="16"/>
    <s v="Normal"/>
    <n v="460"/>
    <s v="170+ Match"/>
    <s v="D Milns"/>
    <s v="Masudur Rahman"/>
  </r>
  <r>
    <s v="2019/20"/>
    <s v="2019"/>
    <x v="27"/>
    <s v="League"/>
    <s v="Dec 20 2019"/>
    <x v="17"/>
    <x v="15"/>
    <n v="9"/>
    <x v="15"/>
    <n v="138"/>
    <n v="2"/>
    <s v="Shafiul Islam"/>
    <s v="Khulna Tigers"/>
    <s v="field first"/>
    <s v="Tigers"/>
    <x v="16"/>
    <s v="ZACS"/>
    <s v="Chattogram"/>
    <n v="8"/>
    <n v="0"/>
    <s v="8 wickets"/>
    <s v="Wickets"/>
    <n v="8"/>
    <s v="Close Match"/>
    <n v="275"/>
    <s v="170+ Match"/>
    <s v="Prageeth Rambukwella"/>
    <s v="Tanvir Ahmed"/>
  </r>
  <r>
    <s v="2019/20"/>
    <s v="2019"/>
    <x v="28"/>
    <s v="League"/>
    <s v="Dec 18 2019"/>
    <x v="14"/>
    <x v="119"/>
    <n v="4"/>
    <x v="19"/>
    <n v="205"/>
    <n v="10"/>
    <s v="Mehedi Hasan Rana"/>
    <s v="Dhaka Platoon"/>
    <s v="field first"/>
    <s v="Challengers"/>
    <x v="17"/>
    <s v="ZACS"/>
    <s v="Chattogram"/>
    <n v="0"/>
    <n v="16"/>
    <s v="16 runs"/>
    <s v="Runs"/>
    <n v="16"/>
    <s v="Normal"/>
    <n v="426"/>
    <s v="170+ Match"/>
    <s v="Prageeth Rambukwella"/>
    <s v="Sharfuddoula"/>
  </r>
  <r>
    <s v="2019/20"/>
    <s v="2019"/>
    <x v="30"/>
    <s v="League"/>
    <s v="Dec 18 2019"/>
    <x v="17"/>
    <x v="62"/>
    <n v="8"/>
    <x v="18"/>
    <n v="182"/>
    <n v="4"/>
    <s v="Dawid Malan"/>
    <s v="Rangpur Rangers"/>
    <s v="bat first"/>
    <s v="Warriors"/>
    <x v="22"/>
    <s v="ZACS"/>
    <s v="Chattogram"/>
    <n v="6"/>
    <n v="0"/>
    <s v="6 wickets"/>
    <s v="Wickets"/>
    <n v="6"/>
    <s v="Close Match"/>
    <n v="363"/>
    <s v="170+ Match"/>
    <s v="David Millns"/>
    <s v="Mahfuzur Rahman"/>
  </r>
  <r>
    <s v="2019/20"/>
    <s v="2019"/>
    <x v="32"/>
    <s v="League"/>
    <s v="Dec 17 2019"/>
    <x v="23"/>
    <x v="72"/>
    <n v="8"/>
    <x v="17"/>
    <n v="130"/>
    <n v="6"/>
    <s v="Mehedi Hasan Rana"/>
    <s v="Chattogram Challengers"/>
    <s v="field first"/>
    <s v="Challengers"/>
    <x v="17"/>
    <s v="ZACS"/>
    <s v="Chattogram"/>
    <n v="4"/>
    <n v="0"/>
    <s v="4 wickets"/>
    <s v="Wickets"/>
    <n v="4"/>
    <s v="Close Match"/>
    <n v="259"/>
    <s v="170+ Match"/>
    <s v="David Millns"/>
    <s v="Masudur Rahman"/>
  </r>
  <r>
    <s v="2019/20"/>
    <s v="2019"/>
    <x v="33"/>
    <s v="League"/>
    <s v="Dec 17 2019"/>
    <x v="13"/>
    <x v="55"/>
    <n v="4"/>
    <x v="15"/>
    <n v="192"/>
    <n v="5"/>
    <s v="Mushfiqur Rahim"/>
    <s v="Khulna Tigers"/>
    <s v="field first"/>
    <s v="Tigers"/>
    <x v="16"/>
    <s v="ZACS"/>
    <s v="Chattogram"/>
    <n v="5"/>
    <n v="0"/>
    <s v="5 wickets"/>
    <s v="Wickets"/>
    <n v="5"/>
    <s v="Close Match"/>
    <n v="381"/>
    <s v="170+ Match"/>
    <s v="Prageeth Rambukwella"/>
    <s v="Sharfuddoula"/>
  </r>
  <r>
    <s v="2019/20"/>
    <s v="2019"/>
    <x v="34"/>
    <s v="League"/>
    <s v="Dec 14 2019"/>
    <x v="16"/>
    <x v="69"/>
    <n v="4"/>
    <x v="22"/>
    <n v="158"/>
    <n v="7"/>
    <s v="Anamul Haque"/>
    <s v="Sylhet Thunder"/>
    <s v="field first"/>
    <s v="Platoon"/>
    <x v="19"/>
    <s v="SBNCS"/>
    <s v="Mirpur"/>
    <n v="0"/>
    <n v="24"/>
    <s v="24 runs"/>
    <s v="Runs"/>
    <n v="24"/>
    <s v="Normal"/>
    <n v="340"/>
    <s v="170+ Match"/>
    <s v="Masudur Rahman"/>
    <s v="Prageeth Rambukwella"/>
  </r>
  <r>
    <s v="2019/20"/>
    <s v="2019"/>
    <x v="35"/>
    <s v="League"/>
    <s v="Dec 14 2019"/>
    <x v="17"/>
    <x v="33"/>
    <n v="8"/>
    <x v="17"/>
    <n v="158"/>
    <n v="4"/>
    <s v="Mohammad Naim"/>
    <s v="Chattogram Challengers"/>
    <s v="field first"/>
    <s v="Challengers"/>
    <x v="17"/>
    <s v="SBNCS"/>
    <s v="Mirpur"/>
    <n v="6"/>
    <n v="0"/>
    <s v="6 wickets"/>
    <s v="Wickets"/>
    <n v="6"/>
    <s v="Close Match"/>
    <n v="315"/>
    <s v="170+ Match"/>
    <s v="Morshed Ali Khan"/>
    <s v="Sharfuddoula"/>
  </r>
  <r>
    <s v="2019/20"/>
    <s v="2019"/>
    <x v="36"/>
    <s v="League"/>
    <s v="Dec 13 2019"/>
    <x v="16"/>
    <x v="34"/>
    <n v="7"/>
    <x v="18"/>
    <n v="160"/>
    <n v="9"/>
    <s v="Thisara Perera"/>
    <s v="Cumilla Warriors"/>
    <s v="field first"/>
    <s v="Platoon"/>
    <x v="19"/>
    <s v="SBNCS"/>
    <s v="Mirpur"/>
    <n v="0"/>
    <n v="20"/>
    <s v="20 runs"/>
    <s v="Runs"/>
    <n v="20"/>
    <s v="Normal"/>
    <n v="340"/>
    <s v="170+ Match"/>
    <s v="Masudur Rahman"/>
    <s v="Prageeth Rambukwella"/>
  </r>
  <r>
    <s v="2019/20"/>
    <s v="2019"/>
    <x v="37"/>
    <s v="League"/>
    <s v="Dec 13 2019"/>
    <x v="23"/>
    <x v="120"/>
    <n v="10"/>
    <x v="16"/>
    <n v="95"/>
    <n v="2"/>
    <s v="Alok Kapali"/>
    <s v="Rajshahi Royals"/>
    <s v="field first"/>
    <s v="Royals"/>
    <x v="15"/>
    <s v="SBNCS"/>
    <s v="Mirpur"/>
    <n v="8"/>
    <n v="0"/>
    <s v="8 wickets"/>
    <s v="Wickets"/>
    <n v="8"/>
    <s v="Close Match"/>
    <n v="186"/>
    <s v="170+ Match"/>
    <s v="Mahfuzur Rahman"/>
    <s v="Sharfuddoula"/>
  </r>
  <r>
    <s v="2019/20"/>
    <s v="2019"/>
    <x v="38"/>
    <s v="League"/>
    <s v="Dec 12 2019"/>
    <x v="14"/>
    <x v="20"/>
    <n v="6"/>
    <x v="15"/>
    <n v="146"/>
    <n v="2"/>
    <s v="Rilee Rossouw"/>
    <s v="Khulna Tigers"/>
    <s v="field first"/>
    <s v="Tigers"/>
    <x v="16"/>
    <s v="SBNCS"/>
    <s v="Mirpur"/>
    <n v="8"/>
    <n v="0"/>
    <s v="8 wickets"/>
    <s v="Wickets"/>
    <n v="8"/>
    <s v="Close Match"/>
    <n v="290"/>
    <s v="170+ Match"/>
    <s v="Masudur Rahman"/>
    <s v="Prageeth Rambukwella"/>
  </r>
  <r>
    <s v="2019/20"/>
    <s v="2019"/>
    <x v="39"/>
    <s v="League"/>
    <s v="Dec 12 2019"/>
    <x v="16"/>
    <x v="44"/>
    <n v="9"/>
    <x v="16"/>
    <n v="136"/>
    <n v="1"/>
    <s v="Ravi Bopara"/>
    <s v="Rajshahi Royals"/>
    <s v="field first"/>
    <s v="Royals"/>
    <x v="15"/>
    <s v="SBNCS"/>
    <s v="Mirpur"/>
    <n v="9"/>
    <n v="0"/>
    <s v="9 wickets"/>
    <s v="Wickets"/>
    <n v="9"/>
    <s v="Close Match"/>
    <n v="270"/>
    <s v="170+ Match"/>
    <s v="Gazi Sohel"/>
    <s v="Sharfuddoula"/>
  </r>
  <r>
    <s v="2019/20"/>
    <s v="2019"/>
    <x v="1"/>
    <s v="League"/>
    <s v="Dec 11 2019"/>
    <x v="24"/>
    <x v="99"/>
    <n v="7"/>
    <x v="20"/>
    <n v="68"/>
    <n v="10"/>
    <s v="Dasun Shanaka"/>
    <s v="Cumilla Warriors"/>
    <s v="bat first"/>
    <s v="Warriors"/>
    <x v="22"/>
    <s v="SBNCS"/>
    <s v="Mirpur"/>
    <n v="0"/>
    <n v="105"/>
    <s v="105 runs"/>
    <s v="Runs"/>
    <n v="105"/>
    <s v="Normal"/>
    <n v="241"/>
    <s v="170+ Match"/>
    <s v="Masudur Rahman"/>
    <s v="Tanvir Ahmed"/>
  </r>
  <r>
    <s v="2019/20"/>
    <s v="2019"/>
    <x v="2"/>
    <s v="League"/>
    <s v="Dec 11 2019"/>
    <x v="23"/>
    <x v="91"/>
    <n v="4"/>
    <x v="17"/>
    <n v="163"/>
    <n v="5"/>
    <s v="Imrul Kayes"/>
    <s v="Chattogram Challengers"/>
    <s v="field first"/>
    <s v="Challengers"/>
    <x v="17"/>
    <s v="SBNCS"/>
    <s v="Mirpur"/>
    <n v="5"/>
    <n v="0"/>
    <s v="5 wickets"/>
    <s v="Wickets"/>
    <n v="5"/>
    <s v="Close Match"/>
    <n v="325"/>
    <s v="170+ Match"/>
    <s v="Prageeth Rambukwella"/>
    <s v="Sharfuddoula"/>
  </r>
  <r>
    <s v="2021/22"/>
    <s v="2021"/>
    <x v="32"/>
    <s v="League"/>
    <s v="Jan 28 2022"/>
    <x v="18"/>
    <x v="36"/>
    <n v="5"/>
    <x v="23"/>
    <n v="177"/>
    <n v="1"/>
    <s v="Tamim Iqbal"/>
    <s v="Minister Group Dhaka"/>
    <s v="field first"/>
    <s v="Dhaka"/>
    <x v="21"/>
    <s v="ZACS"/>
    <s v="Chattogram"/>
    <n v="9"/>
    <n v="0"/>
    <s v="9 wickets"/>
    <s v="Wickets"/>
    <n v="9"/>
    <s v="Close Match"/>
    <n v="352"/>
    <s v="170+ Match"/>
    <s v="Mahfuzur Rahman"/>
    <s v="Prageeth Rambukwella"/>
  </r>
  <r>
    <s v="2021/22"/>
    <s v="2021"/>
    <x v="33"/>
    <s v="League"/>
    <s v="Jan 28 2022"/>
    <x v="14"/>
    <x v="106"/>
    <n v="8"/>
    <x v="15"/>
    <n v="144"/>
    <n v="4"/>
    <s v="Andre Fletcher"/>
    <s v="Khulna Tigers"/>
    <s v="field first"/>
    <s v="Tigers"/>
    <x v="16"/>
    <s v="ZACS"/>
    <s v="Chattogram"/>
    <n v="6"/>
    <n v="0"/>
    <s v="6 wickets"/>
    <s v="Wickets"/>
    <n v="6"/>
    <s v="Close Match"/>
    <n v="287"/>
    <s v="170+ Match"/>
    <s v="Masudur Rahman"/>
    <s v="Tanvir Ahmed"/>
  </r>
  <r>
    <s v="2021/22"/>
    <s v="2021"/>
    <x v="34"/>
    <s v="League"/>
    <s v="Jan 25 2022"/>
    <x v="8"/>
    <x v="40"/>
    <n v="7"/>
    <x v="24"/>
    <n v="95"/>
    <n v="10"/>
    <s v="Nahidul Islam"/>
    <s v="Fortune Barishal"/>
    <s v="field first"/>
    <s v="Victorians"/>
    <x v="6"/>
    <s v="SBNCS"/>
    <s v="Mirpur"/>
    <n v="0"/>
    <n v="63"/>
    <s v="63 runs"/>
    <s v="Runs"/>
    <n v="63"/>
    <s v="Normal"/>
    <n v="253"/>
    <s v="170+ Match"/>
    <s v="Morshed Ali Khan"/>
    <s v="Tanvir Ahmed"/>
  </r>
  <r>
    <s v="2021/22"/>
    <s v="2021"/>
    <x v="35"/>
    <s v="League"/>
    <s v="Jan 25 2022"/>
    <x v="20"/>
    <x v="121"/>
    <n v="10"/>
    <x v="21"/>
    <n v="101"/>
    <n v="3"/>
    <s v="Nazmul Islam"/>
    <s v="Sylhet Sunrisers"/>
    <s v="field first"/>
    <s v="Sunrisers"/>
    <x v="24"/>
    <s v="SBNCS"/>
    <s v="Mirpur"/>
    <n v="7"/>
    <n v="0"/>
    <s v="7 wickets"/>
    <s v="Wickets"/>
    <n v="7"/>
    <s v="Close Match"/>
    <n v="201"/>
    <s v="170+ Match"/>
    <s v="Masudur Rahman"/>
    <s v="Sharfuddoula"/>
  </r>
  <r>
    <s v="2021/22"/>
    <s v="2021"/>
    <x v="36"/>
    <s v="League"/>
    <s v="Jan 24 2022"/>
    <x v="14"/>
    <x v="94"/>
    <n v="7"/>
    <x v="15"/>
    <n v="165"/>
    <n v="9"/>
    <s v="Benny Howell"/>
    <s v="Khulna Tigers"/>
    <s v="field first"/>
    <s v="Challengers"/>
    <x v="17"/>
    <s v="SBNCS"/>
    <s v="Mirpur"/>
    <n v="0"/>
    <n v="25"/>
    <s v="25 runs"/>
    <s v="Runs"/>
    <n v="25"/>
    <s v="Normal"/>
    <n v="355"/>
    <s v="170+ Match"/>
    <s v="Morshed Ali Khan"/>
    <s v="Sharfuddoula"/>
  </r>
  <r>
    <s v="2021/22"/>
    <s v="2021"/>
    <x v="37"/>
    <s v="League"/>
    <s v="Jan 24 2022"/>
    <x v="19"/>
    <x v="72"/>
    <n v="8"/>
    <x v="23"/>
    <n v="130"/>
    <n v="6"/>
    <s v="Mahmudullah"/>
    <s v="Minister Group Dhaka"/>
    <s v="field first"/>
    <s v="Dhaka"/>
    <x v="21"/>
    <s v="SBNCS"/>
    <s v="Mirpur"/>
    <n v="4"/>
    <n v="0"/>
    <s v="4 wickets"/>
    <s v="Wickets"/>
    <n v="4"/>
    <s v="Close Match"/>
    <n v="259"/>
    <s v="170+ Match"/>
    <s v="Masudur Rahman"/>
    <s v="Tanvir Ahmed"/>
  </r>
  <r>
    <s v="2021/22"/>
    <s v="2021"/>
    <x v="38"/>
    <s v="League"/>
    <s v="Jan 22 2022"/>
    <x v="14"/>
    <x v="12"/>
    <n v="8"/>
    <x v="23"/>
    <n v="131"/>
    <n v="10"/>
    <s v="Nasum Ahmed"/>
    <s v="Minister Group Dhaka"/>
    <s v="field first"/>
    <s v="Challengers"/>
    <x v="17"/>
    <s v="SBNCS"/>
    <s v="Mirpur"/>
    <n v="0"/>
    <n v="30"/>
    <s v="30 runs"/>
    <s v="Runs"/>
    <n v="30"/>
    <s v="Normal"/>
    <n v="292"/>
    <s v="170+ Match"/>
    <s v="Sharfuddoula"/>
    <s v="Tanvir Ahmed"/>
  </r>
  <r>
    <s v="2021/22"/>
    <s v="2021"/>
    <x v="39"/>
    <s v="League"/>
    <s v="Jan 22 2022"/>
    <x v="18"/>
    <x v="122"/>
    <n v="10"/>
    <x v="7"/>
    <n v="97"/>
    <n v="8"/>
    <s v="Nahidul Islam"/>
    <s v="Comilla Victorians"/>
    <s v="field first"/>
    <s v="Victorians"/>
    <x v="6"/>
    <s v="SBNCS"/>
    <s v="Mirpur"/>
    <n v="2"/>
    <n v="0"/>
    <s v="2 wickets"/>
    <s v="Wickets"/>
    <n v="2"/>
    <s v="Close Match"/>
    <n v="193"/>
    <s v="170+ Match"/>
    <s v="Masudur Rahman"/>
    <s v="Morshed Ali Khan"/>
  </r>
  <r>
    <s v="2021/22"/>
    <s v="2021"/>
    <x v="1"/>
    <s v="League"/>
    <s v="Jan 21 2022"/>
    <x v="20"/>
    <x v="63"/>
    <n v="6"/>
    <x v="15"/>
    <n v="186"/>
    <n v="5"/>
    <s v="Rony Talukdar"/>
    <s v="Khulna Tigers"/>
    <s v="field first"/>
    <s v="Tigers"/>
    <x v="16"/>
    <s v="SBNCS"/>
    <s v="Mirpur"/>
    <n v="5"/>
    <n v="0"/>
    <s v="5 wickets"/>
    <s v="Wickets"/>
    <n v="5"/>
    <s v="Close Match"/>
    <n v="369"/>
    <s v="170+ Match"/>
    <s v="Masudur Rahman"/>
    <s v="Morshed Ali Khan"/>
  </r>
  <r>
    <s v="2021/22"/>
    <s v="2021"/>
    <x v="2"/>
    <s v="League"/>
    <s v="Jan 21 2022"/>
    <x v="14"/>
    <x v="25"/>
    <n v="8"/>
    <x v="24"/>
    <n v="126"/>
    <n v="6"/>
    <s v="Mehidy Hasan Miraz"/>
    <s v="Fortune Barishal"/>
    <s v="field first"/>
    <s v="Barishal"/>
    <x v="20"/>
    <s v="SBNCS"/>
    <s v="Mirpur"/>
    <n v="4"/>
    <n v="0"/>
    <s v="4 wickets"/>
    <s v="Wickets"/>
    <n v="4"/>
    <s v="Close Match"/>
    <n v="251"/>
    <s v="170+ Match"/>
    <s v="Sharfuddoula"/>
    <s v="Tanvir Ahmed"/>
  </r>
  <r>
    <s v="2021/22"/>
    <s v="2021"/>
    <x v="2"/>
    <s v="League"/>
    <s v="Jan 21 2022"/>
    <x v="14"/>
    <x v="25"/>
    <n v="8"/>
    <x v="24"/>
    <n v="126"/>
    <n v="6"/>
    <s v="Mehidy Hasan Miraz"/>
    <s v="Fortune Barishal"/>
    <s v="bat first"/>
    <s v="Fortune Barishal"/>
    <x v="20"/>
    <s v="SBNCS"/>
    <s v="Mirpur"/>
    <n v="4"/>
    <n v="0"/>
    <s v="4 wickets"/>
    <s v="Wickets"/>
    <n v="4"/>
    <s v="Close Match"/>
    <n v="251"/>
    <s v="170+ Match"/>
    <s v="Sharfuddoula"/>
    <s v="Tanvir Ahmed"/>
  </r>
  <r>
    <s v="2021/22"/>
    <s v="2021"/>
    <x v="49"/>
    <s v="League"/>
    <s v="Jan 21 2022"/>
    <x v="20"/>
    <x v="63"/>
    <n v="6"/>
    <x v="15"/>
    <n v="186"/>
    <n v="5"/>
    <s v="Rony Talukdar"/>
    <s v="Khulna Tigers"/>
    <s v="field first"/>
    <s v="Khulna Tigers"/>
    <x v="16"/>
    <s v="SBNCS"/>
    <s v="Mirpur"/>
    <n v="5"/>
    <n v="0"/>
    <s v="5 wickets"/>
    <s v="Wickets"/>
    <n v="5"/>
    <s v="Close Match"/>
    <n v="369"/>
    <s v="170+ Match"/>
    <s v="Morshed AliÂ Khan"/>
    <s v="Masudur Rahman"/>
  </r>
  <r>
    <s v="2021/22"/>
    <s v="2021"/>
    <x v="39"/>
    <s v="League"/>
    <s v="Jan 22 2022"/>
    <x v="18"/>
    <x v="122"/>
    <n v="10"/>
    <x v="7"/>
    <n v="97"/>
    <n v="8"/>
    <s v="Nahidul Islam"/>
    <s v="Comilla Victorians"/>
    <s v="field first"/>
    <s v="Comilla Victorians"/>
    <x v="6"/>
    <s v="SBNCS"/>
    <s v="Mirpur"/>
    <n v="2"/>
    <n v="0"/>
    <s v="2 wickets"/>
    <s v="Wickets"/>
    <n v="2"/>
    <s v="Close Match"/>
    <n v="193"/>
    <s v="170+ Match"/>
    <s v="Masudur Rahman"/>
    <s v="Morshed AliÂ Khan"/>
  </r>
  <r>
    <s v="2021/22"/>
    <s v="2021"/>
    <x v="38"/>
    <s v="League"/>
    <s v="Jan 22 2022"/>
    <x v="14"/>
    <x v="12"/>
    <n v="8"/>
    <x v="23"/>
    <n v="131"/>
    <n v="10"/>
    <s v="Nasum Ahmed"/>
    <s v="Minister Group Dhaka"/>
    <s v="field first"/>
    <s v="Chattogram Challengers"/>
    <x v="17"/>
    <s v="SBNCS"/>
    <s v="Mirpur"/>
    <n v="0"/>
    <n v="30"/>
    <s v="30 runs"/>
    <s v="Runs"/>
    <n v="30"/>
    <s v="Normal"/>
    <n v="292"/>
    <s v="170+ Match"/>
    <s v="Sharfuddoula"/>
    <s v="TanvirÂ Ahmed"/>
  </r>
  <r>
    <s v="2021/22"/>
    <s v="2021"/>
    <x v="37"/>
    <s v="League"/>
    <s v="Jan 24 2022"/>
    <x v="19"/>
    <x v="72"/>
    <n v="8"/>
    <x v="23"/>
    <n v="130"/>
    <n v="6"/>
    <s v="Mahmudullah"/>
    <s v="Minister Group Dhaka"/>
    <s v="field first"/>
    <s v="Minister Group Dhaka"/>
    <x v="21"/>
    <s v="SBNCS"/>
    <s v="Mirpur"/>
    <n v="4"/>
    <n v="0"/>
    <s v="4 wickets"/>
    <s v="Wickets"/>
    <n v="4"/>
    <s v="Close Match"/>
    <n v="259"/>
    <s v="170+ Match"/>
    <s v="Masudur Rahman"/>
    <s v="Tanvir Ahmed"/>
  </r>
  <r>
    <s v="2021/22"/>
    <s v="2021"/>
    <x v="36"/>
    <s v="League"/>
    <s v="Jan 24 2022"/>
    <x v="14"/>
    <x v="94"/>
    <n v="7"/>
    <x v="15"/>
    <n v="165"/>
    <n v="9"/>
    <s v="Benny Howell"/>
    <s v="Khulna Tigers"/>
    <s v="field first"/>
    <s v="Chattogram Challengers"/>
    <x v="17"/>
    <s v="SBNCS"/>
    <s v="Mirpur"/>
    <n v="0"/>
    <n v="25"/>
    <s v="25 runs"/>
    <s v="Runs"/>
    <n v="25"/>
    <s v="Normal"/>
    <n v="355"/>
    <s v="170+ Match"/>
    <s v="Morshed Ali Khan"/>
    <s v="Sharfuddoula"/>
  </r>
  <r>
    <s v="2021/22"/>
    <s v="2021"/>
    <x v="35"/>
    <s v="League"/>
    <s v="Jan 25 2022"/>
    <x v="20"/>
    <x v="121"/>
    <n v="10"/>
    <x v="21"/>
    <n v="101"/>
    <n v="3"/>
    <s v="Nazmul Islam"/>
    <s v="Sylhet Sunrisers"/>
    <s v="field first"/>
    <s v="Sylhet Sunrisers"/>
    <x v="24"/>
    <s v="SBNCS"/>
    <s v="Mirpur"/>
    <n v="7"/>
    <n v="0"/>
    <s v="7 wickets"/>
    <s v="Wickets"/>
    <n v="7"/>
    <s v="Close Match"/>
    <n v="201"/>
    <s v="170+ Match"/>
    <s v="Masudur Rahman"/>
    <s v="Sharfuddoula"/>
  </r>
  <r>
    <s v="2021/22"/>
    <s v="2021"/>
    <x v="34"/>
    <s v="League"/>
    <s v="Jan 25 2022"/>
    <x v="8"/>
    <x v="40"/>
    <n v="7"/>
    <x v="24"/>
    <n v="95"/>
    <n v="10"/>
    <s v="Nahidul Islam"/>
    <s v="Fortune Barishal"/>
    <s v="field first"/>
    <s v="Comilla Victorians"/>
    <x v="6"/>
    <s v="SBNCS"/>
    <s v="Mirpur"/>
    <n v="0"/>
    <n v="63"/>
    <s v="63 runs"/>
    <s v="Runs"/>
    <n v="63"/>
    <s v="Normal"/>
    <n v="253"/>
    <s v="170+ Match"/>
    <s v="Morshed Ali Khan"/>
    <s v="Tanvir Ahmed"/>
  </r>
  <r>
    <s v="2021/22"/>
    <s v="2021"/>
    <x v="33"/>
    <s v="League"/>
    <s v="Jan 28 2022"/>
    <x v="14"/>
    <x v="106"/>
    <n v="8"/>
    <x v="15"/>
    <n v="144"/>
    <n v="4"/>
    <s v="Andre Fletcher"/>
    <s v="Khulna Tigers"/>
    <s v="field first"/>
    <s v="Khulna Tigers"/>
    <x v="16"/>
    <s v="SBNCS"/>
    <s v="Mirpur"/>
    <n v="6"/>
    <n v="0"/>
    <s v="6 wickets"/>
    <s v="Wickets"/>
    <n v="6"/>
    <s v="Close Match"/>
    <n v="287"/>
    <s v="170+ Match"/>
    <s v="Masudur Rahman"/>
    <s v="Tanvir Ahmed"/>
  </r>
  <r>
    <s v="2021/22"/>
    <s v="2021"/>
    <x v="32"/>
    <s v="League"/>
    <s v="Jan 28 2022"/>
    <x v="18"/>
    <x v="36"/>
    <n v="5"/>
    <x v="23"/>
    <n v="177"/>
    <n v="1"/>
    <s v="Tamim Iqbal"/>
    <s v="Minister Group Dhaka"/>
    <s v="field first"/>
    <s v="Minister Group Dhaka"/>
    <x v="21"/>
    <s v="ZACS"/>
    <s v="Chattogram"/>
    <n v="9"/>
    <n v="0"/>
    <s v="9 wickets"/>
    <s v="Wickets"/>
    <n v="9"/>
    <s v="Close Match"/>
    <n v="352"/>
    <s v="170+ Match"/>
    <s v="Mahfuzur Rahman"/>
    <s v="Prageeth Rambukwella"/>
  </r>
  <r>
    <s v="2021/22"/>
    <s v="2021"/>
    <x v="30"/>
    <s v="League"/>
    <s v="Jan 29 2022"/>
    <x v="19"/>
    <x v="45"/>
    <n v="9"/>
    <x v="15"/>
    <n v="124"/>
    <n v="10"/>
    <s v="Mehedi Hasan Rana"/>
    <s v="Khulna Tigers"/>
    <s v="field first"/>
    <s v="Fortune Barishal"/>
    <x v="20"/>
    <s v="ZACS"/>
    <s v="Chattogram"/>
    <n v="0"/>
    <n v="17"/>
    <s v="17 runs"/>
    <s v="Runs"/>
    <n v="17"/>
    <s v="Normal"/>
    <n v="265"/>
    <s v="170+ Match"/>
    <s v="Morshed Ali Khan"/>
    <s v="Prageeth Rambukwella"/>
  </r>
  <r>
    <s v="2021/22"/>
    <s v="2021"/>
    <x v="28"/>
    <s v="League"/>
    <s v="Jan 29 2022"/>
    <x v="14"/>
    <x v="64"/>
    <n v="5"/>
    <x v="21"/>
    <n v="186"/>
    <n v="6"/>
    <s v="Mrittunjoy Chowdhury"/>
    <s v="Sylhet Sunrisers"/>
    <s v="field first"/>
    <s v="Chattogram Challengers"/>
    <x v="17"/>
    <s v="ZACS"/>
    <s v="Chattogram"/>
    <n v="0"/>
    <n v="16"/>
    <s v="16 runs"/>
    <s v="Runs"/>
    <n v="16"/>
    <s v="Normal"/>
    <n v="388"/>
    <s v="170+ Match"/>
    <s v="Mahfuzur Rahman"/>
    <s v="Sharfuddoula"/>
  </r>
  <r>
    <s v="2021/22"/>
    <s v="2021"/>
    <x v="27"/>
    <s v="League"/>
    <s v="Jan 31 2022"/>
    <x v="8"/>
    <x v="63"/>
    <n v="3"/>
    <x v="17"/>
    <n v="131"/>
    <n v="10"/>
    <s v="Faf du Plessis"/>
    <s v="Chattogram Challengers"/>
    <s v="field first"/>
    <s v="Comilla Victorians"/>
    <x v="6"/>
    <s v="ZACS"/>
    <s v="Chattogram"/>
    <n v="0"/>
    <n v="52"/>
    <s v="52 runs"/>
    <s v="Runs"/>
    <n v="52"/>
    <s v="Normal"/>
    <n v="314"/>
    <s v="170+ Match"/>
    <s v="Morshed Ali Khan"/>
    <s v="Sharfuddoula"/>
  </r>
  <r>
    <s v="2021/22"/>
    <s v="2021"/>
    <x v="25"/>
    <s v="League"/>
    <s v="Jan 31 2022"/>
    <x v="19"/>
    <x v="26"/>
    <n v="10"/>
    <x v="15"/>
    <n v="139"/>
    <n v="6"/>
    <s v="Shakib Al Hasan"/>
    <s v="Fortune Barishal"/>
    <s v="bat first"/>
    <s v="Fortune Barishal"/>
    <x v="20"/>
    <s v="ZACS"/>
    <s v="Chattogram"/>
    <n v="0"/>
    <n v="6"/>
    <s v="6 runs"/>
    <s v="Runs"/>
    <n v="6"/>
    <s v="Close Match"/>
    <n v="284"/>
    <s v="170+ Match"/>
    <s v="Mahfuzur Rahman"/>
    <s v="Prageeth Rambukwella"/>
  </r>
  <r>
    <s v="2021/22"/>
    <s v="2021"/>
    <x v="23"/>
    <s v="League"/>
    <s v="Feb 01 2022"/>
    <x v="20"/>
    <x v="62"/>
    <n v="6"/>
    <x v="7"/>
    <n v="131"/>
    <n v="10"/>
    <s v="Mahmudullah"/>
    <s v="Comilla Victorians"/>
    <s v="field first"/>
    <s v="Minister Group Dhaka"/>
    <x v="21"/>
    <s v="ZACS"/>
    <s v="Chattogram"/>
    <n v="0"/>
    <n v="50"/>
    <s v="50 runs"/>
    <s v="Runs"/>
    <n v="50"/>
    <s v="Normal"/>
    <n v="312"/>
    <s v="170+ Match"/>
    <s v="Prageeth Rambukwella"/>
    <s v="Tanvir Ahmed"/>
  </r>
  <r>
    <s v="2021/22"/>
    <s v="2021"/>
    <x v="22"/>
    <s v="League"/>
    <s v="Feb 01 2022"/>
    <x v="19"/>
    <x v="11"/>
    <n v="10"/>
    <x v="17"/>
    <n v="135"/>
    <n v="10"/>
    <s v="Shakib Al Hasan"/>
    <s v="Fortune Barishal"/>
    <s v="bat first"/>
    <s v="Fortune Barishal"/>
    <x v="20"/>
    <s v="ZACS"/>
    <s v="Chattogram"/>
    <n v="0"/>
    <n v="14"/>
    <s v="14 runs"/>
    <s v="Runs"/>
    <n v="14"/>
    <s v="Normal"/>
    <n v="284"/>
    <s v="170+ Match"/>
    <s v="Mahfuzur Rahman"/>
    <s v="Masudur Rahman"/>
  </r>
  <r>
    <s v="2021/22"/>
    <s v="2021"/>
    <x v="20"/>
    <s v="League"/>
    <s v="Feb 03 2022"/>
    <x v="18"/>
    <x v="39"/>
    <n v="5"/>
    <x v="15"/>
    <n v="144"/>
    <n v="1"/>
    <s v="Andre Fletcher"/>
    <s v="Khulna Tigers"/>
    <s v="field first"/>
    <s v="Khulna Tigers"/>
    <x v="16"/>
    <s v="SBNCS"/>
    <s v="Mirpur"/>
    <n v="9"/>
    <n v="0"/>
    <s v="9 wickets"/>
    <s v="Wickets"/>
    <n v="9"/>
    <s v="Close Match"/>
    <n v="286"/>
    <s v="170+ Match"/>
    <s v="Masudur Rahman"/>
    <s v="Morshed Ali Khan"/>
  </r>
  <r>
    <s v="2021/22"/>
    <s v="2021"/>
    <x v="18"/>
    <s v="League"/>
    <s v="Feb 03 2022"/>
    <x v="14"/>
    <x v="61"/>
    <n v="8"/>
    <x v="7"/>
    <n v="148"/>
    <n v="1"/>
    <s v="Mustafizur Rahman"/>
    <s v="Comilla Victorians"/>
    <s v="field first"/>
    <s v="Comilla Victorians"/>
    <x v="6"/>
    <s v="SBNCS"/>
    <s v="Mirpur"/>
    <n v="9"/>
    <n v="0"/>
    <s v="9 wickets"/>
    <s v="Wickets"/>
    <n v="9"/>
    <s v="Close Match"/>
    <n v="286"/>
    <s v="170+ Match"/>
    <s v="Mahfuzur Rahman"/>
    <s v="Prageeth Rambukwella"/>
  </r>
  <r>
    <s v="2021/22"/>
    <s v="2021"/>
    <x v="12"/>
    <s v="League"/>
    <s v="Feb 7 2022"/>
    <x v="19"/>
    <x v="58"/>
    <n v="5"/>
    <x v="7"/>
    <n v="123"/>
    <n v="9"/>
    <s v="Shakib Al Hasan"/>
    <s v="Comilla Victorians"/>
    <s v="field first"/>
    <s v="Fortune Barishal"/>
    <x v="20"/>
    <s v="SylhetICS"/>
    <s v="Sylhet"/>
    <n v="0"/>
    <n v="32"/>
    <s v="32 runs"/>
    <s v="Runs"/>
    <n v="32"/>
    <s v="Normal"/>
    <n v="278"/>
    <s v="170+ Match"/>
    <s v="Masudur Rahman"/>
    <s v="Mozahiduzzaman"/>
  </r>
  <r>
    <s v="2021/22"/>
    <s v="2021"/>
    <x v="11"/>
    <s v="League"/>
    <s v="Feb 07 2022"/>
    <x v="15"/>
    <x v="69"/>
    <n v="3"/>
    <x v="21"/>
    <n v="167"/>
    <n v="6"/>
    <s v="Soumya Sarkar"/>
    <s v="Sylhet Sunrisers"/>
    <s v="field first"/>
    <s v="Khulna Tigers"/>
    <x v="16"/>
    <s v="SylhetICS"/>
    <s v="Sylhet"/>
    <n v="0"/>
    <n v="15"/>
    <s v="15 runs"/>
    <s v="Runs"/>
    <n v="15"/>
    <s v="Normal"/>
    <n v="349"/>
    <s v="170+ Match"/>
    <s v="Mahfuzur Rahman"/>
    <s v="Prageeth Rambukwella"/>
  </r>
  <r>
    <s v="2021/22"/>
    <s v="2021"/>
    <x v="9"/>
    <s v="League"/>
    <s v="Feb 08 2022"/>
    <x v="14"/>
    <x v="95"/>
    <n v="6"/>
    <x v="23"/>
    <n v="145"/>
    <n v="6"/>
    <s v="Shamim Hossain"/>
    <s v="Minister Group Dhaka"/>
    <s v="field first"/>
    <s v="Chattogram Challengers"/>
    <x v="17"/>
    <s v="SylhetICS"/>
    <s v="Sylhet"/>
    <n v="0"/>
    <n v="3"/>
    <s v="3 runs"/>
    <s v="Runs"/>
    <n v="3"/>
    <s v="Close Match"/>
    <n v="293"/>
    <s v="170+ Match"/>
    <s v="Prageeth Rambukwella"/>
    <s v="Mahfuzur Rahman"/>
  </r>
  <r>
    <s v="2021/22"/>
    <s v="2021"/>
    <x v="8"/>
    <s v="League"/>
    <s v="Feb 08 2022"/>
    <x v="19"/>
    <x v="51"/>
    <n v="4"/>
    <x v="21"/>
    <n v="187"/>
    <n v="6"/>
    <s v="Shakib Al Hasan"/>
    <s v="Sylhet Sunrisers"/>
    <s v="field first"/>
    <s v="Fortune Barishal"/>
    <x v="20"/>
    <s v="SylhetICS"/>
    <s v="Sylhet"/>
    <n v="0"/>
    <n v="12"/>
    <s v="12 runs"/>
    <s v="Runs"/>
    <n v="12"/>
    <s v="Normal"/>
    <n v="386"/>
    <s v="170+ Match"/>
    <s v="Mozahiduzzaman"/>
    <s v="Tanvir Ahmed"/>
  </r>
  <r>
    <s v="2021/22"/>
    <s v="2021"/>
    <x v="7"/>
    <s v="League"/>
    <s v="Feb 9 2022"/>
    <x v="15"/>
    <x v="72"/>
    <n v="8"/>
    <x v="23"/>
    <n v="131"/>
    <n v="5"/>
    <s v="Arafat Sunny"/>
    <s v="Khulna Tigers"/>
    <s v="bat first"/>
    <s v="Minister Group Dhaka"/>
    <x v="21"/>
    <s v="SylhetICS"/>
    <s v="Sylhet"/>
    <n v="5"/>
    <n v="0"/>
    <s v="5 wickets"/>
    <s v="Wickets"/>
    <n v="5"/>
    <s v="Close Match"/>
    <n v="260"/>
    <s v="170+ Match"/>
    <s v="Prageeth Rambukwella"/>
    <s v="Tanvir Ahmed"/>
  </r>
  <r>
    <s v="2021/22"/>
    <s v="2021"/>
    <x v="6"/>
    <s v="League"/>
    <s v="Feb 9 2022"/>
    <x v="18"/>
    <x v="101"/>
    <n v="5"/>
    <x v="7"/>
    <n v="173"/>
    <n v="6"/>
    <s v="Mahmudul Hasan Joy"/>
    <s v="Comilla Victorians"/>
    <s v="field first"/>
    <s v="Comilla Victorians"/>
    <x v="6"/>
    <s v="SylhetICS"/>
    <s v="Sylhet"/>
    <n v="4"/>
    <n v="0"/>
    <s v="4 wickets"/>
    <s v="Wickets"/>
    <n v="4"/>
    <s v="Close Match"/>
    <n v="342"/>
    <s v="170+ Match"/>
    <s v="Mahfuzur Rahman"/>
    <s v="Mozahiduzzaman"/>
  </r>
  <r>
    <s v="2021/22"/>
    <s v="2021"/>
    <x v="5"/>
    <s v="League"/>
    <s v="Feb 11 2022"/>
    <x v="8"/>
    <x v="88"/>
    <n v="6"/>
    <x v="15"/>
    <n v="123"/>
    <n v="10"/>
    <s v="Moeen Ali"/>
    <s v="Khulna Tigers"/>
    <s v="field first"/>
    <s v="Comilla Victorians"/>
    <x v="6"/>
    <s v="SBNCS"/>
    <s v="Mirpur"/>
    <n v="0"/>
    <n v="65"/>
    <s v="65 runs"/>
    <s v="Runs"/>
    <n v="65"/>
    <s v="Normal"/>
    <n v="311"/>
    <s v="170+ Match"/>
    <s v="Masudur Rahman"/>
    <s v="Morshed AliÂ Khan"/>
  </r>
  <r>
    <s v="2021/22"/>
    <s v="2021"/>
    <x v="4"/>
    <s v="League"/>
    <s v="Feb 11 2022"/>
    <x v="20"/>
    <x v="13"/>
    <n v="9"/>
    <x v="24"/>
    <n v="129"/>
    <n v="2"/>
    <s v="Shakib Al Hasan"/>
    <s v="Minister Group Dhaka"/>
    <s v="bat first"/>
    <s v="Fortune Barishal"/>
    <x v="20"/>
    <s v="SBNCS"/>
    <s v="Mirpur"/>
    <n v="8"/>
    <n v="0"/>
    <s v="8 wickets"/>
    <s v="Wickets"/>
    <n v="8"/>
    <s v="Close Match"/>
    <n v="257"/>
    <s v="170+ Match"/>
    <s v="Mahfuzur Rahman"/>
    <s v="Prageeth Rambukwella"/>
  </r>
  <r>
    <s v="2021/22"/>
    <s v="2021"/>
    <x v="3"/>
    <s v="League"/>
    <s v="Feb 12 2022"/>
    <x v="18"/>
    <x v="92"/>
    <n v="6"/>
    <x v="17"/>
    <n v="188"/>
    <n v="6"/>
    <s v="Will Jacks"/>
    <s v="Chattogram Challengers"/>
    <s v="field first"/>
    <s v="Chattogram Challengers"/>
    <x v="17"/>
    <s v="SBNCS"/>
    <s v="Mirpur"/>
    <n v="4"/>
    <n v="0"/>
    <s v="4 wickets"/>
    <s v="Wickets"/>
    <n v="4"/>
    <s v="Close Match"/>
    <n v="373"/>
    <s v="170+ Match"/>
    <s v="Masudur Rahman"/>
    <s v="Prageeth Rambukwella"/>
  </r>
  <r>
    <s v="2021/22"/>
    <s v="2021"/>
    <x v="48"/>
    <s v="League"/>
    <s v="Feb 12 2022"/>
    <x v="8"/>
    <x v="69"/>
    <n v="5"/>
    <x v="15"/>
    <n v="183"/>
    <n v="1"/>
    <s v="Andre Fletcher"/>
    <s v="Comilla Victorians"/>
    <s v="bat first"/>
    <s v="Khulna Tigers"/>
    <x v="16"/>
    <s v="SBNCS"/>
    <s v="Mirpur"/>
    <n v="9"/>
    <n v="0"/>
    <s v="9 wickets"/>
    <s v="Wickets"/>
    <n v="9"/>
    <s v="Close Match"/>
    <n v="365"/>
    <s v="170+ Match"/>
    <s v="Mahfuzur Rahman"/>
    <s v="TanvirÂ Ahmed"/>
  </r>
  <r>
    <s v="2021/22"/>
    <s v="2021"/>
    <x v="31"/>
    <s v="League"/>
    <s v="Feb 14 2022"/>
    <x v="14"/>
    <x v="55"/>
    <n v="5"/>
    <x v="15"/>
    <n v="182"/>
    <n v="5"/>
    <s v="Chadwick Walton"/>
    <s v="Khulna Tigers"/>
    <s v="field first"/>
    <s v="Chattogram Challengers"/>
    <x v="17"/>
    <s v="SBNCS"/>
    <s v="Mirpur"/>
    <n v="0"/>
    <n v="7"/>
    <s v="7 runs"/>
    <s v="Runs"/>
    <n v="7"/>
    <s v="Close Match"/>
    <n v="371"/>
    <s v="170+ Match"/>
    <s v="Mahfuzur Rahman"/>
    <s v="Prageeth Rambukwella"/>
  </r>
  <r>
    <s v="2021/22"/>
    <s v="2021"/>
    <x v="50"/>
    <s v="League"/>
    <s v="Feb 14 2022"/>
    <x v="19"/>
    <x v="106"/>
    <n v="8"/>
    <x v="7"/>
    <n v="133"/>
    <n v="7"/>
    <s v="Mehedi Hasan Rana"/>
    <s v="Comilla Victorians"/>
    <s v="field first"/>
    <s v="Fortune Barishal"/>
    <x v="20"/>
    <s v="SBNCS"/>
    <s v="Mirpur"/>
    <n v="0"/>
    <n v="10"/>
    <s v="10 runs"/>
    <s v="Runs"/>
    <n v="10"/>
    <s v="Close Match"/>
    <n v="276"/>
    <s v="170+ Match"/>
    <s v="Masudur Rahman"/>
    <s v="TanvirÂ Ahmed"/>
  </r>
  <r>
    <s v="2021/22"/>
    <s v="2021"/>
    <x v="51"/>
    <s v="League"/>
    <s v="Feb 16 2022"/>
    <x v="14"/>
    <x v="95"/>
    <n v="10"/>
    <x v="7"/>
    <n v="149"/>
    <n v="3"/>
    <s v="Sunil Narine"/>
    <s v="Chattogram Challengers"/>
    <s v="bat first"/>
    <s v="Comilla Victorians"/>
    <x v="6"/>
    <s v="SBNCS"/>
    <s v="Mirpur"/>
    <n v="7"/>
    <n v="0"/>
    <s v="7 wickets"/>
    <s v="Wickets"/>
    <n v="7"/>
    <s v="Close Match"/>
    <n v="297"/>
    <s v="170+ Match"/>
    <s v="TanvirÂ Ahmed"/>
    <s v="Prageeth Rambukwella"/>
  </r>
  <r>
    <s v="2021/22"/>
    <s v="2021"/>
    <x v="52"/>
    <s v="Final"/>
    <s v="Feb 18 2022"/>
    <x v="8"/>
    <x v="93"/>
    <n v="9"/>
    <x v="24"/>
    <n v="150"/>
    <n v="8"/>
    <s v="Sunil Narine"/>
    <s v="Comilla Victorians"/>
    <s v="bat first"/>
    <s v="Comilla Victorians"/>
    <x v="6"/>
    <s v="SBNCS"/>
    <s v="Mirpur"/>
    <n v="0"/>
    <n v="1"/>
    <s v="1 runs"/>
    <s v="Runs"/>
    <n v="1"/>
    <s v="Close Match"/>
    <n v="301"/>
    <s v="170+ Match"/>
    <s v="Masudur Rahman"/>
    <s v="Prageeth Rambukwella"/>
  </r>
  <r>
    <s v="2022/23"/>
    <s v="2022"/>
    <x v="2"/>
    <s v="League"/>
    <s v="Jan 6 2023"/>
    <x v="14"/>
    <x v="84"/>
    <n v="9"/>
    <x v="25"/>
    <n v="90"/>
    <n v="2"/>
    <s v="Rejaur Rahman Raja"/>
    <s v="Sylhet Strikers"/>
    <s v="field first"/>
    <s v="Sylhet Strikers"/>
    <x v="25"/>
    <s v="SBNCS"/>
    <s v="Mirpur"/>
    <n v="8"/>
    <n v="0"/>
    <s v="8 wickets"/>
    <s v="Wickets"/>
    <n v="8"/>
    <s v="Close Match"/>
    <n v="179"/>
    <s v="170+ Match"/>
    <s v="Gazi Sohel"/>
    <s v="MahfuzurÂ Rahman"/>
  </r>
  <r>
    <s v="2022/23"/>
    <s v="2022"/>
    <x v="1"/>
    <s v="League"/>
    <s v="Jan 6 2023"/>
    <x v="17"/>
    <x v="66"/>
    <n v="5"/>
    <x v="7"/>
    <n v="142"/>
    <n v="10"/>
    <s v="Rony Talukdar"/>
    <s v="Comilla Victorians"/>
    <s v="field first"/>
    <s v="Rangpur Rangers"/>
    <x v="18"/>
    <s v="SBNCS"/>
    <s v="Mirpur"/>
    <n v="0"/>
    <n v="34"/>
    <s v="34 runs"/>
    <s v="Runs"/>
    <n v="34"/>
    <s v="Normal"/>
    <n v="318"/>
    <s v="170+ Match"/>
    <s v="Morshed Ali Khan"/>
    <s v="TanvirÂ Ahmed"/>
  </r>
  <r>
    <s v="2022/23"/>
    <s v="2022"/>
    <x v="39"/>
    <s v="League"/>
    <s v="Jan 7 2023"/>
    <x v="15"/>
    <x v="123"/>
    <n v="8"/>
    <x v="26"/>
    <n v="117"/>
    <n v="4"/>
    <s v="Nasir Hossain"/>
    <s v="Dhaka Dominators"/>
    <s v="field first"/>
    <s v="Dhaka Dominators"/>
    <x v="26"/>
    <s v="SBNCS"/>
    <s v="Mirpur"/>
    <n v="6"/>
    <n v="0"/>
    <s v="6 wickets"/>
    <s v="Wickets"/>
    <n v="6"/>
    <s v="Close Match"/>
    <n v="230"/>
    <s v="170+ Match"/>
    <s v="Gazi Sohel"/>
    <s v="Morshed AliÂ Khan"/>
  </r>
  <r>
    <s v="2022/23"/>
    <s v="2022"/>
    <x v="38"/>
    <s v="League"/>
    <s v="Jan 7 2023"/>
    <x v="19"/>
    <x v="47"/>
    <n v="7"/>
    <x v="25"/>
    <n v="196"/>
    <n v="4"/>
    <s v="Towhid Hridoy"/>
    <s v="Fortune Barishal"/>
    <s v="bat first"/>
    <s v="Sylhet Strikers"/>
    <x v="25"/>
    <s v="SBNCS"/>
    <s v="Mirpur"/>
    <n v="6"/>
    <n v="0"/>
    <s v="6 wickets"/>
    <s v="Wickets"/>
    <n v="6"/>
    <s v="Close Match"/>
    <n v="390"/>
    <s v="170+ Match"/>
    <s v="Mahfuzur Rahman"/>
    <s v="TanvirÂ Ahmed"/>
  </r>
  <r>
    <s v="2022/23"/>
    <s v="2022"/>
    <x v="37"/>
    <s v="League"/>
    <s v="Jan 9 2023"/>
    <x v="8"/>
    <x v="11"/>
    <n v="6"/>
    <x v="25"/>
    <n v="150"/>
    <n v="5"/>
    <s v="Towhid Hridoy"/>
    <s v="Sylhet Strikers"/>
    <s v="field first"/>
    <s v="Sylhet Strikers"/>
    <x v="25"/>
    <s v="SBNCS"/>
    <s v="Mirpur"/>
    <n v="5"/>
    <n v="0"/>
    <s v="5 wickets"/>
    <s v="Wickets"/>
    <n v="5"/>
    <s v="Close Match"/>
    <n v="299"/>
    <s v="170+ Match"/>
    <s v="David Millns"/>
    <s v="MasudurÂ Rahman"/>
  </r>
  <r>
    <s v="2022/23"/>
    <s v="2022"/>
    <x v="36"/>
    <s v="League"/>
    <s v="Jan 9 2023"/>
    <x v="15"/>
    <x v="124"/>
    <n v="5"/>
    <x v="17"/>
    <n v="179"/>
    <n v="1"/>
    <s v="Usman Khan"/>
    <s v="Chattogram Challengers"/>
    <s v="field first"/>
    <s v="Chattogram Challengers"/>
    <x v="17"/>
    <s v="SBNCS"/>
    <s v="Mirpur"/>
    <n v="9"/>
    <n v="0"/>
    <s v="9 wickets"/>
    <s v="Wickets"/>
    <n v="9"/>
    <s v="Close Match"/>
    <n v="357"/>
    <s v="170+ Match"/>
    <s v="Raveendra Wimalasiri"/>
    <s v="TanvirÂ Ahmed"/>
  </r>
  <r>
    <s v="2022/23"/>
    <s v="2022"/>
    <x v="35"/>
    <s v="League"/>
    <s v="Jan 10 2023"/>
    <x v="17"/>
    <x v="40"/>
    <n v="7"/>
    <x v="24"/>
    <n v="162"/>
    <n v="4"/>
    <s v="Mehidy Hasan Miraz"/>
    <s v="Fortune Barishal"/>
    <s v="field first"/>
    <s v="Fortune Barishal"/>
    <x v="20"/>
    <s v="SBNCS"/>
    <s v="Mirpur"/>
    <n v="6"/>
    <n v="0"/>
    <s v="6 wickets"/>
    <s v="Wickets"/>
    <n v="6"/>
    <s v="Close Match"/>
    <n v="320"/>
    <s v="170+ Match"/>
    <s v="Gazi Sohel"/>
    <s v="Raveendra Wimalasiri"/>
  </r>
  <r>
    <s v="2022/23"/>
    <s v="2022"/>
    <x v="34"/>
    <s v="League"/>
    <s v="Jan 10 2023"/>
    <x v="25"/>
    <x v="102"/>
    <n v="8"/>
    <x v="26"/>
    <n v="139"/>
    <n v="10"/>
    <s v="Towhid Hridoy"/>
    <s v="Dhaka Dominators"/>
    <s v="field first"/>
    <s v="Sylhet Strikers"/>
    <x v="25"/>
    <s v="SBNCS"/>
    <s v="Mirpur"/>
    <n v="0"/>
    <n v="62"/>
    <s v="62 runs"/>
    <s v="Runs"/>
    <n v="62"/>
    <s v="Normal"/>
    <n v="340"/>
    <s v="170+ Match"/>
    <s v="David Millns"/>
    <s v="MasudurÂ Rahman"/>
  </r>
  <r>
    <s v="2022/23"/>
    <s v="2022"/>
    <x v="33"/>
    <s v="League"/>
    <s v="Jan 13 2023"/>
    <x v="19"/>
    <x v="64"/>
    <n v="7"/>
    <x v="17"/>
    <n v="176"/>
    <n v="4"/>
    <s v="Iftikhar Ahmed"/>
    <s v="Chattogram Challengers"/>
    <s v="field first"/>
    <s v="Fortune Barishal"/>
    <x v="20"/>
    <s v="ZACS"/>
    <s v="Chattogram"/>
    <n v="0"/>
    <n v="26"/>
    <s v="26 runs"/>
    <s v="Runs"/>
    <n v="26"/>
    <s v="Normal"/>
    <n v="378"/>
    <s v="170+ Match"/>
    <s v="Ali Arman"/>
    <s v="Raveendra Wimalasiri"/>
  </r>
  <r>
    <s v="2022/23"/>
    <s v="2022"/>
    <x v="32"/>
    <s v="League"/>
    <s v="Jan 13 2023"/>
    <x v="15"/>
    <x v="125"/>
    <n v="10"/>
    <x v="20"/>
    <n v="131"/>
    <n v="6"/>
    <s v="Robiul Haque"/>
    <s v="Rangpur Riders"/>
    <s v="field first"/>
    <s v="Rangpur Rangers"/>
    <x v="18"/>
    <s v="ZACS"/>
    <s v="Chattogram"/>
    <n v="4"/>
    <n v="0"/>
    <s v="4 wickets"/>
    <s v="Wickets"/>
    <n v="4"/>
    <s v="Close Match"/>
    <n v="261"/>
    <s v="170+ Match"/>
    <s v="Prageeth Rambukwella"/>
    <s v="TanvirÂ Ahmed"/>
  </r>
  <r>
    <s v="2022/23"/>
    <s v="2022"/>
    <x v="30"/>
    <s v="League"/>
    <s v="Jan 14 2023"/>
    <x v="19"/>
    <x v="126"/>
    <n v="6"/>
    <x v="7"/>
    <n v="165"/>
    <n v="7"/>
    <s v="Shakib Al Hasan"/>
    <s v="Comilla Victorians"/>
    <s v="field first"/>
    <s v="Fortune Barishal"/>
    <x v="20"/>
    <s v="ZACS"/>
    <s v="Chattogram"/>
    <n v="0"/>
    <n v="12"/>
    <s v="12 runs"/>
    <s v="Runs"/>
    <n v="12"/>
    <s v="Normal"/>
    <n v="342"/>
    <s v="170+ Match"/>
    <s v="David Millns"/>
    <s v="Morshed AliÂ Khan"/>
  </r>
  <r>
    <s v="2022/23"/>
    <s v="2022"/>
    <x v="28"/>
    <s v="League"/>
    <s v="Jan 14 2023"/>
    <x v="26"/>
    <x v="40"/>
    <n v="6"/>
    <x v="17"/>
    <n v="159"/>
    <n v="2"/>
    <s v="Afif Hossain"/>
    <s v="Dhaka Dominators"/>
    <s v="bat first"/>
    <s v="Chattogram Challengers"/>
    <x v="17"/>
    <s v="ZACS"/>
    <s v="Chattogram"/>
    <n v="8"/>
    <n v="0"/>
    <s v="8 wickets"/>
    <s v="Wickets"/>
    <n v="8"/>
    <s v="Close Match"/>
    <n v="317"/>
    <s v="170+ Match"/>
    <s v="Ali Arman"/>
    <s v="Prageeth Rambukwella"/>
  </r>
  <r>
    <s v="2022/23"/>
    <s v="2022"/>
    <x v="27"/>
    <s v="League"/>
    <s v="Jan 16 2023"/>
    <x v="26"/>
    <x v="13"/>
    <n v="7"/>
    <x v="25"/>
    <n v="134"/>
    <n v="5"/>
    <s v="Imad Wasim"/>
    <s v="Dhaka Dominators"/>
    <s v="bat first"/>
    <s v="Sylhet Strikers"/>
    <x v="25"/>
    <s v="ZACS"/>
    <s v="Chattogram"/>
    <n v="5"/>
    <n v="0"/>
    <s v="5 wickets"/>
    <s v="Wickets"/>
    <n v="5"/>
    <s v="Close Match"/>
    <n v="262"/>
    <s v="170+ Match"/>
    <s v="David Millns"/>
    <s v="Morshed AliÂ Khan"/>
  </r>
  <r>
    <s v="2022/23"/>
    <s v="2022"/>
    <x v="25"/>
    <s v="League"/>
    <s v="Jan 16 2023"/>
    <x v="14"/>
    <x v="29"/>
    <n v="8"/>
    <x v="7"/>
    <n v="137"/>
    <n v="4"/>
    <s v="Litton Das"/>
    <s v="Chattogram Challengers"/>
    <s v="bat first"/>
    <s v="Comilla Victorians"/>
    <x v="6"/>
    <s v="ZACS"/>
    <s v="Chattogram"/>
    <n v="6"/>
    <n v="0"/>
    <s v="6 wickets"/>
    <s v="Wickets"/>
    <n v="6"/>
    <s v="Close Match"/>
    <n v="272"/>
    <s v="170+ Match"/>
    <s v="Ali Arman"/>
    <s v="Raveendra Wimalasiri"/>
  </r>
  <r>
    <s v="2022/23"/>
    <s v="2022"/>
    <x v="23"/>
    <s v="League"/>
    <s v="Jan 17 2023"/>
    <x v="17"/>
    <x v="72"/>
    <n v="10"/>
    <x v="15"/>
    <n v="130"/>
    <n v="1"/>
    <s v="Wahab Riaz"/>
    <s v="Khulna Tigers"/>
    <s v="field first"/>
    <s v="Khulna Tigers"/>
    <x v="16"/>
    <s v="ZACS"/>
    <s v="Chattogram"/>
    <n v="9"/>
    <n v="0"/>
    <s v="9 wickets"/>
    <s v="Wickets"/>
    <n v="9"/>
    <s v="Close Match"/>
    <n v="259"/>
    <s v="170+ Match"/>
    <s v="Ali Arman"/>
    <s v="David Millns"/>
  </r>
  <r>
    <s v="2022/23"/>
    <s v="2022"/>
    <x v="22"/>
    <s v="League"/>
    <s v="Jan 17 2023"/>
    <x v="25"/>
    <x v="97"/>
    <n v="7"/>
    <x v="7"/>
    <n v="134"/>
    <n v="5"/>
    <s v="Litton Das"/>
    <s v="Comilla Victorians"/>
    <s v="field first"/>
    <s v="Comilla Victorians"/>
    <x v="6"/>
    <s v="ZACS"/>
    <s v="Chattogram"/>
    <n v="5"/>
    <n v="0"/>
    <s v="5 wickets"/>
    <s v="Wickets"/>
    <n v="5"/>
    <s v="Close Match"/>
    <n v="267"/>
    <s v="170+ Match"/>
    <s v="Prageeth Rambukwella"/>
    <s v="TanvirÂ Ahmed"/>
  </r>
  <r>
    <s v="2022/23"/>
    <s v="2022"/>
    <x v="20"/>
    <s v="League"/>
    <s v="Jan 19 2023"/>
    <x v="8"/>
    <x v="2"/>
    <n v="4"/>
    <x v="26"/>
    <n v="151"/>
    <n v="4"/>
    <s v="Khushdil Shah"/>
    <s v="Dhaka Dominators"/>
    <s v="field first"/>
    <s v="Comilla Victorians"/>
    <x v="6"/>
    <s v="ZACS"/>
    <s v="Chattogram"/>
    <n v="0"/>
    <n v="33"/>
    <s v="33 runs"/>
    <s v="Runs"/>
    <n v="33"/>
    <s v="Normal"/>
    <n v="335"/>
    <s v="170+ Match"/>
    <s v="Raveendra Wimalasiri"/>
    <s v="Mahfuzur Rahman"/>
  </r>
  <r>
    <s v="2022/23"/>
    <s v="2022"/>
    <x v="18"/>
    <s v="League"/>
    <s v="Jan 19 2023"/>
    <x v="19"/>
    <x v="118"/>
    <n v="4"/>
    <x v="20"/>
    <n v="171"/>
    <n v="9"/>
    <s v="Iftikhar Ahmed"/>
    <s v="Rangpur Rangers"/>
    <s v="field first"/>
    <s v="Fortune Barishal"/>
    <x v="20"/>
    <s v="ZACS"/>
    <s v="Chattogram"/>
    <n v="0"/>
    <n v="67"/>
    <s v="67 runs"/>
    <s v="Runs"/>
    <n v="67"/>
    <s v="Normal"/>
    <n v="409"/>
    <s v="170+ Match"/>
    <s v="MasudurÂ Rahman"/>
    <s v="Prageeth Rambukwella"/>
  </r>
  <r>
    <s v="2022/23"/>
    <s v="2022"/>
    <x v="16"/>
    <s v="League"/>
    <s v="Jan 20 2023"/>
    <x v="14"/>
    <x v="33"/>
    <n v="9"/>
    <x v="15"/>
    <n v="159"/>
    <n v="3"/>
    <s v="Mahmudul Hasan Joy"/>
    <s v="Khulna Tigers"/>
    <s v="field first"/>
    <s v="Khulna Tigers"/>
    <x v="16"/>
    <s v="ZACS"/>
    <s v="Chattogram"/>
    <n v="7"/>
    <n v="0"/>
    <s v="7 wickets"/>
    <s v="Wickets"/>
    <n v="7"/>
    <s v="Close Match"/>
    <n v="316"/>
    <s v="170+ Match"/>
    <s v="Mahfuzur Rahman"/>
    <s v="Raveendra Wimalasiri"/>
  </r>
  <r>
    <s v="2022/23"/>
    <s v="2022"/>
    <x v="14"/>
    <s v="League"/>
    <s v="Jan 20 2023"/>
    <x v="19"/>
    <x v="99"/>
    <n v="5"/>
    <x v="26"/>
    <n v="160"/>
    <n v="4"/>
    <s v="Iftikhar Ahmed"/>
    <s v="Dhaka Dominators"/>
    <s v="field first"/>
    <s v="Fortune Barishal"/>
    <x v="20"/>
    <s v="ZACS"/>
    <s v="Chattogram"/>
    <n v="0"/>
    <n v="13"/>
    <s v="13 runs"/>
    <s v="Runs"/>
    <n v="13"/>
    <s v="Normal"/>
    <n v="333"/>
    <s v="170+ Match"/>
    <s v="David Millns"/>
    <s v="MasudurÂ Rahman"/>
  </r>
  <r>
    <s v="2022/23"/>
    <s v="2022"/>
    <x v="12"/>
    <s v="League"/>
    <s v="Jan 23 2023"/>
    <x v="17"/>
    <x v="60"/>
    <n v="6"/>
    <x v="17"/>
    <n v="124"/>
    <n v="10"/>
    <s v="ShoaibÂ Malik"/>
    <s v="Chattogram Challengers"/>
    <s v="field first"/>
    <s v="Rangpur Rangers"/>
    <x v="18"/>
    <s v="SBNCS"/>
    <s v="Mirpur"/>
    <n v="0"/>
    <n v="55"/>
    <s v="55 runs"/>
    <s v="Runs"/>
    <n v="55"/>
    <s v="Normal"/>
    <n v="303"/>
    <s v="170+ Match"/>
    <s v="Muhammad Kamruzzaman"/>
    <s v="Prageeth Rambukwella"/>
  </r>
  <r>
    <s v="2022/23"/>
    <s v="2022"/>
    <x v="11"/>
    <s v="League"/>
    <s v="Jan 23 2023"/>
    <x v="8"/>
    <x v="56"/>
    <n v="6"/>
    <x v="26"/>
    <n v="104"/>
    <n v="9"/>
    <s v="Khushdil Shah"/>
    <s v="Dhaka Dominators"/>
    <s v="field first"/>
    <s v="Comilla Victorians"/>
    <x v="6"/>
    <s v="SBNCS"/>
    <s v="Mirpur"/>
    <n v="0"/>
    <n v="60"/>
    <s v="60 runs"/>
    <s v="Runs"/>
    <n v="60"/>
    <s v="Normal"/>
    <n v="268"/>
    <s v="170+ Match"/>
    <s v="Masudur Rahman"/>
    <s v="Raveendra Wimalasiri"/>
  </r>
  <r>
    <s v="2022/23"/>
    <s v="2022"/>
    <x v="9"/>
    <s v="League"/>
    <s v="Jan 24 2023"/>
    <x v="25"/>
    <x v="99"/>
    <n v="5"/>
    <x v="24"/>
    <n v="178"/>
    <n v="8"/>
    <s v="Najmul Hossain Shanto"/>
    <s v="Fortune Barishal"/>
    <s v="field first"/>
    <s v="Sylhet Strikers"/>
    <x v="20"/>
    <s v="SBNCS"/>
    <s v="Mirpur"/>
    <n v="0"/>
    <n v="2"/>
    <s v="2 runs"/>
    <s v="Runs"/>
    <n v="2"/>
    <s v="Close Match"/>
    <n v="351"/>
    <s v="170+ Match"/>
    <s v="David Millns"/>
    <s v="MasudurÂ Rahman"/>
  </r>
  <r>
    <s v="2022/23"/>
    <s v="2022"/>
    <x v="8"/>
    <s v="League"/>
    <s v="Jan 24 2023"/>
    <x v="26"/>
    <x v="85"/>
    <n v="10"/>
    <x v="15"/>
    <n v="84"/>
    <n v="10"/>
    <s v="Taskin Ahmed"/>
    <s v="Khulna Tigers"/>
    <s v="field first"/>
    <s v="Dhaka Dominators"/>
    <x v="26"/>
    <s v="SBNCS"/>
    <s v="Mirpur"/>
    <n v="0"/>
    <n v="24"/>
    <s v="24 runs"/>
    <s v="Runs"/>
    <n v="24"/>
    <s v="Normal"/>
    <n v="192"/>
    <s v="170+ Match"/>
    <s v="Muhammad Kamruzzaman"/>
    <s v="Raveendra Wimalasiri"/>
  </r>
  <r>
    <s v="2022/23"/>
    <s v="2022"/>
    <x v="7"/>
    <s v="League"/>
    <s v="Jan 27 2023"/>
    <x v="25"/>
    <x v="82"/>
    <n v="9"/>
    <x v="20"/>
    <n v="93"/>
    <n v="4"/>
    <s v="Azmatullah Omarzai"/>
    <s v="Rangpur Riders"/>
    <s v="field first"/>
    <s v="Rangpur Rangers"/>
    <x v="18"/>
    <s v="SylhetICS"/>
    <s v="Sylhet"/>
    <n v="6"/>
    <n v="0"/>
    <s v="6 wickets"/>
    <s v="Wickets"/>
    <n v="6"/>
    <s v="Close Match"/>
    <n v="185"/>
    <s v="170+ Match"/>
    <s v="Gazi Sohel"/>
    <s v="Prageeth Rambukwella"/>
  </r>
  <r>
    <s v="2022/23"/>
    <s v="2022"/>
    <x v="6"/>
    <s v="League"/>
    <s v="Jan 27 2023"/>
    <x v="14"/>
    <x v="18"/>
    <n v="6"/>
    <x v="24"/>
    <n v="171"/>
    <n v="7"/>
    <s v="Anamul Haque"/>
    <s v="Fortune Barishal"/>
    <s v="field first"/>
    <s v="Fortune Barishal"/>
    <x v="20"/>
    <s v="SylhetICS"/>
    <s v="Sylhet"/>
    <n v="3"/>
    <n v="0"/>
    <s v="3 wickets"/>
    <s v="Wickets"/>
    <n v="3"/>
    <s v="Close Match"/>
    <n v="339"/>
    <s v="170+ Match"/>
    <s v="David Millns"/>
    <s v="MahfuzurÂ Rahman"/>
  </r>
  <r>
    <s v="2022/23"/>
    <s v="2022"/>
    <x v="5"/>
    <s v="League"/>
    <s v="Jan 28 2023"/>
    <x v="8"/>
    <x v="6"/>
    <n v="2"/>
    <x v="15"/>
    <n v="161"/>
    <n v="6"/>
    <s v="Mohammad Rizwan"/>
    <s v="Khulna Tigers"/>
    <s v="field first"/>
    <s v="Comilla Victorians"/>
    <x v="6"/>
    <s v="SylhetICS"/>
    <s v="Sylhet"/>
    <n v="0"/>
    <n v="4"/>
    <s v="4 runs"/>
    <s v="Runs"/>
    <n v="4"/>
    <s v="Close Match"/>
    <n v="326"/>
    <s v="170+ Match"/>
    <s v="Mahfuzur Rahman"/>
    <s v="Raveendra Wimalasiri"/>
  </r>
  <r>
    <s v="2022/23"/>
    <s v="2022"/>
    <x v="4"/>
    <s v="League"/>
    <s v="Jan 28 2023"/>
    <x v="14"/>
    <x v="48"/>
    <n v="6"/>
    <x v="25"/>
    <n v="177"/>
    <n v="3"/>
    <s v="Najmul HossainÂ Shanto"/>
    <s v="Chattogram Challengers"/>
    <s v="bat first"/>
    <s v="Sylhet Strikers"/>
    <x v="25"/>
    <s v="SylhetICS"/>
    <s v="Sylhet"/>
    <n v="7"/>
    <n v="0"/>
    <s v="7 wickets"/>
    <s v="Wickets"/>
    <n v="7"/>
    <s v="Close Match"/>
    <n v="351"/>
    <s v="170+ Match"/>
    <s v="David Millns"/>
    <s v="TanvirÂ Ahmed"/>
  </r>
  <r>
    <s v="2022/23"/>
    <s v="2022"/>
    <x v="3"/>
    <s v="League"/>
    <s v="Jan 30 2023"/>
    <x v="26"/>
    <x v="20"/>
    <n v="5"/>
    <x v="20"/>
    <n v="146"/>
    <n v="5"/>
    <s v="Mahedi Hasan"/>
    <s v="Rangpur Riders"/>
    <s v="field first"/>
    <s v="Rangpur Rangers"/>
    <x v="18"/>
    <s v="SylhetICS"/>
    <s v="Sylhet"/>
    <n v="5"/>
    <n v="0"/>
    <s v="5 wickets"/>
    <s v="Wickets"/>
    <n v="5"/>
    <s v="Close Match"/>
    <n v="290"/>
    <s v="170+ Match"/>
    <s v="Ali Arman"/>
    <s v="Prageeth Rambukwella"/>
  </r>
  <r>
    <s v="2022/23"/>
    <s v="2022"/>
    <x v="48"/>
    <s v="League"/>
    <s v="Jan 30 2023"/>
    <x v="25"/>
    <x v="17"/>
    <n v="4"/>
    <x v="15"/>
    <n v="161"/>
    <n v="9"/>
    <s v="Towhid Hridoy"/>
    <s v="Khulna Tigers"/>
    <s v="field first"/>
    <s v="Sylhet Strikers"/>
    <x v="25"/>
    <s v="SylhetICS"/>
    <s v="Sylhet"/>
    <n v="0"/>
    <n v="31"/>
    <s v="31 runs"/>
    <s v="Runs"/>
    <n v="31"/>
    <s v="Normal"/>
    <n v="353"/>
    <s v="170+ Match"/>
    <s v="Morshed Ali Khan"/>
    <s v="Raveendra Wimalasiri"/>
  </r>
  <r>
    <s v="2022/23"/>
    <s v="2022"/>
    <x v="47"/>
    <s v="League"/>
    <s v="Jan 31 2023"/>
    <x v="19"/>
    <x v="7"/>
    <n v="8"/>
    <x v="26"/>
    <n v="157"/>
    <n v="5"/>
    <s v="Mohammad Mithun"/>
    <s v="Fortune Barishal"/>
    <s v="bat first"/>
    <s v="Dhaka Dominators"/>
    <x v="26"/>
    <s v="SylhetICS"/>
    <s v="Sylhet"/>
    <n v="5"/>
    <n v="0"/>
    <s v="5 wickets"/>
    <s v="Wickets"/>
    <n v="5"/>
    <s v="Close Match"/>
    <n v="313"/>
    <s v="170+ Match"/>
    <s v="Mozahiduzzaman"/>
    <s v="Prageeth Rambukwella"/>
  </r>
  <r>
    <s v="2022/23"/>
    <s v="2022"/>
    <x v="46"/>
    <s v="League"/>
    <s v="Jan 31 2023"/>
    <x v="15"/>
    <x v="127"/>
    <n v="2"/>
    <x v="7"/>
    <n v="213"/>
    <n v="3"/>
    <s v="Johnson Charles"/>
    <s v="Comilla Victorians"/>
    <s v="field first"/>
    <s v="Comilla Victorians"/>
    <x v="6"/>
    <s v="SylhetICS"/>
    <s v="Sylhet"/>
    <n v="7"/>
    <n v="0"/>
    <s v="7 wickets"/>
    <s v="Wickets"/>
    <n v="7"/>
    <s v="Close Match"/>
    <n v="423"/>
    <s v="170+ Match"/>
    <s v="David Millns"/>
    <s v="Raveendra Wimalasiri"/>
  </r>
  <r>
    <s v="2022/23"/>
    <s v="2022"/>
    <x v="45"/>
    <s v="League"/>
    <s v="Feb 3 2023"/>
    <x v="19"/>
    <x v="47"/>
    <n v="5"/>
    <x v="15"/>
    <n v="157"/>
    <n v="8"/>
    <s v="Shakib Al Hasan"/>
    <s v="Khulna Tigers"/>
    <s v="field first"/>
    <s v="Fortune Barishal"/>
    <x v="20"/>
    <s v="SBNCS"/>
    <s v="Mirpur"/>
    <n v="0"/>
    <n v="37"/>
    <s v="37 runs"/>
    <s v="Runs"/>
    <n v="37"/>
    <s v="Normal"/>
    <n v="351"/>
    <s v="170+ Match"/>
    <s v="David Millns"/>
    <s v="Masudur Rahman"/>
  </r>
  <r>
    <s v="2022/23"/>
    <s v="2022"/>
    <x v="44"/>
    <s v="League"/>
    <s v="Feb 3 2023"/>
    <x v="26"/>
    <x v="125"/>
    <n v="8"/>
    <x v="20"/>
    <n v="133"/>
    <n v="8"/>
    <s v="Nurul Hasan"/>
    <s v="Rangpur Riders"/>
    <s v="field first"/>
    <s v="Rangpur Rangers"/>
    <x v="18"/>
    <s v="SBNCS"/>
    <s v="Mirpur"/>
    <n v="2"/>
    <n v="0"/>
    <s v="2 wickets"/>
    <s v="Wickets"/>
    <n v="2"/>
    <s v="Close Match"/>
    <n v="263"/>
    <s v="170+ Match"/>
    <s v="Gazi Sohel"/>
    <s v="Prageeth Rambukwella"/>
  </r>
  <r>
    <s v="2022/23"/>
    <s v="2022"/>
    <x v="43"/>
    <s v="League"/>
    <s v="Feb 4 2023"/>
    <x v="14"/>
    <x v="7"/>
    <n v="7"/>
    <x v="7"/>
    <n v="157"/>
    <n v="4"/>
    <s v="Mohammad Rizwan"/>
    <s v="Chattogram Challengers"/>
    <s v="bat first"/>
    <s v="Comilla Victorians"/>
    <x v="6"/>
    <s v="SBNCS"/>
    <s v="Mirpur"/>
    <n v="6"/>
    <n v="0"/>
    <s v="6 wickets"/>
    <s v="Wickets"/>
    <n v="6"/>
    <s v="Close Match"/>
    <n v="313"/>
    <s v="170+ Match"/>
    <s v="Gazi Sohel"/>
    <s v="Raveendra Wimalasiri"/>
  </r>
  <r>
    <s v="2022/23"/>
    <s v="2022"/>
    <x v="42"/>
    <s v="League"/>
    <s v="Feb 4 2023"/>
    <x v="25"/>
    <x v="41"/>
    <n v="2"/>
    <x v="20"/>
    <n v="176"/>
    <n v="2"/>
    <s v="Rony Talukdar"/>
    <s v="Rangpur Riders"/>
    <s v="field first"/>
    <s v="Rangpur Rangers"/>
    <x v="18"/>
    <s v="SBNCS"/>
    <s v="Mirpur"/>
    <n v="8"/>
    <n v="0"/>
    <s v="8 wickets"/>
    <s v="Wickets"/>
    <n v="8"/>
    <s v="Close Match"/>
    <n v="346"/>
    <s v="170+ Match"/>
    <s v="Masudur Rahman"/>
    <s v="Prageeth Rambukwella"/>
  </r>
  <r>
    <s v="2022/23"/>
    <s v="2022"/>
    <x v="41"/>
    <s v="League"/>
    <s v="Feb 7 2023"/>
    <x v="14"/>
    <x v="128"/>
    <n v="8"/>
    <x v="26"/>
    <n v="103"/>
    <n v="9"/>
    <s v="Ziaur Rahman"/>
    <s v="Chattogram Challengers"/>
    <s v="bat first"/>
    <s v="Chattogram Challengers"/>
    <x v="17"/>
    <s v="SBNCS"/>
    <s v="Mirpur"/>
    <n v="0"/>
    <n v="15"/>
    <s v="15 runs"/>
    <s v="Runs"/>
    <n v="15"/>
    <s v="Normal"/>
    <n v="221"/>
    <s v="170+ Match"/>
    <s v="David Millns"/>
    <s v="Mozahiduzzaman"/>
  </r>
  <r>
    <s v="2022/23"/>
    <s v="2022"/>
    <x v="26"/>
    <s v="League"/>
    <s v="Feb 7 2023"/>
    <x v="19"/>
    <x v="35"/>
    <n v="10"/>
    <x v="7"/>
    <n v="122"/>
    <n v="5"/>
    <s v="Mukidul Islam"/>
    <s v="Comilla Victorians"/>
    <s v="field first"/>
    <s v="Comilla Victorians"/>
    <x v="6"/>
    <s v="SBNCS"/>
    <s v="Mirpur"/>
    <n v="5"/>
    <n v="0"/>
    <s v="5 wickest"/>
    <s v="Wickets"/>
    <n v="5"/>
    <s v="Close Match"/>
    <n v="243"/>
    <s v="170+ Match"/>
    <s v="Mahfuzur Rahman"/>
    <s v="Raveendra Wimalasiri"/>
  </r>
  <r>
    <s v="2022/23"/>
    <s v="2022"/>
    <x v="24"/>
    <s v="League"/>
    <s v="Feb 8 2023"/>
    <x v="15"/>
    <x v="123"/>
    <n v="8"/>
    <x v="25"/>
    <n v="114"/>
    <n v="4"/>
    <s v="Imad Wasim"/>
    <s v="Khulna Tigers"/>
    <s v="bat first"/>
    <s v="Sylhet Strikers"/>
    <x v="25"/>
    <s v="SBNCS"/>
    <s v="Mirpur"/>
    <n v="6"/>
    <n v="0"/>
    <s v="6 wickets"/>
    <s v="Wickets"/>
    <n v="6"/>
    <s v="Close Match"/>
    <n v="227"/>
    <s v="170+ Match"/>
    <s v="David Millns"/>
    <s v="MahfuzurÂ Rahman"/>
  </r>
  <r>
    <s v="2022/23"/>
    <s v="2022"/>
    <x v="21"/>
    <s v="League"/>
    <s v="Feb 8 2023"/>
    <x v="14"/>
    <x v="73"/>
    <n v="8"/>
    <x v="20"/>
    <n v="135"/>
    <n v="3"/>
    <s v="Haris Rauf"/>
    <s v="Chattogram Challengers"/>
    <s v="bat first"/>
    <s v="Rangpur Rangers"/>
    <x v="18"/>
    <s v="SBNCS"/>
    <s v="Mirpur"/>
    <n v="7"/>
    <n v="0"/>
    <s v="7 wickets"/>
    <s v="Wickets"/>
    <n v="7"/>
    <s v="Close Match"/>
    <n v="267"/>
    <s v="170+ Match"/>
    <s v="Mozahiduzzaman"/>
    <s v="Prageeth Rambukwella"/>
  </r>
  <r>
    <s v="2022/23"/>
    <s v="2022"/>
    <x v="19"/>
    <s v="League"/>
    <s v="Feb 10 2023"/>
    <x v="8"/>
    <x v="126"/>
    <n v="5"/>
    <x v="20"/>
    <n v="107"/>
    <n v="10"/>
    <s v="Tanvir Islam"/>
    <s v="Rangpur Riders"/>
    <s v="field first"/>
    <s v="Comilla Victorians"/>
    <x v="6"/>
    <s v="SBNCS"/>
    <s v="Mirpur"/>
    <n v="0"/>
    <n v="70"/>
    <s v="70 runs"/>
    <s v="Runs"/>
    <n v="70"/>
    <s v="Normal"/>
    <n v="284"/>
    <s v="170+ Match"/>
    <s v="Mahfuzur Rahman"/>
    <s v="Prageeth Rambukwella"/>
  </r>
  <r>
    <s v="2022/23"/>
    <s v="2022"/>
    <x v="17"/>
    <s v="League"/>
    <s v="Feb 10 2023"/>
    <x v="19"/>
    <x v="101"/>
    <n v="8"/>
    <x v="15"/>
    <n v="172"/>
    <n v="4"/>
    <s v="Mahmudul Hasan Joy"/>
    <s v="Fortune Barishal"/>
    <s v="bat first"/>
    <s v="Khulna Tigers"/>
    <x v="16"/>
    <s v="SBNCS"/>
    <s v="Mirpur"/>
    <n v="6"/>
    <n v="0"/>
    <s v="6 wickets"/>
    <s v="Wickets"/>
    <n v="6"/>
    <s v="Close Match"/>
    <n v="341"/>
    <s v="170+ Match"/>
    <s v="Ali Arman"/>
    <s v="Raveendra Wimalasiri"/>
  </r>
  <r>
    <s v="2022/23"/>
    <s v="2022"/>
    <x v="31"/>
    <s v="League"/>
    <s v="Feb 12 2023"/>
    <x v="19"/>
    <x v="41"/>
    <n v="3"/>
    <x v="20"/>
    <n v="172"/>
    <n v="6"/>
    <s v="Shamim Hossain"/>
    <s v="Rangpur Riders"/>
    <s v="field first"/>
    <s v="Rangpur Rangers"/>
    <x v="18"/>
    <s v="SBNCS"/>
    <s v="Mirpur"/>
    <n v="4"/>
    <n v="0"/>
    <s v="4 wickets"/>
    <s v="Wickets"/>
    <n v="4"/>
    <s v="Close Match"/>
    <n v="342"/>
    <s v="170+ Match"/>
    <s v="Ali Arman"/>
    <s v="Prageeth Rambukwella"/>
  </r>
  <r>
    <s v="2022/23"/>
    <s v="2022"/>
    <x v="50"/>
    <s v="League"/>
    <s v="Feb 12 2023"/>
    <x v="25"/>
    <x v="25"/>
    <n v="10"/>
    <x v="7"/>
    <n v="130"/>
    <n v="6"/>
    <s v="Tanvir Islam"/>
    <s v="Comilla Victorians"/>
    <s v="field first"/>
    <s v="Comilla Victorians"/>
    <x v="6"/>
    <s v="SBNCS"/>
    <s v="Mirpur"/>
    <n v="4"/>
    <n v="0"/>
    <s v="4 wickets"/>
    <s v="Wickets"/>
    <n v="4"/>
    <s v="Close Match"/>
    <n v="255"/>
    <s v="170+ Match"/>
    <s v="David Millns"/>
    <s v="Raveendra Wimalasiri"/>
  </r>
  <r>
    <s v="2022/23"/>
    <s v="2022"/>
    <x v="51"/>
    <s v="League"/>
    <s v="Feb 14 2023"/>
    <x v="25"/>
    <x v="69"/>
    <n v="7"/>
    <x v="20"/>
    <n v="163"/>
    <n v="8"/>
    <s v="Tanzim Hasan Sakib"/>
    <s v="Rangpur Riders"/>
    <s v="field first"/>
    <s v="Sylhet Strikers"/>
    <x v="25"/>
    <s v="SBNCS"/>
    <s v="Mirpur"/>
    <n v="0"/>
    <n v="19"/>
    <s v="19 runs"/>
    <s v="Runs"/>
    <n v="19"/>
    <s v="Normal"/>
    <n v="345"/>
    <s v="170+ Match"/>
    <s v="Prageeth Rambukwella"/>
    <s v="Raveendra Wimalasiri"/>
  </r>
  <r>
    <s v="2022/23"/>
    <s v="2022"/>
    <x v="0"/>
    <s v="Final"/>
    <s v="Feb 16 2023"/>
    <x v="25"/>
    <x v="36"/>
    <n v="7"/>
    <x v="7"/>
    <n v="176"/>
    <n v="3"/>
    <s v="Johnson Charles"/>
    <s v="Comilla Victorians"/>
    <s v="field first"/>
    <s v="Comilla Victorians"/>
    <x v="6"/>
    <s v="SBNCS"/>
    <s v="Mirpur"/>
    <n v="7"/>
    <n v="0"/>
    <s v="7 wickets"/>
    <s v="Wickets"/>
    <n v="7"/>
    <s v="Close Match"/>
    <n v="351"/>
    <s v="170+ Match"/>
    <s v="David Millns"/>
    <s v="TanvirÂ Ahmed"/>
  </r>
  <r>
    <s v="2023/24"/>
    <s v="2023"/>
    <x v="2"/>
    <s v="League"/>
    <s v="Jan 19 2024"/>
    <x v="27"/>
    <x v="106"/>
    <n v="6"/>
    <x v="27"/>
    <n v="147"/>
    <n v="5"/>
    <s v="Shoriful Islam"/>
    <s v="Durdanto Dhaka"/>
    <s v="field first"/>
    <s v="Durdanto Dhaka"/>
    <x v="27"/>
    <s v="SBNCS"/>
    <s v="Mirpur"/>
    <n v="5"/>
    <n v="0"/>
    <s v="5 wickets"/>
    <s v="Wickets"/>
    <n v="5"/>
    <s v="Close Match"/>
    <n v="290"/>
    <s v="170+ Match"/>
    <s v="David Millns"/>
    <s v="MahfuzurÂ Rahman"/>
  </r>
  <r>
    <s v="2023/24"/>
    <s v="2023"/>
    <x v="1"/>
    <s v="League"/>
    <s v="Jan 19 2024"/>
    <x v="25"/>
    <x v="126"/>
    <n v="2"/>
    <x v="17"/>
    <n v="180"/>
    <n v="3"/>
    <s v="Najibullah Zadran"/>
    <s v="Chattogram Challengers"/>
    <s v="field first"/>
    <s v="Chattogram Challengers"/>
    <x v="17"/>
    <s v="SBNCS"/>
    <s v="Mirpur"/>
    <n v="7"/>
    <n v="0"/>
    <s v="7 wickets"/>
    <s v="Wickets"/>
    <n v="7"/>
    <s v="Close Match"/>
    <n v="357"/>
    <s v="170+ Match"/>
    <s v="Asif Yaqoob"/>
    <s v="Morshed AliÂ Khan"/>
  </r>
  <r>
    <s v="2023/24"/>
    <s v="2023"/>
    <x v="39"/>
    <s v="League"/>
    <s v="Jan 20 2024"/>
    <x v="7"/>
    <x v="44"/>
    <n v="9"/>
    <x v="28"/>
    <n v="138"/>
    <n v="5"/>
    <s v="Khaled Ahmed"/>
    <s v="Fortune Barishal"/>
    <s v="field first"/>
    <s v="Fortune Barishal "/>
    <x v="28"/>
    <s v="SBNCS"/>
    <s v="Mirpur"/>
    <n v="5"/>
    <n v="0"/>
    <s v="5 wickets"/>
    <s v="Wickets"/>
    <n v="5"/>
    <s v="Close Match"/>
    <n v="272"/>
    <s v="170+ Match"/>
    <s v="Ali Arman"/>
    <s v="Asif Yaqoob"/>
  </r>
  <r>
    <s v="2023/24"/>
    <s v="2023"/>
    <x v="38"/>
    <s v="League"/>
    <s v="Jan 20 2024"/>
    <x v="14"/>
    <x v="35"/>
    <n v="10"/>
    <x v="15"/>
    <n v="122"/>
    <n v="6"/>
    <s v="Nahidul Islam"/>
    <s v="Khulna Tigers"/>
    <s v="field first"/>
    <s v="Khulna Tigers"/>
    <x v="16"/>
    <s v="SBNCS"/>
    <s v="Mirpur"/>
    <n v="4"/>
    <n v="0"/>
    <s v="4 wickets"/>
    <s v="Wickets"/>
    <n v="4"/>
    <s v="Close Match"/>
    <n v="243"/>
    <s v="170+ Match"/>
    <s v="David Millns"/>
    <s v="Morshed AliÂ Khan"/>
  </r>
  <r>
    <s v="2023/24"/>
    <s v="2023"/>
    <x v="37"/>
    <s v="League"/>
    <s v="Jan 22 2024"/>
    <x v="28"/>
    <x v="68"/>
    <n v="8"/>
    <x v="17"/>
    <n v="137"/>
    <n v="4"/>
    <s v="tanzid-hasan"/>
    <s v="Chattogram Challengers"/>
    <s v="field first"/>
    <s v="Chattogram Challengers"/>
    <x v="17"/>
    <s v="SBNCS"/>
    <s v="Mirpur"/>
    <n v="6"/>
    <n v="0"/>
    <s v="6 wickets"/>
    <s v="Wickets"/>
    <n v="6"/>
    <s v="Close Match"/>
    <n v="273"/>
    <s v="170+ Match"/>
    <s v="Asif Yaqoob"/>
    <s v="Muhammad Kamruzzaman"/>
  </r>
  <r>
    <s v="2023/24"/>
    <s v="2023"/>
    <x v="36"/>
    <s v="League"/>
    <s v="Jan 22 2024"/>
    <x v="29"/>
    <x v="87"/>
    <n v="4"/>
    <x v="15"/>
    <n v="188"/>
    <n v="2"/>
    <s v="Anamul Haque"/>
    <s v="Khulna Tigers"/>
    <s v="field first"/>
    <s v="Khulna Tigers"/>
    <x v="16"/>
    <s v="SBNCS"/>
    <s v="Mirpur"/>
    <n v="8"/>
    <n v="0"/>
    <s v="8 wickets"/>
    <s v="Wickets"/>
    <n v="8"/>
    <s v="Close Match"/>
    <n v="375"/>
    <s v="170+ Match"/>
    <s v="David Millns"/>
    <s v="TanvirÂ Ahmed"/>
  </r>
  <r>
    <s v="2023/24"/>
    <s v="2023"/>
    <x v="35"/>
    <s v="League"/>
    <s v="Jan 23 2024"/>
    <x v="25"/>
    <x v="10"/>
    <n v="8"/>
    <x v="6"/>
    <n v="125"/>
    <n v="6"/>
    <s v="Azmatullah Omarzai"/>
    <s v="Rangpur Riders"/>
    <s v="field first"/>
    <s v="Rangpur Riders"/>
    <x v="9"/>
    <s v="SBNCS"/>
    <s v="Mirpur"/>
    <n v="4"/>
    <n v="0"/>
    <s v="4 wickets"/>
    <s v="Wickets"/>
    <n v="4"/>
    <s v="Close Match"/>
    <n v="245"/>
    <s v="170+ Match"/>
    <s v="David Millns"/>
    <s v="MahfuzurÂ Rahman"/>
  </r>
  <r>
    <s v="2023/24"/>
    <s v="2023"/>
    <x v="34"/>
    <s v="League"/>
    <s v="Jan 23 2024"/>
    <x v="29"/>
    <x v="12"/>
    <n v="9"/>
    <x v="7"/>
    <n v="162"/>
    <n v="6"/>
    <s v="Matthew Forde"/>
    <s v="Comilla Victorians"/>
    <s v="field first"/>
    <s v="Comilla Victorians"/>
    <x v="6"/>
    <s v="SBNCS"/>
    <s v="Mirpur"/>
    <n v="4"/>
    <n v="0"/>
    <s v="4 wickets"/>
    <s v="Wickets"/>
    <n v="4"/>
    <s v="Close Match"/>
    <n v="323"/>
    <s v="170+ Match"/>
    <s v="Asif Yaqoob"/>
    <s v="Moniruzzaman"/>
  </r>
  <r>
    <s v="2023/24"/>
    <s v="2023"/>
    <x v="33"/>
    <s v="League"/>
    <s v="Jan 26 2024"/>
    <x v="15"/>
    <x v="27"/>
    <n v="6"/>
    <x v="6"/>
    <n v="132"/>
    <n v="10"/>
    <s v="Dasun Shanaka"/>
    <s v="Rangpur Riders"/>
    <s v="field first"/>
    <s v="Khulna Tigers"/>
    <x v="16"/>
    <s v="SylhetICS"/>
    <s v="Sylhet"/>
    <n v="0"/>
    <n v="28"/>
    <s v="28 runs"/>
    <s v="Runs"/>
    <n v="28"/>
    <s v="Normal"/>
    <n v="292"/>
    <s v="170+ Match"/>
    <s v="Asif Yaqoob"/>
    <s v="Muhammad Kamruzzaman"/>
  </r>
  <r>
    <s v="2023/24"/>
    <s v="2023"/>
    <x v="32"/>
    <s v="League"/>
    <s v="Jan 26 2024"/>
    <x v="27"/>
    <x v="125"/>
    <n v="8"/>
    <x v="25"/>
    <n v="78"/>
    <n v="10"/>
    <s v="Al Islam"/>
    <s v="Sylhet Strikers"/>
    <s v="field first"/>
    <s v="Comilla Victorians"/>
    <x v="29"/>
    <s v="SylhetICS"/>
    <s v="Sylhet"/>
    <n v="0"/>
    <n v="52"/>
    <s v="52 runs"/>
    <s v="Runs"/>
    <n v="52"/>
    <s v="Normal"/>
    <n v="208"/>
    <s v="170+ Match"/>
    <s v="David Millns"/>
    <s v="MahfuzurÂ Rahman"/>
  </r>
  <r>
    <s v="2023/24"/>
    <s v="2023"/>
    <x v="30"/>
    <s v="League"/>
    <s v="Jan 27 2024"/>
    <x v="14"/>
    <x v="23"/>
    <n v="4"/>
    <x v="28"/>
    <n v="183"/>
    <n v="7"/>
    <s v="CurtisÂ Campher"/>
    <s v="Fortune Barishal"/>
    <s v="field first"/>
    <s v="Chattogram Challengers"/>
    <x v="17"/>
    <s v="SylhetICS"/>
    <s v="Sylhet"/>
    <n v="0"/>
    <n v="10"/>
    <s v="10 runs"/>
    <s v="Runs"/>
    <n v="10"/>
    <s v="Close Match"/>
    <n v="376"/>
    <s v="170+ Match"/>
    <s v="David Millns"/>
    <s v="MorshedÂ AliÂ Khan"/>
  </r>
  <r>
    <s v="2023/24"/>
    <s v="2023"/>
    <x v="28"/>
    <s v="League"/>
    <s v="Jan 27 2024"/>
    <x v="7"/>
    <x v="63"/>
    <n v="8"/>
    <x v="27"/>
    <n v="104"/>
    <n v="10"/>
    <s v="Babar Azam"/>
    <s v="Durdanto Dhaka"/>
    <s v="field first"/>
    <s v="Rangpur Riders"/>
    <x v="9"/>
    <s v="SylhetICS"/>
    <s v="Sylhet"/>
    <n v="0"/>
    <n v="79"/>
    <s v="79 runs"/>
    <s v="Runs"/>
    <n v="79"/>
    <s v="Normal"/>
    <n v="287"/>
    <s v="170+ Match"/>
    <s v="Asif Yaqoob"/>
    <s v="TanvirÂ Ahmed"/>
  </r>
  <r>
    <s v="2023/24"/>
    <s v="2023"/>
    <x v="27"/>
    <s v="League"/>
    <s v="Jan 29 2024"/>
    <x v="25"/>
    <x v="15"/>
    <n v="4"/>
    <x v="17"/>
    <n v="138"/>
    <n v="2"/>
    <s v="Bilal Khan"/>
    <s v="Sylhet Strikers"/>
    <s v="bat first"/>
    <s v="Chattogram Challengers"/>
    <x v="17"/>
    <s v="SylhetICS"/>
    <s v="Sylhet"/>
    <n v="8"/>
    <n v="0"/>
    <s v="8 wickets"/>
    <s v="Wickets"/>
    <n v="8"/>
    <s v="Close Match"/>
    <n v="275"/>
    <s v="170+ Match"/>
    <s v="David Millns"/>
    <s v="Moniruzzaman"/>
  </r>
  <r>
    <s v="2023/24"/>
    <s v="2023"/>
    <x v="25"/>
    <s v="League"/>
    <s v="Jan 29 2024"/>
    <x v="28"/>
    <x v="125"/>
    <n v="9"/>
    <x v="15"/>
    <n v="131"/>
    <n v="0"/>
    <s v="Mohammad Nawaz"/>
    <s v="Durdanto Dhaka"/>
    <s v="bat first"/>
    <s v="Khulna Tigers"/>
    <x v="16"/>
    <s v="SylhetICS"/>
    <s v="Sylhet"/>
    <n v="10"/>
    <n v="0"/>
    <s v="10wickets"/>
    <s v="Wickets"/>
    <n v="10"/>
    <s v="Close Match"/>
    <n v="261"/>
    <s v="170+ Match"/>
    <s v="Ali Arman"/>
    <s v="Asif Yaqoob"/>
  </r>
  <r>
    <s v="2023/24"/>
    <s v="2023"/>
    <x v="23"/>
    <s v="League"/>
    <s v="Jan 30 2024"/>
    <x v="7"/>
    <x v="6"/>
    <n v="5"/>
    <x v="7"/>
    <n v="157"/>
    <n v="6"/>
    <s v="Azmatullah Omarzai"/>
    <s v="Rangpur Riders"/>
    <s v="bat first"/>
    <s v="Rangpur Riders"/>
    <x v="9"/>
    <s v="SylhetICS"/>
    <s v="Sylhet"/>
    <n v="0"/>
    <n v="8"/>
    <s v="8 runs"/>
    <s v="Runs"/>
    <n v="8"/>
    <s v="Close Match"/>
    <n v="322"/>
    <s v="170+ Match"/>
    <s v="Asif Yaqoob"/>
    <s v="Muhammad Kamruzzaman"/>
  </r>
  <r>
    <s v="2023/24"/>
    <s v="2023"/>
    <x v="22"/>
    <s v="League"/>
    <s v="Jan 30 2024"/>
    <x v="29"/>
    <x v="107"/>
    <n v="5"/>
    <x v="25"/>
    <n v="137"/>
    <n v="10"/>
    <s v="Mahmudullah"/>
    <s v="Sylhet Strikers"/>
    <s v="field first"/>
    <s v="Fortune Barishal "/>
    <x v="28"/>
    <s v="SylhetICS"/>
    <s v="Sylhet"/>
    <n v="0"/>
    <n v="49"/>
    <s v="49 runs"/>
    <s v="Runs"/>
    <n v="49"/>
    <s v="Normal"/>
    <n v="323"/>
    <s v="170+ Match"/>
    <s v="David Millns"/>
    <s v="MahfuzurÂ Rahman"/>
  </r>
  <r>
    <s v="2023/24"/>
    <s v="2023"/>
    <x v="20"/>
    <s v="League"/>
    <s v="Feb 2 2024"/>
    <x v="25"/>
    <x v="39"/>
    <n v="8"/>
    <x v="27"/>
    <n v="127"/>
    <n v="9"/>
    <s v="Richard Ngarava"/>
    <s v="Durdanto Dhaka"/>
    <s v="field first"/>
    <s v="Sylhet Strikers"/>
    <x v="25"/>
    <s v="SylhetICS"/>
    <s v="Sylhet"/>
    <n v="0"/>
    <n v="15"/>
    <s v="15 runs"/>
    <s v="Runs"/>
    <n v="15"/>
    <s v="Normal"/>
    <n v="269"/>
    <s v="170+ Match"/>
    <s v="Ali Arman"/>
    <s v="Asif Yaqoob"/>
  </r>
  <r>
    <s v="2023/24"/>
    <s v="2023"/>
    <x v="18"/>
    <s v="League"/>
    <s v="Feb 2 2024"/>
    <x v="14"/>
    <x v="53"/>
    <n v="10"/>
    <x v="7"/>
    <n v="73"/>
    <n v="3"/>
    <s v="Tanvir Islam"/>
    <s v="Comilla Victorians"/>
    <s v="field first"/>
    <s v="Comilla Victorians"/>
    <x v="6"/>
    <s v="SylhetICS"/>
    <s v="Sylhet"/>
    <n v="7"/>
    <n v="0"/>
    <s v="7 wickets"/>
    <s v="Wickets"/>
    <n v="7"/>
    <s v="Close Match"/>
    <n v="145"/>
    <s v="Below 170"/>
    <s v="David Millns"/>
    <s v="TanvirÂ Ahmed"/>
  </r>
  <r>
    <s v="2023/24"/>
    <s v="2023"/>
    <x v="16"/>
    <s v="League"/>
    <s v="Feb 3 2024"/>
    <x v="15"/>
    <x v="58"/>
    <n v="8"/>
    <x v="28"/>
    <n v="156"/>
    <n v="5"/>
    <s v="Shoaib Malik"/>
    <s v="Fortune Barishal"/>
    <s v="field first"/>
    <s v="Fortune Barishal "/>
    <x v="28"/>
    <s v="SylhetICS"/>
    <s v="Sylhet"/>
    <n v="5"/>
    <n v="0"/>
    <s v="5 wickets"/>
    <s v="Wickets"/>
    <n v="5"/>
    <s v="Close Match"/>
    <n v="311"/>
    <s v="170+ Match"/>
    <s v="David Millns"/>
    <s v="Morshed AliÂ Khan"/>
  </r>
  <r>
    <s v="2023/24"/>
    <s v="2023"/>
    <x v="14"/>
    <s v="League"/>
    <s v="Feb 3 2024"/>
    <x v="7"/>
    <x v="91"/>
    <n v="7"/>
    <x v="25"/>
    <n v="85"/>
    <n v="10"/>
    <s v="Nurul Hasan"/>
    <s v="Sylhet Strikers"/>
    <s v="field first"/>
    <s v="Rangpur Riders"/>
    <x v="9"/>
    <s v="SylhetICS"/>
    <s v="Sylhet"/>
    <n v="0"/>
    <n v="77"/>
    <s v="77 runs"/>
    <s v="Runs"/>
    <n v="77"/>
    <s v="Normal"/>
    <n v="247"/>
    <s v="170+ Match"/>
    <s v="Asif Yaqoob"/>
    <s v="Moniruzzaman"/>
  </r>
  <r>
    <s v="2023/24"/>
    <s v="2023"/>
    <x v="12"/>
    <s v="League"/>
    <s v="Feb 6 2024"/>
    <x v="7"/>
    <x v="36"/>
    <n v="4"/>
    <x v="27"/>
    <n v="115"/>
    <n v="10"/>
    <s v="Shakib Al Hasan"/>
    <s v="Durdanto Dhaka"/>
    <s v="field first"/>
    <s v="Rangpur Riders"/>
    <x v="9"/>
    <s v="SBNCS"/>
    <s v="Mirpur"/>
    <n v="0"/>
    <n v="60"/>
    <s v="60 runs"/>
    <s v="Runs"/>
    <n v="60"/>
    <s v="Normal"/>
    <n v="290"/>
    <s v="170+ Match"/>
    <s v="Asif Yaqoob"/>
    <s v="MahfuzurÂ Rahman"/>
  </r>
  <r>
    <s v="2023/24"/>
    <s v="2023"/>
    <x v="11"/>
    <s v="League"/>
    <s v="Feb 6 2024"/>
    <x v="14"/>
    <x v="26"/>
    <n v="5"/>
    <x v="28"/>
    <n v="129"/>
    <n v="8"/>
    <s v="Shohidul Islam"/>
    <s v="Fortune Barishal"/>
    <s v="field first"/>
    <s v="Chattogram Challengers"/>
    <x v="17"/>
    <s v="SBNCS"/>
    <s v="Mirpur"/>
    <n v="0"/>
    <n v="16"/>
    <s v="16 runs"/>
    <s v="Runs"/>
    <n v="16"/>
    <s v="Normal"/>
    <n v="274"/>
    <s v="170+ Match"/>
    <s v="David Millns"/>
    <s v="Morshed AliÂ Khan"/>
  </r>
  <r>
    <s v="2023/24"/>
    <s v="2023"/>
    <x v="9"/>
    <s v="League"/>
    <s v="Feb 7 2024"/>
    <x v="27"/>
    <x v="11"/>
    <n v="7"/>
    <x v="15"/>
    <n v="115"/>
    <n v="10"/>
    <s v="Aamer Jamal"/>
    <s v="Comilla Victorians"/>
    <s v="bat first"/>
    <s v="Comilla Victorians"/>
    <x v="29"/>
    <s v="SBNCS"/>
    <s v="Mirpur"/>
    <n v="0"/>
    <n v="34"/>
    <s v="34 runs"/>
    <s v="Runs"/>
    <n v="34"/>
    <s v="Normal"/>
    <n v="264"/>
    <s v="170+ Match"/>
    <s v="David Millns"/>
    <s v="Moniruzzaman"/>
  </r>
  <r>
    <s v="2023/24"/>
    <s v="2023"/>
    <x v="8"/>
    <s v="League"/>
    <s v="Feb 7 2024"/>
    <x v="28"/>
    <x v="8"/>
    <n v="8"/>
    <x v="25"/>
    <n v="129"/>
    <n v="5"/>
    <s v="Benny Howell"/>
    <s v="Sylhet Strikers"/>
    <s v="field first"/>
    <s v="Sylhet Strikers"/>
    <x v="25"/>
    <s v="SBNCS"/>
    <s v="Mirpur"/>
    <n v="5"/>
    <n v="0"/>
    <s v="5 wickets"/>
    <s v="Wickets"/>
    <n v="5"/>
    <s v="Close Match"/>
    <n v="253"/>
    <s v="170+ Match"/>
    <s v="Mahfuzur Rahman"/>
    <s v="TanvirÂ Ahmed"/>
  </r>
  <r>
    <s v="2023/24"/>
    <s v="2023"/>
    <x v="7"/>
    <s v="League"/>
    <s v="Feb 9 2024"/>
    <x v="15"/>
    <x v="32"/>
    <n v="3"/>
    <x v="25"/>
    <n v="159"/>
    <n v="5"/>
    <s v="Harry Tector"/>
    <s v="Khulna Tigers"/>
    <s v="bat first"/>
    <s v="Sylhet Strikers"/>
    <x v="25"/>
    <s v="SBNCS"/>
    <s v="Mirpur"/>
    <n v="5"/>
    <n v="0"/>
    <s v="5 wickets"/>
    <s v="Wickets"/>
    <n v="5"/>
    <s v="Close Match"/>
    <n v="312"/>
    <s v="170+ Match"/>
    <s v="Asif Yaqoob"/>
    <s v="MahfuzurÂ Rahman"/>
  </r>
  <r>
    <s v="2023/24"/>
    <s v="2023"/>
    <x v="6"/>
    <s v="League"/>
    <s v="Feb 9 2024"/>
    <x v="28"/>
    <x v="36"/>
    <n v="4"/>
    <x v="7"/>
    <n v="176"/>
    <n v="6"/>
    <s v="Towhid Hridoy"/>
    <s v="Durdanto Dhaka"/>
    <s v="bat first"/>
    <s v="Comilla Victorians"/>
    <x v="6"/>
    <s v="SBNCS"/>
    <s v="Mirpur"/>
    <n v="4"/>
    <n v="0"/>
    <s v="4 wickets"/>
    <s v="Wickets"/>
    <n v="4"/>
    <s v="Close Match"/>
    <n v="351"/>
    <s v="170+ Match"/>
    <s v="David Millns"/>
    <s v="TanvirÂ Ahmed"/>
  </r>
  <r>
    <s v="2023/24"/>
    <s v="2023"/>
    <x v="5"/>
    <s v="League"/>
    <s v="Feb 10 2024"/>
    <x v="7"/>
    <x v="100"/>
    <n v="3"/>
    <x v="17"/>
    <n v="158"/>
    <n v="6"/>
    <s v="James Neesham"/>
    <s v="Rangpur Riders"/>
    <s v="bat first"/>
    <s v="Rangpur Riders"/>
    <x v="9"/>
    <s v="SBNCS"/>
    <s v="Mirpur"/>
    <n v="0"/>
    <n v="53"/>
    <s v="53 runs"/>
    <s v="Runs"/>
    <n v="53"/>
    <s v="Normal"/>
    <n v="369"/>
    <s v="170+ Match"/>
    <s v="Asif Yaqoob"/>
    <s v="Moniruzzaman"/>
  </r>
  <r>
    <s v="2023/24"/>
    <s v="2023"/>
    <x v="4"/>
    <s v="League"/>
    <s v="Feb 10 2024"/>
    <x v="29"/>
    <x v="55"/>
    <n v="4"/>
    <x v="27"/>
    <n v="149"/>
    <n v="10"/>
    <s v="Soumya Sarkar"/>
    <s v="Fortune Barishal"/>
    <s v="bat first"/>
    <s v="Fortune Barishal "/>
    <x v="28"/>
    <s v="SBNCS"/>
    <s v="Mirpur"/>
    <n v="0"/>
    <n v="40"/>
    <s v="40 runs"/>
    <s v="Runs"/>
    <n v="40"/>
    <s v="Normal"/>
    <n v="338"/>
    <s v="170+ Match"/>
    <s v="David Millns"/>
    <s v="MahfuzurÂ Rahman"/>
  </r>
  <r>
    <s v="2023/24"/>
    <s v="2023"/>
    <x v="3"/>
    <s v="League"/>
    <s v="Feb 13 2024"/>
    <x v="27"/>
    <x v="111"/>
    <n v="3"/>
    <x v="17"/>
    <n v="166"/>
    <n v="10"/>
    <s v="Will Jacks"/>
    <s v="Chattogram Challengers"/>
    <s v="field first"/>
    <s v="Comilla Victorians"/>
    <x v="29"/>
    <s v="ZACS"/>
    <s v="Chattogram"/>
    <n v="0"/>
    <n v="73"/>
    <s v="73 runs"/>
    <s v="Runs"/>
    <n v="73"/>
    <s v="Normal"/>
    <n v="405"/>
    <s v="170+ Match"/>
    <s v="Deighton Butler"/>
    <s v="MasudurÂ Rahman"/>
  </r>
  <r>
    <s v="2023/24"/>
    <s v="2023"/>
    <x v="48"/>
    <s v="League"/>
    <s v="Feb 13 2024"/>
    <x v="7"/>
    <x v="129"/>
    <n v="5"/>
    <x v="15"/>
    <n v="141"/>
    <n v="10"/>
    <s v="Imran Tahir"/>
    <s v="Rangpur Riders"/>
    <s v="bat first"/>
    <s v="Rangpur Riders"/>
    <x v="9"/>
    <s v="ZACS"/>
    <s v="Chattogram"/>
    <n v="0"/>
    <n v="78"/>
    <s v="78 runs"/>
    <s v="Runs"/>
    <n v="78"/>
    <s v="Normal"/>
    <n v="360"/>
    <s v="170+ Match"/>
    <s v="David Millns"/>
    <s v="MahfuzurÂ Rahman"/>
  </r>
  <r>
    <s v="2023/24"/>
    <s v="2023"/>
    <x v="53"/>
    <s v="League"/>
    <s v="Feb 14 2024"/>
    <x v="29"/>
    <x v="107"/>
    <n v="6"/>
    <x v="27"/>
    <n v="159"/>
    <n v="8"/>
    <s v="Tamim Iqbal"/>
    <s v="Fortune Barishal "/>
    <s v="bat first"/>
    <s v="Fortune Barishal "/>
    <x v="28"/>
    <s v="ZACS"/>
    <s v="Chattogram"/>
    <n v="0"/>
    <n v="27"/>
    <s v="27 runs"/>
    <s v="Runs"/>
    <n v="27"/>
    <s v="Normal"/>
    <n v="345"/>
    <s v="170+ Match"/>
    <s v="David Millns"/>
    <s v="Gazi Sohel"/>
  </r>
  <r>
    <s v="2023/24"/>
    <s v="2023"/>
    <x v="46"/>
    <s v="League"/>
    <s v="Feb 14 2024"/>
    <x v="15"/>
    <x v="56"/>
    <n v="8"/>
    <x v="29"/>
    <n v="168"/>
    <n v="3"/>
    <s v="Towhid Hridoy"/>
    <s v="Khulna Tigers"/>
    <s v="bat first"/>
    <s v="Comilla Victorians "/>
    <x v="29"/>
    <s v="ZACS"/>
    <s v="Chattogram"/>
    <n v="7"/>
    <n v="0"/>
    <s v="7 wickets"/>
    <s v="Wickets"/>
    <n v="7"/>
    <s v="Close Match"/>
    <n v="332"/>
    <s v="170+ Match"/>
    <s v="Deighton Butler"/>
    <s v="Tanvir Ahmed"/>
  </r>
  <r>
    <s v="2023/24"/>
    <s v="2023"/>
    <x v="45"/>
    <s v="League"/>
    <s v="Feb 16 2024"/>
    <x v="28"/>
    <x v="13"/>
    <n v="7"/>
    <x v="15"/>
    <n v="131"/>
    <n v="5"/>
    <s v="Wayne Parnell"/>
    <s v="Durdanto Dhaka"/>
    <s v="bat first"/>
    <s v="Khulna Tigers"/>
    <x v="16"/>
    <s v="ZACS"/>
    <s v="Chattogram"/>
    <n v="5"/>
    <n v="0"/>
    <s v="5 wickets"/>
    <s v="Wickets"/>
    <n v="5"/>
    <s v="Close Match"/>
    <n v="259"/>
    <s v="170+ Match"/>
    <s v="David Millns"/>
    <s v="Masudur Rahman"/>
  </r>
  <r>
    <s v="2023/24"/>
    <s v="2023"/>
    <x v="44"/>
    <s v="League"/>
    <s v="Feb 16 2024"/>
    <x v="7"/>
    <x v="87"/>
    <n v="8"/>
    <x v="17"/>
    <n v="169"/>
    <n v="6"/>
    <s v="Mahedi Hasan"/>
    <s v="Rangpur Riders"/>
    <s v="bat first"/>
    <s v="Rangpur Riders"/>
    <x v="9"/>
    <s v="ZACS"/>
    <s v="Chattogram"/>
    <n v="0"/>
    <n v="18"/>
    <s v="18 runs"/>
    <s v="Runs"/>
    <n v="18"/>
    <s v="Normal"/>
    <n v="356"/>
    <s v="170+ Match"/>
    <s v="Deighton Butler"/>
    <s v="Gazi Sohel"/>
  </r>
  <r>
    <s v="2023/24"/>
    <s v="2023"/>
    <x v="43"/>
    <s v="League"/>
    <s v="Feb 17 2024"/>
    <x v="19"/>
    <x v="63"/>
    <n v="6"/>
    <x v="25"/>
    <n v="165"/>
    <n v="8"/>
    <s v="Kyle Mayers"/>
    <s v="Fortune Barishal "/>
    <s v="bat first"/>
    <s v="Fortune Barishal "/>
    <x v="20"/>
    <s v="ZACS"/>
    <s v="Chattogram"/>
    <n v="0"/>
    <n v="18"/>
    <s v="18 runs"/>
    <s v="Runs"/>
    <n v="18"/>
    <s v="Normal"/>
    <n v="348"/>
    <s v="170+ Match"/>
    <s v="Deighton Butler"/>
    <s v="Tanvir Ahmed"/>
  </r>
  <r>
    <s v="2023/24"/>
    <s v="2023"/>
    <x v="42"/>
    <s v="League"/>
    <s v="Feb 17 2024"/>
    <x v="14"/>
    <x v="37"/>
    <n v="6"/>
    <x v="27"/>
    <n v="149"/>
    <n v="5"/>
    <s v="Tanzid Hasan"/>
    <s v="Chattogram Challengers"/>
    <s v="bat first"/>
    <s v="Chattogram Challengers"/>
    <x v="17"/>
    <s v="ZACS"/>
    <s v="Chattogram"/>
    <n v="0"/>
    <n v="10"/>
    <s v="10 runs"/>
    <s v="Runs"/>
    <n v="10"/>
    <s v="Close Match"/>
    <n v="308"/>
    <s v="170+ Match"/>
    <s v="David Millns"/>
    <s v="MahfuzurÂ Rahman"/>
  </r>
  <r>
    <s v="2023/24"/>
    <s v="2023"/>
    <x v="41"/>
    <s v="League"/>
    <s v="Feb 19 2024"/>
    <x v="25"/>
    <x v="126"/>
    <n v="5"/>
    <x v="29"/>
    <n v="165"/>
    <n v="6"/>
    <s v="Benny Howell"/>
    <s v="Sylhet Strikers"/>
    <s v="bat first"/>
    <s v="Sylhet Strikers"/>
    <x v="25"/>
    <s v="ZACS"/>
    <s v="Chattogram"/>
    <n v="0"/>
    <n v="12"/>
    <s v="12 runs"/>
    <s v="Runs"/>
    <n v="12"/>
    <s v="Normal"/>
    <n v="342"/>
    <s v="170+ Match"/>
    <s v="Deighton Butler"/>
    <s v="Gazi Sohel"/>
  </r>
  <r>
    <s v="2023/24"/>
    <s v="2023"/>
    <x v="26"/>
    <s v="League"/>
    <s v="Feb 19 2024"/>
    <x v="29"/>
    <x v="93"/>
    <n v="9"/>
    <x v="6"/>
    <n v="155"/>
    <n v="9"/>
    <s v="Abu Hider"/>
    <s v="Fortune Barishal "/>
    <s v="bat first"/>
    <s v="Rangpur Riders"/>
    <x v="9"/>
    <s v="ZACS"/>
    <s v="Chattogram"/>
    <n v="1"/>
    <n v="0"/>
    <s v="1 wickets"/>
    <s v="Wickets"/>
    <n v="1"/>
    <s v="Close Match"/>
    <n v="306"/>
    <s v="170+ Match"/>
    <s v="David Millns"/>
    <s v="Tanvir Ahmed"/>
  </r>
  <r>
    <s v="2023/24"/>
    <s v="2023"/>
    <x v="24"/>
    <s v="League"/>
    <s v="Feb 20 2024"/>
    <x v="14"/>
    <x v="17"/>
    <n v="4"/>
    <x v="15"/>
    <n v="127"/>
    <n v="10"/>
    <s v="Tanzid Hasan"/>
    <s v="Chattogram Challengers"/>
    <s v="bat first"/>
    <s v="Chattogram Challengers"/>
    <x v="17"/>
    <s v="ZACS"/>
    <s v="Chattogram"/>
    <n v="0"/>
    <n v="65"/>
    <s v="65 runs"/>
    <s v="Runs"/>
    <n v="65"/>
    <s v="Normal"/>
    <n v="319"/>
    <s v="170+ Match"/>
    <s v="David Millns"/>
    <s v="Morshed Ali Khan"/>
  </r>
  <r>
    <s v="2023/24"/>
    <s v="2023"/>
    <x v="21"/>
    <s v="League"/>
    <s v="Feb 20 2024"/>
    <x v="7"/>
    <x v="4"/>
    <n v="10"/>
    <x v="29"/>
    <n v="151"/>
    <n v="4"/>
    <s v="Andre Russell"/>
    <s v="Comilla Victorians "/>
    <s v="field first"/>
    <s v="Comilla Victorians"/>
    <x v="29"/>
    <s v="ZACS"/>
    <s v="Chattogram"/>
    <n v="6"/>
    <n v="0"/>
    <s v="6 wickets"/>
    <s v="Wickets"/>
    <n v="6"/>
    <s v="Close Match"/>
    <n v="301"/>
    <s v="170+ Match"/>
    <s v="Deighton Butler"/>
    <s v="Masudur Rahman"/>
  </r>
  <r>
    <s v="2023/24"/>
    <s v="2023"/>
    <x v="19"/>
    <s v="League"/>
    <s v="Feb 23 2024"/>
    <x v="8"/>
    <x v="0"/>
    <n v="8"/>
    <x v="28"/>
    <n v="141"/>
    <n v="4"/>
    <s v="Tamim Iqbal"/>
    <s v="Fortune Barishal "/>
    <s v="field first"/>
    <s v="Fortune Barishal "/>
    <x v="28"/>
    <s v="SBNCS"/>
    <s v="Mirpur"/>
    <n v="6"/>
    <n v="0"/>
    <s v="6 wickets"/>
    <s v="Wickets"/>
    <n v="6"/>
    <s v="Close Match"/>
    <n v="281"/>
    <s v="170+ Match"/>
    <s v="Deighton Butler"/>
    <s v="Gazi Sohel"/>
  </r>
  <r>
    <s v="2023/24"/>
    <s v="2023"/>
    <x v="17"/>
    <s v="League"/>
    <s v="Feb 23 2024"/>
    <x v="15"/>
    <x v="13"/>
    <n v="8"/>
    <x v="25"/>
    <n v="130"/>
    <n v="4"/>
    <s v="Benny Howell"/>
    <s v="Sylhet Strikers"/>
    <s v="field first"/>
    <s v="Sylhet Strikers"/>
    <x v="25"/>
    <s v="SBNCS"/>
    <s v="Mirpur"/>
    <n v="6"/>
    <n v="0"/>
    <s v="6 wickets"/>
    <s v="Wickets"/>
    <n v="6"/>
    <s v="Close Match"/>
    <n v="258"/>
    <s v="170+ Match"/>
    <s v="David Millns"/>
    <s v="Tanvir Ahmed"/>
  </r>
  <r>
    <s v="2023/24"/>
    <s v="2023"/>
    <x v="31"/>
    <s v="League"/>
    <s v="Feb 26 2024"/>
    <x v="14"/>
    <x v="29"/>
    <n v="9"/>
    <x v="28"/>
    <n v="136"/>
    <n v="3"/>
    <s v="Kyle Mayers"/>
    <s v="Fortune Barishal"/>
    <s v="field first"/>
    <s v="Fortune Barishal"/>
    <x v="28"/>
    <s v="SBNCS"/>
    <s v="Mirpur"/>
    <n v="7"/>
    <n v="0"/>
    <s v="7 wickets"/>
    <s v="Wickets"/>
    <n v="7"/>
    <s v="Close Match"/>
    <n v="271"/>
    <s v="170+ Match"/>
    <s v="David Millns"/>
    <s v="Masudur Rahman"/>
  </r>
  <r>
    <s v="2023/24"/>
    <s v="2023"/>
    <x v="54"/>
    <s v="League"/>
    <s v="Feb 26 2024"/>
    <x v="7"/>
    <x v="92"/>
    <n v="6"/>
    <x v="7"/>
    <n v="186"/>
    <n v="4"/>
    <s v="Litton Das"/>
    <s v="Comilla Victorians"/>
    <s v="field first"/>
    <s v="Comilla Victorians"/>
    <x v="6"/>
    <s v="SBNCS"/>
    <s v="Mirpur"/>
    <n v="6"/>
    <n v="0"/>
    <s v="6 wickets"/>
    <s v="Wickets"/>
    <n v="6"/>
    <s v="Close Match"/>
    <n v="371"/>
    <s v="170+ Match"/>
    <s v="Deighton Butler"/>
    <s v="Sharfuddoula"/>
  </r>
  <r>
    <s v="2023/24"/>
    <s v="2023"/>
    <x v="55"/>
    <s v="League"/>
    <s v="Feb 28 2024"/>
    <x v="7"/>
    <x v="11"/>
    <n v="7"/>
    <x v="28"/>
    <n v="152"/>
    <n v="4"/>
    <s v="Mushfiqur Rahim"/>
    <s v="Fortune Barishal"/>
    <s v="field first"/>
    <s v="Fortune Barishal"/>
    <x v="28"/>
    <s v="SBNCS"/>
    <s v="Mirpur"/>
    <n v="6"/>
    <n v="0"/>
    <s v="6 wickets"/>
    <s v="Wickets"/>
    <n v="6"/>
    <s v="Close Match"/>
    <n v="301"/>
    <s v="170+ Match"/>
    <s v="Deighton Butler"/>
    <s v="GaziÂ Sohel"/>
  </r>
  <r>
    <s v="2023/24"/>
    <s v="2023"/>
    <x v="0"/>
    <s v="Final"/>
    <s v="Mar 01 2024"/>
    <x v="27"/>
    <x v="43"/>
    <n v="6"/>
    <x v="28"/>
    <n v="157"/>
    <n v="4"/>
    <s v="Kyle Mayers"/>
    <s v="Fortune Barishal"/>
    <s v="field first"/>
    <s v="Fortune Barishal"/>
    <x v="28"/>
    <s v="SBNCS"/>
    <s v="Mirpur"/>
    <n v="6"/>
    <n v="0"/>
    <s v="6 wickets"/>
    <s v="Wickets"/>
    <n v="6"/>
    <s v="Close Match"/>
    <n v="311"/>
    <s v="170+ Match"/>
    <s v="David Millns"/>
    <s v="Sharfuddoula"/>
  </r>
  <r>
    <s v="2024/25"/>
    <s v="2024"/>
    <x v="2"/>
    <s v="League"/>
    <s v="Dec 30 2024"/>
    <x v="30"/>
    <x v="16"/>
    <n v="3"/>
    <x v="24"/>
    <n v="200"/>
    <n v="6"/>
    <s v="Mahmudullah"/>
    <s v="Fortune Barishal"/>
    <s v="field first"/>
    <s v="Fortune Barishal"/>
    <x v="20"/>
    <s v="SBNCS"/>
    <s v="Mirpur"/>
    <n v="4"/>
    <n v="0"/>
    <s v="4 wickets"/>
    <s v="Wickets"/>
    <n v="4"/>
    <s v="Close Match"/>
    <n v="397"/>
    <s v="170+ Match"/>
    <s v="Asif Yaqoob"/>
    <s v="Masudur Rahman"/>
  </r>
  <r>
    <s v="2024/25"/>
    <s v="2024"/>
    <x v="1"/>
    <s v="League"/>
    <s v="Dec 30 2024"/>
    <x v="7"/>
    <x v="65"/>
    <n v="6"/>
    <x v="30"/>
    <n v="151"/>
    <n v="9"/>
    <s v="Khushdil Shah"/>
    <s v="Dhaka Capital"/>
    <s v="field first"/>
    <s v="Rangpur Riders"/>
    <x v="9"/>
    <s v="SBNCS"/>
    <s v="Mirpur"/>
    <n v="0"/>
    <n v="40"/>
    <s v="40 runs"/>
    <s v="Runs"/>
    <n v="40"/>
    <s v="Normal"/>
    <n v="347"/>
    <s v="170+ Match"/>
    <s v="Mahfuzur Rahman"/>
    <s v="RR Wimalasiri"/>
  </r>
  <r>
    <s v="2024/25"/>
    <s v="2024"/>
    <x v="39"/>
    <s v="League"/>
    <s v="Dec 31 2024"/>
    <x v="15"/>
    <x v="130"/>
    <n v="4"/>
    <x v="4"/>
    <n v="166"/>
    <n v="10"/>
    <s v="Mahidul Islam Ankon"/>
    <s v="Chittagong Kings"/>
    <s v="field first"/>
    <s v="Khulna Tigers"/>
    <x v="16"/>
    <s v="SBNCS"/>
    <s v="Mirpur"/>
    <n v="0"/>
    <n v="37"/>
    <s v="37 runs"/>
    <s v="Runs"/>
    <n v="37"/>
    <s v="Normal"/>
    <n v="369"/>
    <s v="170+ Match"/>
    <s v="Tanvir Ahmed"/>
    <s v="RR Wimalasiri"/>
  </r>
  <r>
    <s v="2024/25"/>
    <s v="2024"/>
    <x v="38"/>
    <s v="League"/>
    <s v="Dec 31 2024"/>
    <x v="7"/>
    <x v="58"/>
    <n v="6"/>
    <x v="25"/>
    <n v="121"/>
    <n v="9"/>
    <s v="Nahid Rana"/>
    <s v="Rangpur Riders"/>
    <s v="bat first"/>
    <s v="Rangpur Riders"/>
    <x v="9"/>
    <s v="SBNCS"/>
    <s v="Mirpur"/>
    <n v="0"/>
    <n v="34"/>
    <s v="34 runs"/>
    <s v="Runs"/>
    <n v="34"/>
    <s v="Normal"/>
    <n v="276"/>
    <s v="170+ Match"/>
    <s v="Asif Yaqoob"/>
    <s v="Gazi Sohel"/>
  </r>
  <r>
    <s v="2024/25"/>
    <s v="2024"/>
    <x v="37"/>
    <s v="League"/>
    <s v="Jan 2 2025"/>
    <x v="31"/>
    <x v="48"/>
    <n v="9"/>
    <x v="31"/>
    <n v="179"/>
    <n v="3"/>
    <s v="Taskin Ahmed"/>
    <s v="Dhaka Capital"/>
    <s v="bat first"/>
    <s v="Durbar Rajshahi"/>
    <x v="30"/>
    <s v="SBNCS"/>
    <s v="Mirpur"/>
    <n v="7"/>
    <n v="0"/>
    <s v="7 wickets"/>
    <s v="Wickets"/>
    <n v="7"/>
    <s v="Close Match"/>
    <n v="353"/>
    <s v="170+ Match"/>
    <s v="Mahfuzur Rahman"/>
    <s v="RR Wimalasiri"/>
  </r>
  <r>
    <s v="2024/25"/>
    <s v="2024"/>
    <x v="36"/>
    <s v="League"/>
    <s v="Jan 2 2025"/>
    <x v="19"/>
    <x v="8"/>
    <n v="10"/>
    <x v="6"/>
    <n v="128"/>
    <n v="2"/>
    <s v="Saif Hassan"/>
    <s v="Rangpur Riders"/>
    <s v="field first"/>
    <s v="Rangpur Riders"/>
    <x v="9"/>
    <s v="SBNCS"/>
    <s v="Mirpur"/>
    <n v="8"/>
    <n v="0"/>
    <s v="8 wickets"/>
    <s v="Wickets"/>
    <n v="8"/>
    <s v="Close Match"/>
    <n v="252"/>
    <s v="170+ Match"/>
    <s v="Mahfuzur Rahman"/>
    <s v="Morshed Ali Khan"/>
  </r>
  <r>
    <s v="2024/25"/>
    <s v="2024"/>
    <x v="35"/>
    <s v="League"/>
    <s v="Jan 3 2025"/>
    <x v="3"/>
    <x v="129"/>
    <n v="5"/>
    <x v="31"/>
    <n v="114"/>
    <n v="10"/>
    <s v="Usman Khan"/>
    <s v="Durbar Rajshahi"/>
    <s v="field first"/>
    <s v="Chittagong Kings"/>
    <x v="4"/>
    <s v="SBNCS"/>
    <s v="Mirpur"/>
    <n v="0"/>
    <n v="105"/>
    <s v="105 runs"/>
    <s v="Runs"/>
    <n v="105"/>
    <s v="Normal"/>
    <n v="333"/>
    <s v="170+ Match"/>
    <s v="Muhammad Kamruzzaman"/>
    <s v="Asif Yaqoob"/>
  </r>
  <r>
    <s v="2024/25"/>
    <s v="2024"/>
    <x v="34"/>
    <s v="League"/>
    <s v="Jan 3 2025"/>
    <x v="15"/>
    <x v="99"/>
    <n v="8"/>
    <x v="30"/>
    <n v="153"/>
    <n v="6"/>
    <s v="Mehidy Hasan Miraz"/>
    <s v="Dhaka Capital"/>
    <s v="field first"/>
    <s v="Khulna Tigers"/>
    <x v="16"/>
    <s v="SBNCS"/>
    <s v="Mirpur"/>
    <n v="0"/>
    <n v="20"/>
    <s v="20 runs"/>
    <s v="Runs"/>
    <n v="20"/>
    <s v="Normal"/>
    <n v="326"/>
    <s v="170+ Match"/>
    <s v="RR Wimalasiri"/>
    <s v="Gazi Sohel"/>
  </r>
  <r>
    <s v="2024/25"/>
    <s v="2024"/>
    <x v="33"/>
    <s v="League"/>
    <s v="Jan 6 2025"/>
    <x v="25"/>
    <x v="57"/>
    <n v="4"/>
    <x v="6"/>
    <n v="210"/>
    <n v="2"/>
    <s v="Alex Hales"/>
    <s v="Rangpur Riders"/>
    <s v="field first"/>
    <s v="Rangpur Riders"/>
    <x v="9"/>
    <s v="SylhetICS"/>
    <s v="SylhetI"/>
    <n v="8"/>
    <n v="0"/>
    <s v="8 wickets"/>
    <s v="Wickets"/>
    <n v="8"/>
    <s v="Close Match"/>
    <n v="415"/>
    <s v="170+ Match"/>
    <s v="Asif Yaqoob"/>
    <s v="Moniruzzaman"/>
  </r>
  <r>
    <s v="2024/25"/>
    <s v="2024"/>
    <x v="32"/>
    <s v="League"/>
    <s v="Jan 6 2025"/>
    <x v="30"/>
    <x v="18"/>
    <n v="4"/>
    <x v="24"/>
    <n v="169"/>
    <n v="3"/>
    <s v="Tamim Iqbal"/>
    <s v="Fortune Barishal"/>
    <s v="field first"/>
    <s v="Fortune Barishal"/>
    <x v="20"/>
    <s v="SylhetICS"/>
    <s v="SylhetI"/>
    <n v="7"/>
    <n v="0"/>
    <s v="7 wickets"/>
    <s v="Wickets"/>
    <n v="7"/>
    <s v="Close Match"/>
    <n v="337"/>
    <s v="170+ Match"/>
    <s v="RR Wimalasiri"/>
    <s v="Mahfuzur Rahman"/>
  </r>
  <r>
    <s v="2024/25"/>
    <s v="2024"/>
    <x v="30"/>
    <s v="League"/>
    <s v="Jan 7 2025"/>
    <x v="31"/>
    <x v="42"/>
    <n v="10"/>
    <x v="6"/>
    <n v="113"/>
    <n v="3"/>
    <s v="Nahid Rana"/>
    <s v="Rangpur Riders"/>
    <s v="field first"/>
    <s v="Rangpur Riders"/>
    <x v="9"/>
    <s v="SylhetICS"/>
    <s v="SylhetI"/>
    <n v="7"/>
    <n v="0"/>
    <s v="7 wickets"/>
    <s v="Wickets"/>
    <n v="7"/>
    <s v="Close Match"/>
    <n v="224"/>
    <s v="170+ Match"/>
    <s v="RR Wimalasiri"/>
    <s v="Tanvir Ahmed"/>
  </r>
  <r>
    <s v="2024/25"/>
    <s v="2024"/>
    <x v="28"/>
    <s v="League"/>
    <s v="Jan 7 2025"/>
    <x v="25"/>
    <x v="25"/>
    <n v="10"/>
    <x v="24"/>
    <n v="126"/>
    <n v="3"/>
    <s v="Jahandad Khan"/>
    <s v="Fortune Barishal"/>
    <s v="field first"/>
    <s v="Fortune Barishal"/>
    <x v="20"/>
    <s v="SylhetICS"/>
    <s v="SylhetI"/>
    <n v="7"/>
    <n v="0"/>
    <s v="7 wickets"/>
    <s v="Wickets"/>
    <n v="7"/>
    <s v="Close Match"/>
    <n v="251"/>
    <s v="170+ Match"/>
    <s v="Asif Yaqoob"/>
    <s v="Morshed Ali Khan"/>
  </r>
  <r>
    <s v="2024/25"/>
    <s v="2024"/>
    <x v="27"/>
    <s v="League"/>
    <s v="Jan 9 2025"/>
    <x v="19"/>
    <x v="16"/>
    <n v="5"/>
    <x v="6"/>
    <n v="202"/>
    <n v="7"/>
    <s v="Nurul Hasan"/>
    <s v="Rangpur Riders"/>
    <s v="field first"/>
    <s v="Rangpur Riders"/>
    <x v="9"/>
    <s v="SylhetICS"/>
    <s v="SylhetI"/>
    <n v="3"/>
    <n v="0"/>
    <s v="3 wickets"/>
    <s v="Wickets"/>
    <n v="3"/>
    <s v="Close Match"/>
    <n v="399"/>
    <s v="170+ Match"/>
    <s v="Ali Arman"/>
    <s v="Asif Yaqoob"/>
  </r>
  <r>
    <s v="2024/25"/>
    <s v="2024"/>
    <x v="25"/>
    <s v="League"/>
    <s v="Jan 9 2025"/>
    <x v="31"/>
    <x v="126"/>
    <n v="5"/>
    <x v="4"/>
    <n v="180"/>
    <n v="3"/>
    <s v="Khaled Ahmed"/>
    <s v="Chittagong Kings"/>
    <s v="field first"/>
    <s v="Chittagong Kings"/>
    <x v="4"/>
    <s v="SylhetICS"/>
    <s v="SylhetI"/>
    <n v="7"/>
    <n v="0"/>
    <s v="7 wickets"/>
    <s v="Wickets"/>
    <n v="7"/>
    <s v="Close Match"/>
    <n v="357"/>
    <s v="170+ Match"/>
    <s v="Gazi Sohel"/>
    <s v="Morshed Ali Khan"/>
  </r>
  <r>
    <s v="2024/25"/>
    <s v="2024"/>
    <x v="23"/>
    <s v="League"/>
    <s v="Jan 10 2025"/>
    <x v="30"/>
    <x v="124"/>
    <n v="5"/>
    <x v="15"/>
    <n v="150"/>
    <n v="10"/>
    <s v="Ryan Burl"/>
    <s v="Khulna Tigers"/>
    <s v="field first"/>
    <s v="Durbar Rajshahi"/>
    <x v="30"/>
    <s v="SylhetICS"/>
    <s v="SylhetI"/>
    <n v="0"/>
    <n v="28"/>
    <s v="28 runs"/>
    <s v="Runs"/>
    <n v="28"/>
    <s v="Normal"/>
    <n v="328"/>
    <s v="170+ Match"/>
    <s v="RR Wimalasiri"/>
    <s v="Tanvir Ahmed"/>
  </r>
  <r>
    <s v="2024/25"/>
    <s v="2024"/>
    <x v="22"/>
    <s v="League"/>
    <s v="Jan 10 2025"/>
    <x v="31"/>
    <x v="23"/>
    <n v="6"/>
    <x v="25"/>
    <n v="195"/>
    <n v="7"/>
    <s v="Zakir Hasan"/>
    <s v="Dhaka Capital"/>
    <s v="bat first"/>
    <s v="Sylhet Strikers"/>
    <x v="25"/>
    <s v="SylhetICS"/>
    <s v="SylhetI"/>
    <n v="3"/>
    <n v="0"/>
    <s v="3 wickets"/>
    <s v="Wickets"/>
    <n v="3"/>
    <s v="Close Match"/>
    <n v="388"/>
    <s v="170+ Match"/>
    <s v="Asif Yaqoob"/>
    <s v="Masudur Rahman"/>
  </r>
  <r>
    <s v="2024/25"/>
    <s v="2024"/>
    <x v="20"/>
    <s v="League"/>
    <s v="Jan 12 2025"/>
    <x v="25"/>
    <x v="69"/>
    <n v="5"/>
    <x v="15"/>
    <n v="174"/>
    <n v="9"/>
    <s v="Zakir Hasan"/>
    <s v="Khulna Tigers"/>
    <s v="field first"/>
    <s v="Sylhet Strikers"/>
    <x v="25"/>
    <s v="SylhetICS"/>
    <s v="SylhetI"/>
    <n v="0"/>
    <n v="8"/>
    <s v="8 runs"/>
    <s v="Runs"/>
    <n v="8"/>
    <s v="Close Match"/>
    <n v="356"/>
    <s v="170+ Match"/>
    <s v="RR Wimalasiri"/>
    <s v="Gazi Sohel"/>
  </r>
  <r>
    <s v="2024/25"/>
    <s v="2024"/>
    <x v="18"/>
    <s v="League"/>
    <s v="Jan 12 2025"/>
    <x v="31"/>
    <x v="131"/>
    <n v="1"/>
    <x v="31"/>
    <n v="105"/>
    <n v="10"/>
    <s v="Litton Das"/>
    <s v="Durbar Rajshahi"/>
    <s v="field first"/>
    <s v="Dhaka Capital"/>
    <x v="31"/>
    <s v="SylhetICS"/>
    <s v="SylhetI"/>
    <n v="0"/>
    <n v="149"/>
    <s v="149 runs"/>
    <s v="Runs"/>
    <n v="149"/>
    <s v="Normal"/>
    <n v="359"/>
    <s v="170+ Match"/>
    <s v="Asif Yaqoob"/>
    <s v="Morshed Ali Khan"/>
  </r>
  <r>
    <s v="2024/25"/>
    <s v="2024"/>
    <x v="16"/>
    <s v="League"/>
    <s v="Jan 13 2025"/>
    <x v="3"/>
    <x v="130"/>
    <n v="6"/>
    <x v="25"/>
    <n v="173"/>
    <n v="8"/>
    <s v="Graham Clark"/>
    <s v="Sylhet Strikers"/>
    <s v="field first"/>
    <s v="Chittagong Kings"/>
    <x v="4"/>
    <s v="SylhetICS"/>
    <s v="SylhetI"/>
    <n v="0"/>
    <n v="30"/>
    <s v="30 runs"/>
    <s v="Runs"/>
    <n v="30"/>
    <s v="Normal"/>
    <n v="376"/>
    <s v="170+ Match"/>
    <s v="Ali Arman"/>
    <s v="Asif Yaqoob"/>
  </r>
  <r>
    <s v="2024/25"/>
    <s v="2024"/>
    <x v="14"/>
    <s v="League"/>
    <s v="Jan 13 2025"/>
    <x v="7"/>
    <x v="107"/>
    <n v="5"/>
    <x v="15"/>
    <n v="178"/>
    <n v="9"/>
    <s v="Akif Javed"/>
    <s v="Rangpur Riders"/>
    <s v="bat first"/>
    <s v="Rangpur Riders"/>
    <x v="9"/>
    <s v="SylhetICS"/>
    <s v="SylhetI"/>
    <n v="0"/>
    <n v="8"/>
    <s v="8 runs"/>
    <s v="Runs"/>
    <n v="8"/>
    <s v="Close Match"/>
    <n v="364"/>
    <s v="170+ Match"/>
    <s v="Masudur Rahman"/>
    <s v="RR Wimalasiri"/>
  </r>
  <r>
    <s v="2024/25"/>
    <s v="2024"/>
    <x v="12"/>
    <s v="League"/>
    <s v="Jan 16 2025"/>
    <x v="31"/>
    <x v="19"/>
    <n v="10"/>
    <x v="24"/>
    <n v="145"/>
    <n v="10"/>
    <s v="Tamim Iqbal"/>
    <s v="Dhaka Capital"/>
    <s v="bat first"/>
    <s v="Fortune Barishal"/>
    <x v="20"/>
    <s v="ZACS"/>
    <s v="Chattogram"/>
    <n v="8"/>
    <n v="0"/>
    <s v="8 wickets"/>
    <s v="Wickets"/>
    <n v="8"/>
    <s v="Close Match"/>
    <n v="284"/>
    <s v="170+ Match"/>
    <s v="Moniruzzaman"/>
    <s v="Asif Yaqoob"/>
  </r>
  <r>
    <s v="2024/25"/>
    <s v="2024"/>
    <x v="11"/>
    <s v="League"/>
    <s v="Jan 16 2025"/>
    <x v="3"/>
    <x v="132"/>
    <n v="7"/>
    <x v="15"/>
    <n v="155"/>
    <n v="9"/>
    <s v="Graham Clark"/>
    <s v="Khulna Tigers"/>
    <s v="field first"/>
    <s v="Chittagong Kings"/>
    <x v="4"/>
    <s v="ZACS"/>
    <s v="Chattogram"/>
    <n v="0"/>
    <n v="45"/>
    <s v="45 runs"/>
    <s v="Runs"/>
    <n v="45"/>
    <s v="Normal"/>
    <n v="355"/>
    <s v="170+ Match"/>
    <s v="Sharfuddoula"/>
    <s v="Mahfuzur Rahman"/>
  </r>
  <r>
    <s v="2024/25"/>
    <s v="2024"/>
    <x v="9"/>
    <s v="League"/>
    <s v="Jan 17 2025"/>
    <x v="30"/>
    <x v="2"/>
    <n v="7"/>
    <x v="25"/>
    <n v="119"/>
    <n v="10"/>
    <s v="Sunzamul Ialam"/>
    <s v="Durbar Rajshahi"/>
    <s v="bat first"/>
    <s v="Durbar Rajshahi"/>
    <x v="30"/>
    <s v="ZACS"/>
    <s v="Chattogram"/>
    <n v="0"/>
    <n v="65"/>
    <s v="65 runs"/>
    <s v="Runs"/>
    <n v="65"/>
    <s v="Normal"/>
    <n v="303"/>
    <s v="170+ Match"/>
    <s v="Ali Arman"/>
    <s v="RR Wimalasiri"/>
  </r>
  <r>
    <s v="2024/25"/>
    <s v="2024"/>
    <x v="8"/>
    <s v="League"/>
    <s v="Jan 17 2025"/>
    <x v="7"/>
    <x v="56"/>
    <n v="7"/>
    <x v="4"/>
    <n v="131"/>
    <n v="8"/>
    <s v="Khushdil Shah"/>
    <s v="Chittagong Kings"/>
    <s v="field first"/>
    <s v="Rangpur Riders"/>
    <x v="9"/>
    <s v="ZACS"/>
    <s v="Chattogram"/>
    <n v="0"/>
    <n v="33"/>
    <s v="33 runs"/>
    <s v="Runs"/>
    <n v="33"/>
    <s v="Normal"/>
    <n v="295"/>
    <s v="170+ Match"/>
    <s v="Masudur Rahman"/>
    <s v="Sharfuddoula"/>
  </r>
  <r>
    <s v="2024/25"/>
    <s v="2024"/>
    <x v="7"/>
    <s v="League"/>
    <s v="Jan 19 2025"/>
    <x v="3"/>
    <x v="35"/>
    <n v="8"/>
    <x v="24"/>
    <n v="122"/>
    <n v="4"/>
    <s v="Dawid Malan"/>
    <s v="Fortune Barishal"/>
    <s v="field first"/>
    <s v="Fortune Barishal"/>
    <x v="20"/>
    <s v="ZACS"/>
    <s v="Chattogram"/>
    <n v="6"/>
    <n v="0"/>
    <s v="6 wickets"/>
    <s v="Wickets"/>
    <n v="6"/>
    <s v="Close Match"/>
    <n v="243"/>
    <s v="170+ Match"/>
    <s v="Sharfuddoula"/>
    <s v="Tanvir Ahmed"/>
  </r>
  <r>
    <s v="2024/25"/>
    <s v="2024"/>
    <x v="6"/>
    <s v="League"/>
    <s v="Jan 19 2025"/>
    <x v="15"/>
    <x v="133"/>
    <n v="4"/>
    <x v="31"/>
    <n v="202"/>
    <n v="4"/>
    <s v="Hasan Mahmud"/>
    <s v="Khulna Tigers"/>
    <s v="bat first"/>
    <s v="Khulna Tigers"/>
    <x v="16"/>
    <s v="ZACS"/>
    <s v="Chattogram"/>
    <n v="0"/>
    <n v="7"/>
    <s v="7 runs"/>
    <s v="Runs"/>
    <n v="7"/>
    <s v="Close Match"/>
    <n v="411"/>
    <s v="170+ Match"/>
    <s v="Asif Yaqoob"/>
    <s v="Gazi Sohel"/>
  </r>
  <r>
    <s v="2024/25"/>
    <s v="2024"/>
    <x v="5"/>
    <s v="League"/>
    <s v="Jan 20 2025"/>
    <x v="31"/>
    <x v="65"/>
    <n v="6"/>
    <x v="25"/>
    <n v="190"/>
    <n v="7"/>
    <s v="Thisara Perera"/>
    <s v="Dhaka Capital"/>
    <s v="bat first"/>
    <s v="Dhaka Capital"/>
    <x v="31"/>
    <s v="ZACS"/>
    <s v="Chattogram"/>
    <n v="0"/>
    <n v="6"/>
    <s v="6 runs"/>
    <s v="Runs"/>
    <n v="6"/>
    <s v="Close Match"/>
    <n v="386"/>
    <s v="170+ Match"/>
    <s v="Muhammad Kamruzzaman"/>
    <s v="Morshed Ali Khan"/>
  </r>
  <r>
    <s v="2024/25"/>
    <s v="2024"/>
    <x v="4"/>
    <s v="League"/>
    <s v="Jan 20 2025"/>
    <x v="3"/>
    <x v="1"/>
    <n v="8"/>
    <x v="31"/>
    <n v="80"/>
    <n v="10"/>
    <s v="Naeem Islam"/>
    <s v="Durbar Rajshahi"/>
    <s v="field first"/>
    <s v="Chittagong Kings"/>
    <x v="4"/>
    <s v="ZACS"/>
    <s v="Chattogram"/>
    <n v="0"/>
    <n v="111"/>
    <s v="111 runs"/>
    <s v="Runs"/>
    <n v="111"/>
    <s v="Normal"/>
    <n v="271"/>
    <s v="170+ Match"/>
    <s v="Masudur Rahman"/>
    <s v="Gazi Sohel"/>
  </r>
  <r>
    <s v="2024/25"/>
    <s v="2024"/>
    <x v="3"/>
    <s v="League"/>
    <s v="Jan 21 2025"/>
    <x v="3"/>
    <x v="95"/>
    <n v="6"/>
    <x v="30"/>
    <n v="149"/>
    <n v="2"/>
    <s v="Tanzid Hasan"/>
    <s v="Chittagong Kings"/>
    <s v="bat first"/>
    <s v="Dhaka Capital"/>
    <x v="31"/>
    <s v="ZACS"/>
    <s v="Chattogram"/>
    <n v="8"/>
    <n v="0"/>
    <s v="8 wickets"/>
    <s v="Wickets"/>
    <n v="8"/>
    <s v="Close Match"/>
    <n v="297"/>
    <s v="170+ Match"/>
    <s v="Muhammad Kamruzzaman"/>
    <s v="Gazi Sohel"/>
  </r>
  <r>
    <s v="2024/25"/>
    <s v="2024"/>
    <x v="48"/>
    <s v="League"/>
    <s v="Jan 21 2025"/>
    <x v="19"/>
    <x v="46"/>
    <n v="9"/>
    <x v="15"/>
    <n v="160"/>
    <n v="6"/>
    <s v="Rishad Hossain"/>
    <s v="Khulna Tigers"/>
    <s v="field first"/>
    <s v="Fortune Barishal"/>
    <x v="20"/>
    <s v="ZACS"/>
    <s v="Chattogram"/>
    <n v="0"/>
    <n v="7"/>
    <s v="7 runs"/>
    <s v="Runs"/>
    <n v="7"/>
    <s v="Close Match"/>
    <n v="327"/>
    <s v="170+ Match"/>
    <s v="Sharfuddoula"/>
    <s v="Morshed Ali Khan"/>
  </r>
  <r>
    <s v="2024/25"/>
    <s v="2024"/>
    <x v="47"/>
    <s v="League"/>
    <s v="Jan 23 2025"/>
    <x v="30"/>
    <x v="41"/>
    <n v="9"/>
    <x v="6"/>
    <n v="146"/>
    <n v="10"/>
    <s v="Ryan Burl"/>
    <s v="Rangpur Riders"/>
    <s v="field first"/>
    <s v="Durbar Rajshahi"/>
    <x v="30"/>
    <s v="ZACS"/>
    <s v="Chattogram"/>
    <n v="0"/>
    <n v="24"/>
    <s v="24 runs"/>
    <s v="Runs"/>
    <n v="24"/>
    <s v="Normal"/>
    <n v="316"/>
    <s v="170+ Match"/>
    <s v="Gazi Sohel"/>
    <s v="Tanvir Ahmed"/>
  </r>
  <r>
    <s v="2024/25"/>
    <s v="2024"/>
    <x v="46"/>
    <s v="League"/>
    <s v="Jan 23 2025"/>
    <x v="25"/>
    <x v="28"/>
    <n v="9"/>
    <x v="15"/>
    <n v="156"/>
    <n v="4"/>
    <s v="Mehidy Hasan Miraz"/>
    <s v="Sylhet Strikers"/>
    <s v="bat first"/>
    <s v="Khulna Tigers"/>
    <x v="16"/>
    <s v="ZACS"/>
    <s v="Chattogram"/>
    <n v="6"/>
    <n v="0"/>
    <s v="6 wickets"/>
    <s v="Wickets"/>
    <n v="6"/>
    <s v="Close Match"/>
    <n v="308"/>
    <s v="170+ Match"/>
    <s v="Masudur Rahman"/>
    <s v="Morshed Ali Khan"/>
  </r>
  <r>
    <s v="2024/25"/>
    <s v="2024"/>
    <x v="45"/>
    <s v="League"/>
    <s v="Jan 26 2025"/>
    <x v="25"/>
    <x v="3"/>
    <n v="10"/>
    <x v="24"/>
    <n v="120"/>
    <n v="2"/>
    <s v="Faheem Ashraf"/>
    <s v="Sylhet Strikers"/>
    <s v="bat first"/>
    <s v="Fortune Barishal"/>
    <x v="20"/>
    <s v="SBNCS"/>
    <s v="Mirpur"/>
    <n v="8"/>
    <n v="0"/>
    <s v="8 wickets"/>
    <s v="Wickets"/>
    <n v="8"/>
    <s v="Close Match"/>
    <n v="236"/>
    <s v="170+ Match"/>
    <s v="RR Wimalasiri"/>
    <s v="Tanvir Ahmed"/>
  </r>
  <r>
    <s v="2024/25"/>
    <s v="2024"/>
    <x v="44"/>
    <s v="League"/>
    <s v="Jan 26 2025"/>
    <x v="30"/>
    <x v="90"/>
    <n v="9"/>
    <x v="6"/>
    <n v="117"/>
    <n v="8"/>
    <s v="Mrittunjoy Chowdhury"/>
    <s v="Rangpur Riders"/>
    <s v="field first"/>
    <s v="Durbar Rajshahi"/>
    <x v="30"/>
    <s v="SBNCS"/>
    <s v="Mirpur"/>
    <n v="2"/>
    <n v="0"/>
    <s v="2 runs"/>
    <s v="Wickets"/>
    <n v="2"/>
    <s v="Close Match"/>
    <n v="236"/>
    <s v="170+ Match"/>
    <s v="Muhammad Kamruzzaman"/>
    <s v="Sharfuddoula"/>
  </r>
  <r>
    <s v="2024/25"/>
    <s v="2024"/>
    <x v="43"/>
    <s v="League"/>
    <s v="Jan 27 2025"/>
    <x v="15"/>
    <x v="87"/>
    <n v="5"/>
    <x v="24"/>
    <n v="188"/>
    <n v="5"/>
    <s v="Dawid Malan"/>
    <s v="Fortune Barishal"/>
    <s v="field first"/>
    <s v="Fortune Barishal"/>
    <x v="20"/>
    <s v="SBNCS"/>
    <s v="Mirpur"/>
    <n v="0"/>
    <n v="5"/>
    <s v="5 wickets"/>
    <s v="Runs"/>
    <n v="5"/>
    <s v="Close Match"/>
    <n v="375"/>
    <s v="170+ Match"/>
    <s v="Mahfuzur Rahman"/>
    <s v="Sharfuddoula"/>
  </r>
  <r>
    <s v="2024/25"/>
    <s v="2024"/>
    <x v="42"/>
    <s v="League"/>
    <s v="Jan 27 2025"/>
    <x v="25"/>
    <x v="114"/>
    <n v="9"/>
    <x v="6"/>
    <n v="121"/>
    <n v="5"/>
    <s v="SM Meherob"/>
    <s v="Durbar Rajshahi"/>
    <s v="field first"/>
    <s v="Durbar Rajshahi"/>
    <x v="9"/>
    <s v="SBNCS"/>
    <s v="Mirpur"/>
    <n v="0"/>
    <n v="5"/>
    <s v="5 wickets"/>
    <s v="Runs"/>
    <n v="5"/>
    <s v="Close Match"/>
    <n v="238"/>
    <s v="170+ Match"/>
    <s v="Asif Yaqoob"/>
    <s v="Sajedul Islam"/>
  </r>
  <r>
    <s v="2024/25"/>
    <s v="2024"/>
    <x v="41"/>
    <s v="League"/>
    <s v="Jan 28 2025"/>
    <x v="7"/>
    <x v="106"/>
    <n v="5"/>
    <x v="4"/>
    <n v="148"/>
    <n v="5"/>
    <s v="Haider Ali"/>
    <s v="Chittagong Kings"/>
    <s v="field first"/>
    <s v="Chittagong Kings"/>
    <x v="4"/>
    <s v="SBNCS"/>
    <s v="Mirpur"/>
    <n v="0"/>
    <n v="5"/>
    <s v="5 wickets"/>
    <s v="Runs"/>
    <n v="5"/>
    <s v="Close Match"/>
    <n v="291"/>
    <s v="170+ Match"/>
    <s v="Asif Yaqoob"/>
    <s v="Morshed Ali Khan"/>
  </r>
  <r>
    <s v="2024/25"/>
    <s v="2024"/>
    <x v="26"/>
    <s v="League"/>
    <s v="Jan 28 2025"/>
    <x v="31"/>
    <x v="134"/>
    <n v="10"/>
    <x v="24"/>
    <n v="77"/>
    <n v="1"/>
    <s v="Tanvir Islam"/>
    <s v="Fortune Barishal"/>
    <s v="field first"/>
    <s v="Fortune Barishal"/>
    <x v="20"/>
    <s v="SBNCS"/>
    <s v="Mirpur"/>
    <n v="0"/>
    <n v="9"/>
    <s v="9 wickets"/>
    <s v="Runs"/>
    <n v="9"/>
    <s v="Close Match"/>
    <n v="150"/>
    <s v="Below 170"/>
    <s v="Mahfuzur Rahman"/>
    <s v="Sharfuddoula"/>
  </r>
  <r>
    <s v="2024/25"/>
    <s v="2024"/>
    <x v="24"/>
    <s v="League"/>
    <s v="Jan 30 2025"/>
    <x v="15"/>
    <x v="135"/>
    <n v="4"/>
    <x v="6"/>
    <n v="174"/>
    <n v="9"/>
    <s v="Mohammad Naim"/>
    <s v="Khulna Tigers"/>
    <s v="bat first"/>
    <s v="Khulna Tigers"/>
    <x v="16"/>
    <s v="SBNCS"/>
    <s v="Mirpur"/>
    <n v="46"/>
    <n v="0"/>
    <s v="46 runs"/>
    <s v="Wickets"/>
    <n v="46"/>
    <s v="Normal"/>
    <n v="394"/>
    <s v="170+ Match"/>
    <s v="Tanvir Ahmed"/>
    <s v="RR Wimalasiri"/>
  </r>
  <r>
    <s v="2024/25"/>
    <s v="2024"/>
    <x v="21"/>
    <s v="League"/>
    <s v="Jan 30 2025"/>
    <x v="3"/>
    <x v="65"/>
    <n v="8"/>
    <x v="25"/>
    <n v="100"/>
    <n v="10"/>
    <s v="Shoriful Islam"/>
    <s v="Sylhet Strikers"/>
    <s v="field first"/>
    <s v="Chittagong Kings"/>
    <x v="4"/>
    <s v="SBNCS"/>
    <s v="Mirpur"/>
    <n v="96"/>
    <n v="0"/>
    <s v="96 runs"/>
    <s v="Wickets"/>
    <n v="96"/>
    <s v="Normal"/>
    <n v="296"/>
    <s v="170+ Match"/>
    <s v="Gazi Sohel"/>
    <s v="Morshed Ali Khan"/>
  </r>
  <r>
    <s v="2024/25"/>
    <s v="2024"/>
    <x v="19"/>
    <s v="League"/>
    <s v="Feb 1 2025"/>
    <x v="31"/>
    <x v="52"/>
    <n v="9"/>
    <x v="15"/>
    <n v="128"/>
    <n v="4"/>
    <s v="Mehidy Hasan Miraz"/>
    <s v="Dhaka Capital"/>
    <s v="bat first"/>
    <s v="Khulna Tigers"/>
    <x v="16"/>
    <s v="SBNCS"/>
    <s v="Mirpur"/>
    <n v="0"/>
    <n v="6"/>
    <s v="6 wickets"/>
    <s v="Runs"/>
    <n v="6"/>
    <s v="Close Match"/>
    <n v="251"/>
    <s v="170+ Match"/>
    <s v="Mahfuzur Rahman"/>
    <s v="Morshed Ali Khan"/>
  </r>
  <r>
    <s v="2024/25"/>
    <s v="2024"/>
    <x v="17"/>
    <s v="League"/>
    <s v="Feb 1 2025"/>
    <x v="3"/>
    <x v="38"/>
    <n v="4"/>
    <x v="24"/>
    <n v="182"/>
    <n v="7"/>
    <s v="Parvez Hossain Emon"/>
    <s v="Fortune Barishal"/>
    <s v="field first"/>
    <s v="Chittagong Kings"/>
    <x v="4"/>
    <s v="SBNCS"/>
    <s v="Mirpur"/>
    <n v="24"/>
    <n v="0"/>
    <s v="24 runs"/>
    <s v="Wickets"/>
    <n v="24"/>
    <s v="Normal"/>
    <n v="388"/>
    <s v="170+ Match"/>
    <s v="Masudur Rahman"/>
    <s v="RR Wimalasiri"/>
  </r>
  <r>
    <s v="2024/25"/>
    <s v="2024"/>
    <x v="31"/>
    <s v="League"/>
    <s v="Feb 3 2025"/>
    <x v="7"/>
    <x v="136"/>
    <n v="10"/>
    <x v="15"/>
    <n v="89"/>
    <n v="1"/>
    <s v="Nasum Ahmed"/>
    <s v="Rangpur Riders"/>
    <s v="bat first"/>
    <s v="Khulna Tigers"/>
    <x v="16"/>
    <s v="SBNCS"/>
    <s v="Mirpur"/>
    <n v="0"/>
    <n v="9"/>
    <s v="9 wickets"/>
    <s v="Runs"/>
    <n v="9"/>
    <s v="Close Match"/>
    <n v="174"/>
    <s v="170+ Match"/>
    <s v="RR Wimalasiri"/>
    <s v="Masudur Rahman"/>
  </r>
  <r>
    <s v="2024/25"/>
    <s v="2024"/>
    <x v="56"/>
    <s v="League"/>
    <s v="Feb 3 2025"/>
    <x v="3"/>
    <x v="11"/>
    <n v="9"/>
    <x v="24"/>
    <n v="150"/>
    <n v="1"/>
    <s v="Mohammad Ali"/>
    <s v="Fortune Barishal"/>
    <s v="field first"/>
    <s v="Fortune Barishal"/>
    <x v="20"/>
    <s v="SBNCS"/>
    <s v="Mirpur"/>
    <n v="0"/>
    <n v="9"/>
    <s v="9 wickets"/>
    <s v="Runs"/>
    <n v="9"/>
    <s v="Close Match"/>
    <n v="299"/>
    <s v="170+ Match"/>
    <s v="Asif Yaqoob"/>
    <s v="Morshed Ali Khan"/>
  </r>
  <r>
    <s v="2024/25"/>
    <s v="2024"/>
    <x v="57"/>
    <s v="League"/>
    <s v="Feb 5 2025"/>
    <x v="15"/>
    <x v="31"/>
    <n v="6"/>
    <x v="4"/>
    <n v="164"/>
    <n v="8"/>
    <s v="Al Islam"/>
    <s v="Chittagong Kings"/>
    <s v="field first"/>
    <s v="Chittagong Kings"/>
    <x v="4"/>
    <s v="SBNCS"/>
    <s v="Mirpur"/>
    <n v="0"/>
    <n v="2"/>
    <s v="2 wickets"/>
    <s v="Runs"/>
    <n v="2"/>
    <s v="Close Match"/>
    <n v="327"/>
    <s v="170+ Match"/>
    <s v="Gazi Sohel"/>
    <s v="RR Wimalasiri"/>
  </r>
  <r>
    <s v="2024/25"/>
    <s v="2024"/>
    <x v="0"/>
    <s v="Final"/>
    <s v="Feb 7 2025"/>
    <x v="3"/>
    <x v="47"/>
    <n v="7"/>
    <x v="24"/>
    <n v="195"/>
    <n v="7"/>
    <s v="Tamim Iqbal"/>
    <s v="Fortune Barishal"/>
    <s v="field first"/>
    <s v="Fortune Barishal"/>
    <x v="20"/>
    <s v="SBNCS"/>
    <s v="Mirpur"/>
    <n v="0"/>
    <n v="3"/>
    <s v="3 wickets"/>
    <s v="Runs"/>
    <n v="3"/>
    <s v="Close Match"/>
    <n v="389"/>
    <s v="170+ Match"/>
    <s v="Gazi Sohel"/>
    <s v="Masudur Rahma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x v="0"/>
    <x v="0"/>
    <x v="0"/>
    <s v="Feb 29 2012"/>
    <x v="0"/>
    <n v="7"/>
    <x v="0"/>
    <n v="2"/>
    <x v="0"/>
    <s v="Dhaka Gladiators"/>
    <s v="field first"/>
    <s v="Dhaka"/>
    <s v="Dhaka Gladiators"/>
    <x v="0"/>
    <s v="Mirpur"/>
    <n v="8"/>
    <n v="0"/>
    <s v="8 wickets"/>
    <s v="Wickets"/>
    <n v="8"/>
    <s v="Close Match"/>
    <n v="284"/>
    <x v="0"/>
    <s v="David Orchard"/>
    <s v="Enamul Haque"/>
    <x v="0"/>
    <x v="0"/>
    <x v="0"/>
  </r>
  <r>
    <x v="0"/>
    <x v="0"/>
    <x v="0"/>
    <x v="0"/>
    <s v="Feb 29 2012"/>
    <x v="0"/>
    <n v="7"/>
    <x v="0"/>
    <n v="2"/>
    <x v="0"/>
    <s v="Dhaka Gladiators"/>
    <s v="field first"/>
    <s v="Dhaka"/>
    <s v="Dhaka Gladiators"/>
    <x v="0"/>
    <s v="Mirpur"/>
    <n v="8"/>
    <n v="0"/>
    <s v="8 wickets"/>
    <s v="Wickets"/>
    <n v="8"/>
    <s v="Close Match"/>
    <n v="284"/>
    <x v="0"/>
    <s v="David Orchard"/>
    <s v="Enamul Haque"/>
    <x v="1"/>
    <x v="1"/>
    <x v="1"/>
  </r>
  <r>
    <x v="0"/>
    <x v="0"/>
    <x v="1"/>
    <x v="1"/>
    <s v="Feb 28 2012"/>
    <x v="1"/>
    <n v="4"/>
    <x v="1"/>
    <n v="7"/>
    <x v="1"/>
    <s v="Dhaka Gladiators"/>
    <s v="bat first"/>
    <s v="Dhaka"/>
    <s v="Dhaka Gladiators"/>
    <x v="0"/>
    <s v="Mirpur"/>
    <n v="0"/>
    <n v="9"/>
    <s v="9 runs"/>
    <s v="Runs"/>
    <n v="9"/>
    <s v="Close Match"/>
    <n v="373"/>
    <x v="0"/>
    <s v="Enamul Haque"/>
    <s v="Nadir Shah"/>
    <x v="0"/>
    <x v="1"/>
    <x v="1"/>
  </r>
  <r>
    <x v="0"/>
    <x v="0"/>
    <x v="1"/>
    <x v="1"/>
    <s v="Feb 28 2012"/>
    <x v="1"/>
    <n v="4"/>
    <x v="1"/>
    <n v="7"/>
    <x v="1"/>
    <s v="Dhaka Gladiators"/>
    <s v="bat first"/>
    <s v="Dhaka"/>
    <s v="Dhaka Gladiators"/>
    <x v="0"/>
    <s v="Mirpur"/>
    <n v="0"/>
    <n v="9"/>
    <s v="9 runs"/>
    <s v="Runs"/>
    <n v="9"/>
    <s v="Close Match"/>
    <n v="373"/>
    <x v="0"/>
    <s v="Enamul Haque"/>
    <s v="Nadir Shah"/>
    <x v="1"/>
    <x v="2"/>
    <x v="0"/>
  </r>
  <r>
    <x v="0"/>
    <x v="0"/>
    <x v="2"/>
    <x v="1"/>
    <s v="Feb 28 2012"/>
    <x v="2"/>
    <n v="6"/>
    <x v="2"/>
    <n v="2"/>
    <x v="2"/>
    <s v="Barisal Burners"/>
    <s v="field first"/>
    <s v="Barisal"/>
    <s v="Barisal Burners"/>
    <x v="0"/>
    <s v="Mirpur"/>
    <n v="8"/>
    <n v="0"/>
    <s v="8 wickets"/>
    <s v="Wickets"/>
    <n v="8"/>
    <s v="Close Match"/>
    <n v="373"/>
    <x v="0"/>
    <s v="David Orchard"/>
    <s v="Sharfuddoula"/>
    <x v="0"/>
    <x v="3"/>
    <x v="0"/>
  </r>
  <r>
    <x v="0"/>
    <x v="0"/>
    <x v="2"/>
    <x v="1"/>
    <s v="Feb 28 2012"/>
    <x v="2"/>
    <n v="6"/>
    <x v="2"/>
    <n v="2"/>
    <x v="2"/>
    <s v="Barisal Burners"/>
    <s v="field first"/>
    <s v="Barisal"/>
    <s v="Barisal Burners"/>
    <x v="0"/>
    <s v="Mirpur"/>
    <n v="8"/>
    <n v="0"/>
    <s v="8 wickets"/>
    <s v="Wickets"/>
    <n v="8"/>
    <s v="Close Match"/>
    <n v="373"/>
    <x v="0"/>
    <s v="David Orchard"/>
    <s v="Sharfuddoula"/>
    <x v="1"/>
    <x v="0"/>
    <x v="1"/>
  </r>
  <r>
    <x v="0"/>
    <x v="0"/>
    <x v="3"/>
    <x v="1"/>
    <s v="Feb 27 2012"/>
    <x v="3"/>
    <n v="10"/>
    <x v="3"/>
    <n v="7"/>
    <x v="3"/>
    <s v="Dhaka Gladiators"/>
    <s v="bat first"/>
    <s v="Rajshahi"/>
    <s v="Duronto Rajshahi"/>
    <x v="0"/>
    <s v="Mirpur"/>
    <n v="3"/>
    <n v="0"/>
    <s v="3 wickets"/>
    <s v="Wickets"/>
    <n v="3"/>
    <s v="Close Match"/>
    <n v="236"/>
    <x v="0"/>
    <s v="Mahfuzur Rahman"/>
    <s v="Nadir Shah"/>
    <x v="0"/>
    <x v="1"/>
    <x v="0"/>
  </r>
  <r>
    <x v="0"/>
    <x v="0"/>
    <x v="3"/>
    <x v="1"/>
    <s v="Feb 27 2012"/>
    <x v="3"/>
    <n v="10"/>
    <x v="3"/>
    <n v="7"/>
    <x v="3"/>
    <s v="Dhaka Gladiators"/>
    <s v="bat first"/>
    <s v="Rajshahi"/>
    <s v="Duronto Rajshahi"/>
    <x v="0"/>
    <s v="Mirpur"/>
    <n v="3"/>
    <n v="0"/>
    <s v="3 wickets"/>
    <s v="Wickets"/>
    <n v="3"/>
    <s v="Close Match"/>
    <n v="236"/>
    <x v="0"/>
    <s v="Mahfuzur Rahman"/>
    <s v="Nadir Shah"/>
    <x v="1"/>
    <x v="3"/>
    <x v="1"/>
  </r>
  <r>
    <x v="0"/>
    <x v="0"/>
    <x v="4"/>
    <x v="1"/>
    <s v="Feb 26 2012"/>
    <x v="4"/>
    <n v="9"/>
    <x v="4"/>
    <n v="5"/>
    <x v="4"/>
    <s v="Barisal Burners"/>
    <s v="field first"/>
    <s v="Barisal"/>
    <s v="Barisal Burners"/>
    <x v="0"/>
    <s v="Mirpur"/>
    <n v="5"/>
    <n v="0"/>
    <s v="5 wickets"/>
    <s v="Wickets"/>
    <n v="5"/>
    <s v="Close Match"/>
    <n v="301"/>
    <x v="0"/>
    <s v="Gazi Sohel"/>
    <s v="Jeremy Lloyds"/>
    <x v="0"/>
    <x v="4"/>
    <x v="0"/>
  </r>
  <r>
    <x v="0"/>
    <x v="0"/>
    <x v="4"/>
    <x v="1"/>
    <s v="Feb 26 2012"/>
    <x v="4"/>
    <n v="9"/>
    <x v="4"/>
    <n v="5"/>
    <x v="4"/>
    <s v="Barisal Burners"/>
    <s v="field first"/>
    <s v="Barisal"/>
    <s v="Barisal Burners"/>
    <x v="0"/>
    <s v="Mirpur"/>
    <n v="5"/>
    <n v="0"/>
    <s v="5 wickets"/>
    <s v="Wickets"/>
    <n v="5"/>
    <s v="Close Match"/>
    <n v="301"/>
    <x v="0"/>
    <s v="Gazi Sohel"/>
    <s v="Jeremy Lloyds"/>
    <x v="1"/>
    <x v="0"/>
    <x v="1"/>
  </r>
  <r>
    <x v="0"/>
    <x v="0"/>
    <x v="5"/>
    <x v="1"/>
    <s v="Feb 26 2012"/>
    <x v="5"/>
    <n v="10"/>
    <x v="5"/>
    <n v="2"/>
    <x v="5"/>
    <s v="Khulna Royal Bengals"/>
    <s v="bat first"/>
    <s v="Rajshahi"/>
    <s v="Duronto Rajshahi"/>
    <x v="0"/>
    <s v="Mirpur"/>
    <n v="8"/>
    <n v="0"/>
    <s v="8 wickets"/>
    <s v="Wickets"/>
    <n v="8"/>
    <s v="Close Match"/>
    <n v="216"/>
    <x v="0"/>
    <s v="David Orchard"/>
    <s v="Nadir Shah"/>
    <x v="0"/>
    <x v="2"/>
    <x v="0"/>
  </r>
  <r>
    <x v="0"/>
    <x v="0"/>
    <x v="5"/>
    <x v="1"/>
    <s v="Feb 26 2012"/>
    <x v="5"/>
    <n v="10"/>
    <x v="5"/>
    <n v="2"/>
    <x v="5"/>
    <s v="Khulna Royal Bengals"/>
    <s v="bat first"/>
    <s v="Rajshahi"/>
    <s v="Duronto Rajshahi"/>
    <x v="0"/>
    <s v="Mirpur"/>
    <n v="8"/>
    <n v="0"/>
    <s v="8 wickets"/>
    <s v="Wickets"/>
    <n v="8"/>
    <s v="Close Match"/>
    <n v="216"/>
    <x v="0"/>
    <s v="David Orchard"/>
    <s v="Nadir Shah"/>
    <x v="1"/>
    <x v="3"/>
    <x v="1"/>
  </r>
  <r>
    <x v="0"/>
    <x v="0"/>
    <x v="6"/>
    <x v="1"/>
    <s v="Feb 25 2012"/>
    <x v="6"/>
    <n v="3"/>
    <x v="6"/>
    <n v="8"/>
    <x v="6"/>
    <s v="Chittagong Kings"/>
    <s v="field first"/>
    <s v="Royals"/>
    <s v="Sylhet Royals"/>
    <x v="0"/>
    <s v="Mirpur"/>
    <n v="0"/>
    <n v="35"/>
    <s v="35 runs"/>
    <s v="Runs"/>
    <n v="35"/>
    <s v="Normal"/>
    <n v="295"/>
    <x v="0"/>
    <s v="David Orchard"/>
    <s v="Masudur Rahman"/>
    <x v="0"/>
    <x v="5"/>
    <x v="1"/>
  </r>
  <r>
    <x v="0"/>
    <x v="0"/>
    <x v="6"/>
    <x v="1"/>
    <s v="Feb 25 2012"/>
    <x v="6"/>
    <n v="3"/>
    <x v="6"/>
    <n v="8"/>
    <x v="6"/>
    <s v="Chittagong Kings"/>
    <s v="field first"/>
    <s v="Royals"/>
    <s v="Sylhet Royals"/>
    <x v="0"/>
    <s v="Mirpur"/>
    <n v="0"/>
    <n v="35"/>
    <s v="35 runs"/>
    <s v="Runs"/>
    <n v="35"/>
    <s v="Normal"/>
    <n v="295"/>
    <x v="0"/>
    <s v="David Orchard"/>
    <s v="Masudur Rahman"/>
    <x v="1"/>
    <x v="4"/>
    <x v="0"/>
  </r>
  <r>
    <x v="0"/>
    <x v="0"/>
    <x v="7"/>
    <x v="1"/>
    <s v="Feb 25 2012"/>
    <x v="7"/>
    <n v="6"/>
    <x v="7"/>
    <n v="5"/>
    <x v="0"/>
    <s v="Dhaka Gladiators"/>
    <s v="field first"/>
    <s v="Dhaka"/>
    <s v="Dhaka Gladiators"/>
    <x v="0"/>
    <s v="Mirpur"/>
    <n v="5"/>
    <n v="0"/>
    <s v="5 wickets"/>
    <s v="Wickets"/>
    <n v="5"/>
    <s v="Close Match"/>
    <n v="316"/>
    <x v="0"/>
    <s v="Jeremy Lloyds"/>
    <s v="Nadir Shah"/>
    <x v="0"/>
    <x v="0"/>
    <x v="0"/>
  </r>
  <r>
    <x v="0"/>
    <x v="0"/>
    <x v="7"/>
    <x v="1"/>
    <s v="Feb 25 2012"/>
    <x v="7"/>
    <n v="6"/>
    <x v="7"/>
    <n v="5"/>
    <x v="0"/>
    <s v="Dhaka Gladiators"/>
    <s v="field first"/>
    <s v="Dhaka"/>
    <s v="Dhaka Gladiators"/>
    <x v="0"/>
    <s v="Mirpur"/>
    <n v="5"/>
    <n v="0"/>
    <s v="5 wickets"/>
    <s v="Wickets"/>
    <n v="5"/>
    <s v="Close Match"/>
    <n v="316"/>
    <x v="0"/>
    <s v="Jeremy Lloyds"/>
    <s v="Nadir Shah"/>
    <x v="1"/>
    <x v="1"/>
    <x v="1"/>
  </r>
  <r>
    <x v="0"/>
    <x v="0"/>
    <x v="8"/>
    <x v="1"/>
    <s v="Feb 24 2012"/>
    <x v="8"/>
    <n v="9"/>
    <x v="8"/>
    <n v="1"/>
    <x v="7"/>
    <s v="Sylhet Royals"/>
    <s v="field first"/>
    <s v="Royals"/>
    <s v="Sylhet Royals"/>
    <x v="0"/>
    <s v="Mirpur"/>
    <n v="9"/>
    <n v="0"/>
    <s v="9 wickets"/>
    <s v="Wickets"/>
    <n v="9"/>
    <s v="Close Match"/>
    <n v="249"/>
    <x v="0"/>
    <s v="Anisur Rahman"/>
    <s v="Jeremy Lloyds"/>
    <x v="0"/>
    <x v="3"/>
    <x v="0"/>
  </r>
  <r>
    <x v="0"/>
    <x v="0"/>
    <x v="8"/>
    <x v="1"/>
    <s v="Feb 24 2012"/>
    <x v="8"/>
    <n v="9"/>
    <x v="8"/>
    <n v="1"/>
    <x v="7"/>
    <s v="Sylhet Royals"/>
    <s v="field first"/>
    <s v="Royals"/>
    <s v="Sylhet Royals"/>
    <x v="0"/>
    <s v="Mirpur"/>
    <n v="9"/>
    <n v="0"/>
    <s v="9 wickets"/>
    <s v="Wickets"/>
    <n v="9"/>
    <s v="Close Match"/>
    <n v="249"/>
    <x v="0"/>
    <s v="Anisur Rahman"/>
    <s v="Jeremy Lloyds"/>
    <x v="1"/>
    <x v="5"/>
    <x v="1"/>
  </r>
  <r>
    <x v="1"/>
    <x v="1"/>
    <x v="0"/>
    <x v="0"/>
    <s v="Feb 19 2013"/>
    <x v="9"/>
    <n v="9"/>
    <x v="9"/>
    <n v="10"/>
    <x v="8"/>
    <s v="Chittagong Kings"/>
    <s v="field first"/>
    <s v="Dhaka"/>
    <s v="Dhaka Gladiators"/>
    <x v="0"/>
    <s v="Mirpur"/>
    <n v="0"/>
    <n v="43"/>
    <s v="43 runs"/>
    <s v="Runs"/>
    <n v="43"/>
    <s v="Normal"/>
    <n v="301"/>
    <x v="0"/>
    <s v="Enamul Haque"/>
    <s v="Richard Illingworth"/>
    <x v="0"/>
    <x v="1"/>
    <x v="1"/>
  </r>
  <r>
    <x v="1"/>
    <x v="1"/>
    <x v="0"/>
    <x v="0"/>
    <s v="Feb 19 2013"/>
    <x v="9"/>
    <n v="9"/>
    <x v="9"/>
    <n v="10"/>
    <x v="8"/>
    <s v="Chittagong Kings"/>
    <s v="field first"/>
    <s v="Dhaka"/>
    <s v="Dhaka Gladiators"/>
    <x v="0"/>
    <s v="Mirpur"/>
    <n v="0"/>
    <n v="43"/>
    <s v="43 runs"/>
    <s v="Runs"/>
    <n v="43"/>
    <s v="Normal"/>
    <n v="301"/>
    <x v="0"/>
    <s v="Enamul Haque"/>
    <s v="Richard Illingworth"/>
    <x v="1"/>
    <x v="4"/>
    <x v="0"/>
  </r>
  <r>
    <x v="0"/>
    <x v="0"/>
    <x v="9"/>
    <x v="1"/>
    <s v="Feb 24 2012"/>
    <x v="10"/>
    <n v="6"/>
    <x v="10"/>
    <n v="9"/>
    <x v="9"/>
    <s v="Dhaka Gladiators"/>
    <s v="field first"/>
    <s v="Chittagong"/>
    <s v="Chittagong Kings"/>
    <x v="0"/>
    <s v="Mirpur"/>
    <n v="0"/>
    <n v="13"/>
    <s v="13 runs"/>
    <s v="Runs"/>
    <n v="13"/>
    <s v="Normal"/>
    <n v="227"/>
    <x v="0"/>
    <s v="David Orchard"/>
    <s v="Nadir Shah"/>
    <x v="0"/>
    <x v="4"/>
    <x v="1"/>
  </r>
  <r>
    <x v="0"/>
    <x v="0"/>
    <x v="9"/>
    <x v="1"/>
    <s v="Feb 24 2012"/>
    <x v="10"/>
    <n v="6"/>
    <x v="10"/>
    <n v="9"/>
    <x v="9"/>
    <s v="Dhaka Gladiators"/>
    <s v="field first"/>
    <s v="Chittagong"/>
    <s v="Chittagong Kings"/>
    <x v="0"/>
    <s v="Mirpur"/>
    <n v="0"/>
    <n v="13"/>
    <s v="13 runs"/>
    <s v="Runs"/>
    <n v="13"/>
    <s v="Normal"/>
    <n v="227"/>
    <x v="0"/>
    <s v="David Orchard"/>
    <s v="Nadir Shah"/>
    <x v="1"/>
    <x v="1"/>
    <x v="0"/>
  </r>
  <r>
    <x v="1"/>
    <x v="1"/>
    <x v="10"/>
    <x v="0"/>
    <s v="Feb 18 2013"/>
    <x v="11"/>
    <n v="7"/>
    <x v="11"/>
    <n v="7"/>
    <x v="10"/>
    <s v="Chittagong Kings"/>
    <s v="field first"/>
    <s v="Chittagong"/>
    <s v="Chittagong Kings"/>
    <x v="0"/>
    <s v="Mirpur"/>
    <n v="3"/>
    <n v="0"/>
    <s v="3 wickets"/>
    <s v="Wickets"/>
    <n v="3"/>
    <s v="Close Match"/>
    <n v="299"/>
    <x v="0"/>
    <s v="Enamul Haque"/>
    <s v="Jeremy Lloyds"/>
    <x v="0"/>
    <x v="5"/>
    <x v="0"/>
  </r>
  <r>
    <x v="1"/>
    <x v="1"/>
    <x v="10"/>
    <x v="0"/>
    <s v="Feb 18 2013"/>
    <x v="11"/>
    <n v="7"/>
    <x v="11"/>
    <n v="7"/>
    <x v="10"/>
    <s v="Chittagong Kings"/>
    <s v="field first"/>
    <s v="Chittagong"/>
    <s v="Chittagong Kings"/>
    <x v="0"/>
    <s v="Mirpur"/>
    <n v="3"/>
    <n v="0"/>
    <s v="3 wickets"/>
    <s v="Wickets"/>
    <n v="3"/>
    <s v="Close Match"/>
    <n v="299"/>
    <x v="0"/>
    <s v="Enamul Haque"/>
    <s v="Jeremy Lloyds"/>
    <x v="1"/>
    <x v="4"/>
    <x v="1"/>
  </r>
  <r>
    <x v="0"/>
    <x v="0"/>
    <x v="11"/>
    <x v="1"/>
    <s v="Feb 22 2012"/>
    <x v="12"/>
    <n v="7"/>
    <x v="12"/>
    <n v="6"/>
    <x v="11"/>
    <s v="Khulna Royal Bengals"/>
    <s v="bat first"/>
    <s v="Barisal"/>
    <s v="Barisal Burners"/>
    <x v="1"/>
    <s v="Chattogram"/>
    <n v="4"/>
    <n v="0"/>
    <s v="4 wickets"/>
    <s v="Wickets"/>
    <n v="4"/>
    <s v="Close Match"/>
    <n v="323"/>
    <x v="0"/>
    <s v="Enamul Haque"/>
    <s v="Jeremy Lloyds"/>
    <x v="0"/>
    <x v="2"/>
    <x v="0"/>
  </r>
  <r>
    <x v="0"/>
    <x v="0"/>
    <x v="11"/>
    <x v="1"/>
    <s v="Feb 22 2012"/>
    <x v="12"/>
    <n v="7"/>
    <x v="12"/>
    <n v="6"/>
    <x v="11"/>
    <s v="Khulna Royal Bengals"/>
    <s v="bat first"/>
    <s v="Barisal"/>
    <s v="Barisal Burners"/>
    <x v="1"/>
    <s v="Chattogram"/>
    <n v="4"/>
    <n v="0"/>
    <s v="4 wickets"/>
    <s v="Wickets"/>
    <n v="4"/>
    <s v="Close Match"/>
    <n v="323"/>
    <x v="0"/>
    <s v="Enamul Haque"/>
    <s v="Jeremy Lloyds"/>
    <x v="1"/>
    <x v="0"/>
    <x v="1"/>
  </r>
  <r>
    <x v="0"/>
    <x v="0"/>
    <x v="12"/>
    <x v="1"/>
    <s v="Feb 22 2012"/>
    <x v="13"/>
    <n v="7"/>
    <x v="13"/>
    <n v="2"/>
    <x v="1"/>
    <s v="Dhaka Gladiators"/>
    <s v="field first"/>
    <s v="Dhaka"/>
    <s v="Dhaka Gladiators"/>
    <x v="1"/>
    <s v="Chattogram"/>
    <n v="8"/>
    <n v="0"/>
    <s v="8 wickets"/>
    <s v="Wickets"/>
    <n v="8"/>
    <s v="Close Match"/>
    <n v="260"/>
    <x v="0"/>
    <s v="David Orchard"/>
    <s v="Sharfuddoula"/>
    <x v="0"/>
    <x v="5"/>
    <x v="0"/>
  </r>
  <r>
    <x v="0"/>
    <x v="0"/>
    <x v="12"/>
    <x v="1"/>
    <s v="Feb 22 2012"/>
    <x v="13"/>
    <n v="7"/>
    <x v="13"/>
    <n v="2"/>
    <x v="1"/>
    <s v="Dhaka Gladiators"/>
    <s v="field first"/>
    <s v="Dhaka"/>
    <s v="Dhaka Gladiators"/>
    <x v="1"/>
    <s v="Chattogram"/>
    <n v="8"/>
    <n v="0"/>
    <s v="8 wickets"/>
    <s v="Wickets"/>
    <n v="8"/>
    <s v="Close Match"/>
    <n v="260"/>
    <x v="0"/>
    <s v="David Orchard"/>
    <s v="Sharfuddoula"/>
    <x v="1"/>
    <x v="1"/>
    <x v="1"/>
  </r>
  <r>
    <x v="1"/>
    <x v="1"/>
    <x v="13"/>
    <x v="2"/>
    <s v="Feb 16 2013"/>
    <x v="14"/>
    <n v="7"/>
    <x v="14"/>
    <n v="6"/>
    <x v="12"/>
    <s v="Duronto Rajshahi"/>
    <s v="bat first"/>
    <s v="Chittagong"/>
    <s v="Chittagong Kings"/>
    <x v="0"/>
    <s v="Mirpur"/>
    <n v="4"/>
    <n v="0"/>
    <s v="4 wickets"/>
    <s v="Wickets"/>
    <n v="4"/>
    <s v="Close Match"/>
    <n v="215"/>
    <x v="0"/>
    <s v="Anisur Rahman"/>
    <s v="Richard Illingworth"/>
    <x v="0"/>
    <x v="3"/>
    <x v="0"/>
  </r>
  <r>
    <x v="1"/>
    <x v="1"/>
    <x v="13"/>
    <x v="2"/>
    <s v="Feb 16 2013"/>
    <x v="14"/>
    <n v="7"/>
    <x v="14"/>
    <n v="6"/>
    <x v="12"/>
    <s v="Duronto Rajshahi"/>
    <s v="bat first"/>
    <s v="Chittagong"/>
    <s v="Chittagong Kings"/>
    <x v="0"/>
    <s v="Mirpur"/>
    <n v="4"/>
    <n v="0"/>
    <s v="4 wickets"/>
    <s v="Wickets"/>
    <n v="4"/>
    <s v="Close Match"/>
    <n v="215"/>
    <x v="0"/>
    <s v="Anisur Rahman"/>
    <s v="Richard Illingworth"/>
    <x v="1"/>
    <x v="4"/>
    <x v="1"/>
  </r>
  <r>
    <x v="0"/>
    <x v="0"/>
    <x v="14"/>
    <x v="1"/>
    <s v="Feb 20 2012"/>
    <x v="15"/>
    <n v="6"/>
    <x v="15"/>
    <n v="10"/>
    <x v="13"/>
    <s v="Chittagong Kings"/>
    <s v="field first"/>
    <s v="Khulna"/>
    <s v="Khulna Royal Bengals"/>
    <x v="1"/>
    <s v="Chattogram"/>
    <n v="0"/>
    <n v="44"/>
    <s v="44 runs"/>
    <s v="Runs"/>
    <n v="44"/>
    <s v="Normal"/>
    <n v="230"/>
    <x v="0"/>
    <s v="David Orchard"/>
    <s v="Sharfuddoula"/>
    <x v="0"/>
    <x v="2"/>
    <x v="1"/>
  </r>
  <r>
    <x v="0"/>
    <x v="0"/>
    <x v="14"/>
    <x v="1"/>
    <s v="Feb 20 2012"/>
    <x v="15"/>
    <n v="6"/>
    <x v="15"/>
    <n v="10"/>
    <x v="13"/>
    <s v="Chittagong Kings"/>
    <s v="field first"/>
    <s v="Khulna"/>
    <s v="Khulna Royal Bengals"/>
    <x v="1"/>
    <s v="Chattogram"/>
    <n v="0"/>
    <n v="44"/>
    <s v="44 runs"/>
    <s v="Runs"/>
    <n v="44"/>
    <s v="Normal"/>
    <n v="230"/>
    <x v="0"/>
    <s v="David Orchard"/>
    <s v="Sharfuddoula"/>
    <x v="1"/>
    <x v="4"/>
    <x v="0"/>
  </r>
  <r>
    <x v="1"/>
    <x v="1"/>
    <x v="15"/>
    <x v="1"/>
    <s v="Feb 15 2013"/>
    <x v="16"/>
    <n v="9"/>
    <x v="16"/>
    <n v="6"/>
    <x v="14"/>
    <s v="Sylhet Royals"/>
    <s v="field first"/>
    <s v="Dhaka"/>
    <s v="Dhaka Gladiators"/>
    <x v="0"/>
    <s v="Mirpur"/>
    <n v="0"/>
    <n v="4"/>
    <s v="4 runs"/>
    <s v="Runs"/>
    <n v="4"/>
    <s v="Close Match"/>
    <n v="390"/>
    <x v="0"/>
    <s v="Enamul Haque"/>
    <s v="Jeremy Lloyds"/>
    <x v="0"/>
    <x v="1"/>
    <x v="1"/>
  </r>
  <r>
    <x v="1"/>
    <x v="1"/>
    <x v="15"/>
    <x v="1"/>
    <s v="Feb 15 2013"/>
    <x v="16"/>
    <n v="9"/>
    <x v="16"/>
    <n v="6"/>
    <x v="14"/>
    <s v="Sylhet Royals"/>
    <s v="field first"/>
    <s v="Dhaka"/>
    <s v="Dhaka Gladiators"/>
    <x v="0"/>
    <s v="Mirpur"/>
    <n v="0"/>
    <n v="4"/>
    <s v="4 runs"/>
    <s v="Runs"/>
    <n v="4"/>
    <s v="Close Match"/>
    <n v="390"/>
    <x v="0"/>
    <s v="Enamul Haque"/>
    <s v="Jeremy Lloyds"/>
    <x v="1"/>
    <x v="5"/>
    <x v="0"/>
  </r>
  <r>
    <x v="0"/>
    <x v="0"/>
    <x v="16"/>
    <x v="1"/>
    <s v="Feb 20 2012"/>
    <x v="17"/>
    <n v="3"/>
    <x v="16"/>
    <n v="1"/>
    <x v="15"/>
    <s v="Barisal Burners"/>
    <s v="bat first"/>
    <s v="Rajshahi"/>
    <s v="Duronto Rajshahi"/>
    <x v="1"/>
    <s v="Chattogram"/>
    <n v="9"/>
    <n v="0"/>
    <s v="9 wickets"/>
    <s v="Wickets"/>
    <n v="9"/>
    <s v="Close Match"/>
    <n v="385"/>
    <x v="0"/>
    <s v="Enamul Haque"/>
    <s v="Jeremy Lloyds"/>
    <x v="0"/>
    <x v="0"/>
    <x v="0"/>
  </r>
  <r>
    <x v="0"/>
    <x v="0"/>
    <x v="16"/>
    <x v="1"/>
    <s v="Feb 20 2012"/>
    <x v="17"/>
    <n v="3"/>
    <x v="16"/>
    <n v="1"/>
    <x v="15"/>
    <s v="Barisal Burners"/>
    <s v="bat first"/>
    <s v="Rajshahi"/>
    <s v="Duronto Rajshahi"/>
    <x v="1"/>
    <s v="Chattogram"/>
    <n v="9"/>
    <n v="0"/>
    <s v="9 wickets"/>
    <s v="Wickets"/>
    <n v="9"/>
    <s v="Close Match"/>
    <n v="385"/>
    <x v="0"/>
    <s v="Enamul Haque"/>
    <s v="Jeremy Lloyds"/>
    <x v="1"/>
    <x v="3"/>
    <x v="1"/>
  </r>
  <r>
    <x v="1"/>
    <x v="1"/>
    <x v="17"/>
    <x v="1"/>
    <s v="Feb 14 2013"/>
    <x v="18"/>
    <n v="6"/>
    <x v="17"/>
    <n v="9"/>
    <x v="16"/>
    <s v="Chittagong Kings"/>
    <s v="field first"/>
    <s v="Dhaka"/>
    <s v="Dhaka Gladiators"/>
    <x v="0"/>
    <s v="Mirpur"/>
    <n v="0"/>
    <n v="29"/>
    <s v="29 runs"/>
    <s v="Runs"/>
    <n v="29"/>
    <s v="Normal"/>
    <n v="307"/>
    <x v="0"/>
    <s v="Anisur Rahman"/>
    <s v="Jeremy Lloyds"/>
    <x v="0"/>
    <x v="1"/>
    <x v="1"/>
  </r>
  <r>
    <x v="1"/>
    <x v="1"/>
    <x v="17"/>
    <x v="1"/>
    <s v="Feb 14 2013"/>
    <x v="18"/>
    <n v="6"/>
    <x v="17"/>
    <n v="9"/>
    <x v="16"/>
    <s v="Chittagong Kings"/>
    <s v="field first"/>
    <s v="Dhaka"/>
    <s v="Dhaka Gladiators"/>
    <x v="0"/>
    <s v="Mirpur"/>
    <n v="0"/>
    <n v="29"/>
    <s v="29 runs"/>
    <s v="Runs"/>
    <n v="29"/>
    <s v="Normal"/>
    <n v="307"/>
    <x v="0"/>
    <s v="Anisur Rahman"/>
    <s v="Jeremy Lloyds"/>
    <x v="1"/>
    <x v="4"/>
    <x v="0"/>
  </r>
  <r>
    <x v="0"/>
    <x v="0"/>
    <x v="18"/>
    <x v="1"/>
    <s v="Feb 19 2012"/>
    <x v="10"/>
    <n v="7"/>
    <x v="18"/>
    <n v="1"/>
    <x v="4"/>
    <s v="Sylhet Royals"/>
    <s v="bat first"/>
    <s v="Barisal"/>
    <s v="Barisal Burners"/>
    <x v="1"/>
    <s v="Chattogram"/>
    <n v="9"/>
    <n v="0"/>
    <s v="9 wickets"/>
    <s v="Wickets"/>
    <n v="9"/>
    <s v="Close Match"/>
    <n v="241"/>
    <x v="0"/>
    <s v="Enamul Haque"/>
    <s v="Jeremy Lloyds"/>
    <x v="0"/>
    <x v="5"/>
    <x v="0"/>
  </r>
  <r>
    <x v="0"/>
    <x v="0"/>
    <x v="18"/>
    <x v="1"/>
    <s v="Feb 19 2012"/>
    <x v="10"/>
    <n v="7"/>
    <x v="18"/>
    <n v="1"/>
    <x v="4"/>
    <s v="Sylhet Royals"/>
    <s v="bat first"/>
    <s v="Barisal"/>
    <s v="Barisal Burners"/>
    <x v="1"/>
    <s v="Chattogram"/>
    <n v="9"/>
    <n v="0"/>
    <s v="9 wickets"/>
    <s v="Wickets"/>
    <n v="9"/>
    <s v="Close Match"/>
    <n v="241"/>
    <x v="0"/>
    <s v="Enamul Haque"/>
    <s v="Jeremy Lloyds"/>
    <x v="1"/>
    <x v="0"/>
    <x v="1"/>
  </r>
  <r>
    <x v="1"/>
    <x v="1"/>
    <x v="19"/>
    <x v="1"/>
    <s v="Feb 14 2013"/>
    <x v="19"/>
    <n v="7"/>
    <x v="19"/>
    <n v="10"/>
    <x v="17"/>
    <s v="Barisal Burners"/>
    <s v="bat first"/>
    <s v="Barisal"/>
    <s v="Barisal Burners"/>
    <x v="0"/>
    <s v="Mirpur"/>
    <n v="0"/>
    <n v="26"/>
    <s v="26 runs"/>
    <s v="Runs"/>
    <n v="26"/>
    <s v="Normal"/>
    <n v="252"/>
    <x v="0"/>
    <s v="Enamul Haque"/>
    <s v="Jeremy Lloyds"/>
    <x v="0"/>
    <x v="0"/>
    <x v="1"/>
  </r>
  <r>
    <x v="1"/>
    <x v="1"/>
    <x v="19"/>
    <x v="1"/>
    <s v="Feb 14 2013"/>
    <x v="19"/>
    <n v="7"/>
    <x v="19"/>
    <n v="10"/>
    <x v="17"/>
    <s v="Barisal Burners"/>
    <s v="bat first"/>
    <s v="Barisal"/>
    <s v="Barisal Burners"/>
    <x v="0"/>
    <s v="Mirpur"/>
    <n v="0"/>
    <n v="26"/>
    <s v="26 runs"/>
    <s v="Runs"/>
    <n v="26"/>
    <s v="Normal"/>
    <n v="252"/>
    <x v="0"/>
    <s v="Enamul Haque"/>
    <s v="Jeremy Lloyds"/>
    <x v="1"/>
    <x v="6"/>
    <x v="0"/>
  </r>
  <r>
    <x v="0"/>
    <x v="0"/>
    <x v="20"/>
    <x v="1"/>
    <s v="Feb 19 2012"/>
    <x v="0"/>
    <n v="8"/>
    <x v="20"/>
    <n v="3"/>
    <x v="18"/>
    <s v="Dhaka Gladiators"/>
    <s v="bat first"/>
    <s v="Khulna"/>
    <s v="Khulna Royal Bengals"/>
    <x v="1"/>
    <s v="Chattogram"/>
    <n v="7"/>
    <n v="0"/>
    <s v="7 wickets"/>
    <s v="Wickets"/>
    <n v="7"/>
    <s v="Close Match"/>
    <n v="281"/>
    <x v="0"/>
    <s v="David Orchard"/>
    <s v="Sharfuddoula"/>
    <x v="0"/>
    <x v="1"/>
    <x v="0"/>
  </r>
  <r>
    <x v="0"/>
    <x v="0"/>
    <x v="20"/>
    <x v="1"/>
    <s v="Feb 19 2012"/>
    <x v="0"/>
    <n v="8"/>
    <x v="20"/>
    <n v="3"/>
    <x v="18"/>
    <s v="Dhaka Gladiators"/>
    <s v="bat first"/>
    <s v="Khulna"/>
    <s v="Khulna Royal Bengals"/>
    <x v="1"/>
    <s v="Chattogram"/>
    <n v="7"/>
    <n v="0"/>
    <s v="7 wickets"/>
    <s v="Wickets"/>
    <n v="7"/>
    <s v="Close Match"/>
    <n v="281"/>
    <x v="0"/>
    <s v="David Orchard"/>
    <s v="Sharfuddoula"/>
    <x v="1"/>
    <x v="2"/>
    <x v="1"/>
  </r>
  <r>
    <x v="1"/>
    <x v="1"/>
    <x v="21"/>
    <x v="1"/>
    <s v="Feb 13 2013"/>
    <x v="20"/>
    <n v="9"/>
    <x v="21"/>
    <n v="9"/>
    <x v="19"/>
    <s v="Sylhet Royals"/>
    <s v="field first"/>
    <s v="Royals"/>
    <s v="Sylhet Royals"/>
    <x v="0"/>
    <s v="Mirpur"/>
    <n v="0"/>
    <n v="0"/>
    <s v="1 wicket"/>
    <s v="Wickets"/>
    <n v="0"/>
    <s v="Close Match"/>
    <n v="289"/>
    <x v="0"/>
    <s v="Enamul Haque"/>
    <s v="Jeremy Lloyds"/>
    <x v="0"/>
    <x v="0"/>
    <x v="0"/>
  </r>
  <r>
    <x v="1"/>
    <x v="1"/>
    <x v="21"/>
    <x v="1"/>
    <s v="Feb 13 2013"/>
    <x v="20"/>
    <n v="9"/>
    <x v="21"/>
    <n v="9"/>
    <x v="19"/>
    <s v="Sylhet Royals"/>
    <s v="field first"/>
    <s v="Royals"/>
    <s v="Sylhet Royals"/>
    <x v="0"/>
    <s v="Mirpur"/>
    <n v="0"/>
    <n v="0"/>
    <s v="1 wicket"/>
    <s v="Wickets"/>
    <n v="0"/>
    <s v="Close Match"/>
    <n v="289"/>
    <x v="0"/>
    <s v="Enamul Haque"/>
    <s v="Jeremy Lloyds"/>
    <x v="1"/>
    <x v="5"/>
    <x v="1"/>
  </r>
  <r>
    <x v="0"/>
    <x v="0"/>
    <x v="22"/>
    <x v="1"/>
    <s v="Feb 18 2012"/>
    <x v="21"/>
    <n v="6"/>
    <x v="22"/>
    <n v="9"/>
    <x v="20"/>
    <s v="Duronto Rajshahi"/>
    <s v="bat first"/>
    <s v="Rajshahi"/>
    <s v="Duronto Rajshahi"/>
    <x v="1"/>
    <s v="Chattogram"/>
    <n v="0"/>
    <n v="9"/>
    <s v="9 runs"/>
    <s v="Runs"/>
    <n v="9"/>
    <s v="Close Match"/>
    <n v="243"/>
    <x v="0"/>
    <s v="David Orchard"/>
    <s v="Sharfuddoula"/>
    <x v="0"/>
    <x v="3"/>
    <x v="1"/>
  </r>
  <r>
    <x v="0"/>
    <x v="0"/>
    <x v="22"/>
    <x v="1"/>
    <s v="Feb 18 2012"/>
    <x v="21"/>
    <n v="6"/>
    <x v="22"/>
    <n v="9"/>
    <x v="20"/>
    <s v="Duronto Rajshahi"/>
    <s v="bat first"/>
    <s v="Rajshahi"/>
    <s v="Duronto Rajshahi"/>
    <x v="1"/>
    <s v="Chattogram"/>
    <n v="0"/>
    <n v="9"/>
    <s v="9 runs"/>
    <s v="Runs"/>
    <n v="9"/>
    <s v="Close Match"/>
    <n v="243"/>
    <x v="0"/>
    <s v="David Orchard"/>
    <s v="Sharfuddoula"/>
    <x v="1"/>
    <x v="4"/>
    <x v="0"/>
  </r>
  <r>
    <x v="0"/>
    <x v="0"/>
    <x v="23"/>
    <x v="1"/>
    <s v="Feb 18 2012"/>
    <x v="22"/>
    <n v="6"/>
    <x v="23"/>
    <n v="8"/>
    <x v="21"/>
    <s v="Sylhet Royals"/>
    <s v="field first"/>
    <s v="Khulna"/>
    <s v="Khulna Royal Bengals"/>
    <x v="1"/>
    <s v="Chattogram"/>
    <n v="0"/>
    <n v="2"/>
    <s v="2 runs"/>
    <s v="Runs"/>
    <n v="2"/>
    <s v="Close Match"/>
    <n v="340"/>
    <x v="0"/>
    <s v="Enamul Haque"/>
    <s v="Jeremy Lloyds"/>
    <x v="0"/>
    <x v="2"/>
    <x v="1"/>
  </r>
  <r>
    <x v="0"/>
    <x v="0"/>
    <x v="23"/>
    <x v="1"/>
    <s v="Feb 18 2012"/>
    <x v="22"/>
    <n v="6"/>
    <x v="23"/>
    <n v="8"/>
    <x v="21"/>
    <s v="Sylhet Royals"/>
    <s v="field first"/>
    <s v="Khulna"/>
    <s v="Khulna Royal Bengals"/>
    <x v="1"/>
    <s v="Chattogram"/>
    <n v="0"/>
    <n v="2"/>
    <s v="2 runs"/>
    <s v="Runs"/>
    <n v="2"/>
    <s v="Close Match"/>
    <n v="340"/>
    <x v="0"/>
    <s v="Enamul Haque"/>
    <s v="Jeremy Lloyds"/>
    <x v="1"/>
    <x v="5"/>
    <x v="0"/>
  </r>
  <r>
    <x v="1"/>
    <x v="1"/>
    <x v="24"/>
    <x v="1"/>
    <s v="Feb 13 2013"/>
    <x v="23"/>
    <n v="3"/>
    <x v="7"/>
    <n v="6"/>
    <x v="22"/>
    <s v="Duronto Rajshahi"/>
    <s v="field first"/>
    <s v="Chittagong"/>
    <s v="Chittagong Kings"/>
    <x v="0"/>
    <s v="Mirpur"/>
    <n v="0"/>
    <n v="33"/>
    <s v="33 runs"/>
    <s v="Runs"/>
    <n v="33"/>
    <s v="Normal"/>
    <n v="353"/>
    <x v="0"/>
    <s v="Gazi Sohel"/>
    <s v="Richard Illingworth"/>
    <x v="0"/>
    <x v="4"/>
    <x v="1"/>
  </r>
  <r>
    <x v="1"/>
    <x v="1"/>
    <x v="24"/>
    <x v="1"/>
    <s v="Feb 13 2013"/>
    <x v="23"/>
    <n v="3"/>
    <x v="7"/>
    <n v="6"/>
    <x v="22"/>
    <s v="Duronto Rajshahi"/>
    <s v="field first"/>
    <s v="Chittagong"/>
    <s v="Chittagong Kings"/>
    <x v="0"/>
    <s v="Mirpur"/>
    <n v="0"/>
    <n v="33"/>
    <s v="33 runs"/>
    <s v="Runs"/>
    <n v="33"/>
    <s v="Normal"/>
    <n v="353"/>
    <x v="0"/>
    <s v="Gazi Sohel"/>
    <s v="Richard Illingworth"/>
    <x v="1"/>
    <x v="3"/>
    <x v="0"/>
  </r>
  <r>
    <x v="0"/>
    <x v="0"/>
    <x v="25"/>
    <x v="1"/>
    <s v="Feb 16 2012"/>
    <x v="20"/>
    <n v="9"/>
    <x v="6"/>
    <n v="7"/>
    <x v="23"/>
    <s v="Dhaka Gladiators"/>
    <s v="field first"/>
    <s v="Rajshahi"/>
    <s v="Duronto Rajshahi"/>
    <x v="0"/>
    <s v="Mirpur"/>
    <n v="0"/>
    <n v="14"/>
    <s v="14 runs"/>
    <s v="Runs"/>
    <n v="14"/>
    <s v="Normal"/>
    <n v="274"/>
    <x v="0"/>
    <s v="Jeremy Lloyds"/>
    <s v="Sharfuddoula"/>
    <x v="0"/>
    <x v="3"/>
    <x v="1"/>
  </r>
  <r>
    <x v="0"/>
    <x v="0"/>
    <x v="25"/>
    <x v="1"/>
    <s v="Feb 16 2012"/>
    <x v="20"/>
    <n v="9"/>
    <x v="6"/>
    <n v="7"/>
    <x v="23"/>
    <s v="Dhaka Gladiators"/>
    <s v="field first"/>
    <s v="Rajshahi"/>
    <s v="Duronto Rajshahi"/>
    <x v="0"/>
    <s v="Mirpur"/>
    <n v="0"/>
    <n v="14"/>
    <s v="14 runs"/>
    <s v="Runs"/>
    <n v="14"/>
    <s v="Normal"/>
    <n v="274"/>
    <x v="0"/>
    <s v="Jeremy Lloyds"/>
    <s v="Sharfuddoula"/>
    <x v="1"/>
    <x v="1"/>
    <x v="0"/>
  </r>
  <r>
    <x v="1"/>
    <x v="1"/>
    <x v="26"/>
    <x v="1"/>
    <s v="Feb 12 2013"/>
    <x v="24"/>
    <n v="10"/>
    <x v="22"/>
    <n v="3"/>
    <x v="4"/>
    <s v="Dhaka Gladiators"/>
    <s v="bat first"/>
    <s v="Barisal"/>
    <s v="Barisal Burners"/>
    <x v="0"/>
    <s v="Mirpur"/>
    <n v="7"/>
    <n v="0"/>
    <s v="7 wickets"/>
    <s v="Wickets"/>
    <n v="7"/>
    <s v="Close Match"/>
    <n v="231"/>
    <x v="0"/>
    <s v="Enamul Haque"/>
    <s v="Richard Illingworth"/>
    <x v="0"/>
    <x v="1"/>
    <x v="0"/>
  </r>
  <r>
    <x v="1"/>
    <x v="1"/>
    <x v="26"/>
    <x v="1"/>
    <s v="Feb 12 2013"/>
    <x v="24"/>
    <n v="10"/>
    <x v="22"/>
    <n v="3"/>
    <x v="4"/>
    <s v="Dhaka Gladiators"/>
    <s v="bat first"/>
    <s v="Barisal"/>
    <s v="Barisal Burners"/>
    <x v="0"/>
    <s v="Mirpur"/>
    <n v="7"/>
    <n v="0"/>
    <s v="7 wickets"/>
    <s v="Wickets"/>
    <n v="7"/>
    <s v="Close Match"/>
    <n v="231"/>
    <x v="0"/>
    <s v="Enamul Haque"/>
    <s v="Richard Illingworth"/>
    <x v="1"/>
    <x v="0"/>
    <x v="1"/>
  </r>
  <r>
    <x v="0"/>
    <x v="0"/>
    <x v="27"/>
    <x v="1"/>
    <s v="Feb 16 2012"/>
    <x v="25"/>
    <n v="6"/>
    <x v="24"/>
    <n v="2"/>
    <x v="24"/>
    <s v="Chittagong Kings"/>
    <s v="field first"/>
    <s v="Chittagong"/>
    <s v="Chittagong Kings"/>
    <x v="0"/>
    <s v="Mirpur"/>
    <n v="8"/>
    <n v="0"/>
    <s v="8 wickets"/>
    <s v="Wickets"/>
    <n v="8"/>
    <s v="Close Match"/>
    <n v="251"/>
    <x v="0"/>
    <s v="David Orchard"/>
    <s v="Enamul Haque"/>
    <x v="0"/>
    <x v="0"/>
    <x v="0"/>
  </r>
  <r>
    <x v="0"/>
    <x v="0"/>
    <x v="27"/>
    <x v="1"/>
    <s v="Feb 16 2012"/>
    <x v="25"/>
    <n v="6"/>
    <x v="24"/>
    <n v="2"/>
    <x v="24"/>
    <s v="Chittagong Kings"/>
    <s v="field first"/>
    <s v="Chittagong"/>
    <s v="Chittagong Kings"/>
    <x v="0"/>
    <s v="Mirpur"/>
    <n v="8"/>
    <n v="0"/>
    <s v="8 wickets"/>
    <s v="Wickets"/>
    <n v="8"/>
    <s v="Close Match"/>
    <n v="251"/>
    <x v="0"/>
    <s v="David Orchard"/>
    <s v="Enamul Haque"/>
    <x v="1"/>
    <x v="4"/>
    <x v="1"/>
  </r>
  <r>
    <x v="2"/>
    <x v="2"/>
    <x v="0"/>
    <x v="0"/>
    <s v="Dec 15 2015"/>
    <x v="7"/>
    <n v="4"/>
    <x v="25"/>
    <n v="7"/>
    <x v="25"/>
    <s v="Comilla Victorians"/>
    <s v="field first"/>
    <s v="Victorians"/>
    <s v="Comilla Victorians"/>
    <x v="0"/>
    <s v="Mirpur"/>
    <n v="3"/>
    <n v="0"/>
    <s v="3 wickets"/>
    <s v="Wickets"/>
    <n v="3"/>
    <s v="Close Match"/>
    <n v="313"/>
    <x v="0"/>
    <s v="Ahsan Raza"/>
    <s v="Ranmore Martinesz"/>
    <x v="0"/>
    <x v="7"/>
    <x v="0"/>
  </r>
  <r>
    <x v="2"/>
    <x v="2"/>
    <x v="0"/>
    <x v="0"/>
    <s v="Dec 15 2015"/>
    <x v="7"/>
    <n v="4"/>
    <x v="25"/>
    <n v="7"/>
    <x v="25"/>
    <s v="Comilla Victorians"/>
    <s v="field first"/>
    <s v="Victorians"/>
    <s v="Comilla Victorians"/>
    <x v="0"/>
    <s v="Mirpur"/>
    <n v="3"/>
    <n v="0"/>
    <s v="3 wickets"/>
    <s v="Wickets"/>
    <n v="3"/>
    <s v="Close Match"/>
    <n v="313"/>
    <x v="0"/>
    <s v="Ahsan Raza"/>
    <s v="Ranmore Martinesz"/>
    <x v="1"/>
    <x v="8"/>
    <x v="1"/>
  </r>
  <r>
    <x v="0"/>
    <x v="0"/>
    <x v="28"/>
    <x v="1"/>
    <s v="Feb 15 2012"/>
    <x v="26"/>
    <n v="7"/>
    <x v="26"/>
    <n v="4"/>
    <x v="26"/>
    <s v="Khulna Royal Bengals"/>
    <s v="bat first"/>
    <s v="Rajshahi"/>
    <s v="Duronto Rajshahi"/>
    <x v="0"/>
    <s v="Mirpur"/>
    <n v="6"/>
    <n v="0"/>
    <s v="6 wickets"/>
    <s v="Wickets"/>
    <n v="6"/>
    <s v="Close Match"/>
    <n v="291"/>
    <x v="0"/>
    <s v="David Orchard"/>
    <s v="Masudur Rahman"/>
    <x v="0"/>
    <x v="2"/>
    <x v="0"/>
  </r>
  <r>
    <x v="0"/>
    <x v="0"/>
    <x v="28"/>
    <x v="1"/>
    <s v="Feb 15 2012"/>
    <x v="26"/>
    <n v="7"/>
    <x v="26"/>
    <n v="4"/>
    <x v="26"/>
    <s v="Khulna Royal Bengals"/>
    <s v="bat first"/>
    <s v="Rajshahi"/>
    <s v="Duronto Rajshahi"/>
    <x v="0"/>
    <s v="Mirpur"/>
    <n v="6"/>
    <n v="0"/>
    <s v="6 wickets"/>
    <s v="Wickets"/>
    <n v="6"/>
    <s v="Close Match"/>
    <n v="291"/>
    <x v="0"/>
    <s v="David Orchard"/>
    <s v="Masudur Rahman"/>
    <x v="1"/>
    <x v="3"/>
    <x v="1"/>
  </r>
  <r>
    <x v="2"/>
    <x v="2"/>
    <x v="29"/>
    <x v="1"/>
    <s v="Dec 13 2015"/>
    <x v="27"/>
    <n v="9"/>
    <x v="27"/>
    <n v="5"/>
    <x v="27"/>
    <s v="Rangpur Riders"/>
    <s v="bat first"/>
    <s v="Bulls"/>
    <s v="Barisal Bulls"/>
    <x v="0"/>
    <s v="Mirpur"/>
    <n v="5"/>
    <n v="0"/>
    <s v="5 wickets"/>
    <s v="Wickets"/>
    <n v="5"/>
    <s v="Close Match"/>
    <n v="323"/>
    <x v="0"/>
    <s v="Enamul Haque"/>
    <s v="Ranmore Martinesz"/>
    <x v="0"/>
    <x v="6"/>
    <x v="0"/>
  </r>
  <r>
    <x v="2"/>
    <x v="2"/>
    <x v="29"/>
    <x v="1"/>
    <s v="Dec 13 2015"/>
    <x v="27"/>
    <n v="9"/>
    <x v="27"/>
    <n v="5"/>
    <x v="27"/>
    <s v="Rangpur Riders"/>
    <s v="bat first"/>
    <s v="Bulls"/>
    <s v="Barisal Bulls"/>
    <x v="0"/>
    <s v="Mirpur"/>
    <n v="5"/>
    <n v="0"/>
    <s v="5 wickets"/>
    <s v="Wickets"/>
    <n v="5"/>
    <s v="Close Match"/>
    <n v="323"/>
    <x v="0"/>
    <s v="Enamul Haque"/>
    <s v="Ranmore Martinesz"/>
    <x v="1"/>
    <x v="7"/>
    <x v="1"/>
  </r>
  <r>
    <x v="0"/>
    <x v="0"/>
    <x v="30"/>
    <x v="1"/>
    <s v="Feb 15 2012"/>
    <x v="28"/>
    <n v="4"/>
    <x v="28"/>
    <n v="3"/>
    <x v="28"/>
    <s v="Sylhet Royals"/>
    <s v="bat first"/>
    <s v="Chittagong"/>
    <s v="Chittagong Kings"/>
    <x v="0"/>
    <s v="Mirpur"/>
    <n v="7"/>
    <n v="0"/>
    <s v="7 wickets"/>
    <s v="Wickets"/>
    <n v="7"/>
    <s v="Close Match"/>
    <n v="306"/>
    <x v="0"/>
    <s v="Enamul Haque"/>
    <s v="Jeremy Lloyds"/>
    <x v="0"/>
    <x v="5"/>
    <x v="0"/>
  </r>
  <r>
    <x v="0"/>
    <x v="0"/>
    <x v="30"/>
    <x v="1"/>
    <s v="Feb 15 2012"/>
    <x v="28"/>
    <n v="4"/>
    <x v="28"/>
    <n v="3"/>
    <x v="28"/>
    <s v="Sylhet Royals"/>
    <s v="bat first"/>
    <s v="Chittagong"/>
    <s v="Chittagong Kings"/>
    <x v="0"/>
    <s v="Mirpur"/>
    <n v="7"/>
    <n v="0"/>
    <s v="7 wickets"/>
    <s v="Wickets"/>
    <n v="7"/>
    <s v="Close Match"/>
    <n v="306"/>
    <x v="0"/>
    <s v="Enamul Haque"/>
    <s v="Jeremy Lloyds"/>
    <x v="1"/>
    <x v="4"/>
    <x v="1"/>
  </r>
  <r>
    <x v="2"/>
    <x v="2"/>
    <x v="31"/>
    <x v="1"/>
    <s v="Dec 12 2015"/>
    <x v="29"/>
    <n v="5"/>
    <x v="22"/>
    <n v="8"/>
    <x v="29"/>
    <s v="Dhaka Dynamites"/>
    <s v="field first"/>
    <s v="Bulls"/>
    <s v="Barisal Bulls"/>
    <x v="0"/>
    <s v="Mirpur"/>
    <n v="0"/>
    <n v="18"/>
    <s v="18 runs"/>
    <s v="Runs"/>
    <n v="18"/>
    <s v="Normal"/>
    <n v="252"/>
    <x v="0"/>
    <s v="Ahsan Raza"/>
    <s v="Gazi Sohel"/>
    <x v="0"/>
    <x v="7"/>
    <x v="1"/>
  </r>
  <r>
    <x v="2"/>
    <x v="2"/>
    <x v="31"/>
    <x v="1"/>
    <s v="Dec 12 2015"/>
    <x v="29"/>
    <n v="5"/>
    <x v="22"/>
    <n v="8"/>
    <x v="29"/>
    <s v="Dhaka Dynamites"/>
    <s v="field first"/>
    <s v="Bulls"/>
    <s v="Barisal Bulls"/>
    <x v="0"/>
    <s v="Mirpur"/>
    <n v="0"/>
    <n v="18"/>
    <s v="18 runs"/>
    <s v="Runs"/>
    <n v="18"/>
    <s v="Normal"/>
    <n v="252"/>
    <x v="0"/>
    <s v="Ahsan Raza"/>
    <s v="Gazi Sohel"/>
    <x v="1"/>
    <x v="9"/>
    <x v="0"/>
  </r>
  <r>
    <x v="0"/>
    <x v="0"/>
    <x v="32"/>
    <x v="1"/>
    <s v="Feb 14 2012"/>
    <x v="30"/>
    <n v="5"/>
    <x v="29"/>
    <n v="5"/>
    <x v="1"/>
    <s v="Barisal Burners"/>
    <s v="field first"/>
    <s v="Dhaka"/>
    <s v="Dhaka Gladiators"/>
    <x v="0"/>
    <s v="Mirpur"/>
    <n v="0"/>
    <n v="21"/>
    <s v="21 runs"/>
    <s v="Runs"/>
    <n v="21"/>
    <s v="Normal"/>
    <n v="395"/>
    <x v="0"/>
    <s v="Jeremy Lloyds"/>
    <s v="Sharfuddoula"/>
    <x v="0"/>
    <x v="1"/>
    <x v="1"/>
  </r>
  <r>
    <x v="0"/>
    <x v="0"/>
    <x v="32"/>
    <x v="1"/>
    <s v="Feb 14 2012"/>
    <x v="30"/>
    <n v="5"/>
    <x v="29"/>
    <n v="5"/>
    <x v="1"/>
    <s v="Barisal Burners"/>
    <s v="field first"/>
    <s v="Dhaka"/>
    <s v="Dhaka Gladiators"/>
    <x v="0"/>
    <s v="Mirpur"/>
    <n v="0"/>
    <n v="21"/>
    <s v="21 runs"/>
    <s v="Runs"/>
    <n v="21"/>
    <s v="Normal"/>
    <n v="395"/>
    <x v="0"/>
    <s v="Jeremy Lloyds"/>
    <s v="Sharfuddoula"/>
    <x v="1"/>
    <x v="0"/>
    <x v="0"/>
  </r>
  <r>
    <x v="2"/>
    <x v="2"/>
    <x v="29"/>
    <x v="1"/>
    <s v="Dec 12 2015"/>
    <x v="31"/>
    <n v="7"/>
    <x v="30"/>
    <n v="10"/>
    <x v="30"/>
    <s v="Rangpur Riders"/>
    <s v="field first"/>
    <s v="Victorians"/>
    <s v="Comilla Victorians"/>
    <x v="0"/>
    <s v="Mirpur"/>
    <n v="0"/>
    <n v="72"/>
    <s v="72 runs"/>
    <s v="Runs"/>
    <n v="72"/>
    <s v="Normal"/>
    <n v="254"/>
    <x v="0"/>
    <s v="Enamul Haque"/>
    <s v="Ranmore Martinesz"/>
    <x v="0"/>
    <x v="8"/>
    <x v="1"/>
  </r>
  <r>
    <x v="2"/>
    <x v="2"/>
    <x v="29"/>
    <x v="1"/>
    <s v="Dec 12 2015"/>
    <x v="31"/>
    <n v="7"/>
    <x v="30"/>
    <n v="10"/>
    <x v="30"/>
    <s v="Rangpur Riders"/>
    <s v="field first"/>
    <s v="Victorians"/>
    <s v="Comilla Victorians"/>
    <x v="0"/>
    <s v="Mirpur"/>
    <n v="0"/>
    <n v="72"/>
    <s v="72 runs"/>
    <s v="Runs"/>
    <n v="72"/>
    <s v="Normal"/>
    <n v="254"/>
    <x v="0"/>
    <s v="Enamul Haque"/>
    <s v="Ranmore Martinesz"/>
    <x v="1"/>
    <x v="6"/>
    <x v="0"/>
  </r>
  <r>
    <x v="0"/>
    <x v="0"/>
    <x v="33"/>
    <x v="1"/>
    <s v="Feb 14 2012"/>
    <x v="22"/>
    <n v="8"/>
    <x v="31"/>
    <n v="4"/>
    <x v="23"/>
    <s v="Duronto Rajshahi"/>
    <s v="bat first"/>
    <s v="Rajshahi"/>
    <s v="Duronto Rajshahi"/>
    <x v="0"/>
    <s v="Mirpur"/>
    <n v="0"/>
    <n v="16"/>
    <s v="16 runs"/>
    <s v="Runs"/>
    <n v="16"/>
    <s v="Normal"/>
    <n v="326"/>
    <x v="0"/>
    <s v="David Orchard"/>
    <s v="Enamul Haque"/>
    <x v="0"/>
    <x v="3"/>
    <x v="1"/>
  </r>
  <r>
    <x v="0"/>
    <x v="0"/>
    <x v="33"/>
    <x v="1"/>
    <s v="Feb 14 2012"/>
    <x v="22"/>
    <n v="8"/>
    <x v="31"/>
    <n v="4"/>
    <x v="23"/>
    <s v="Duronto Rajshahi"/>
    <s v="bat first"/>
    <s v="Rajshahi"/>
    <s v="Duronto Rajshahi"/>
    <x v="0"/>
    <s v="Mirpur"/>
    <n v="0"/>
    <n v="16"/>
    <s v="16 runs"/>
    <s v="Runs"/>
    <n v="16"/>
    <s v="Normal"/>
    <n v="326"/>
    <x v="0"/>
    <s v="David Orchard"/>
    <s v="Enamul Haque"/>
    <x v="1"/>
    <x v="5"/>
    <x v="0"/>
  </r>
  <r>
    <x v="0"/>
    <x v="0"/>
    <x v="34"/>
    <x v="1"/>
    <s v="Feb 13 2012"/>
    <x v="32"/>
    <n v="6"/>
    <x v="32"/>
    <n v="4"/>
    <x v="31"/>
    <s v="Chittagong Kings"/>
    <s v="bat first"/>
    <s v="Dhaka"/>
    <s v="Dhaka Gladiators"/>
    <x v="0"/>
    <s v="Mirpur"/>
    <n v="6"/>
    <n v="0"/>
    <s v="6 wickets"/>
    <s v="Wickets"/>
    <n v="6"/>
    <s v="Close Match"/>
    <n v="309"/>
    <x v="0"/>
    <s v="David Orchard"/>
    <s v="Sharfuddoula"/>
    <x v="0"/>
    <x v="4"/>
    <x v="0"/>
  </r>
  <r>
    <x v="0"/>
    <x v="0"/>
    <x v="34"/>
    <x v="1"/>
    <s v="Feb 13 2012"/>
    <x v="32"/>
    <n v="6"/>
    <x v="32"/>
    <n v="4"/>
    <x v="31"/>
    <s v="Chittagong Kings"/>
    <s v="bat first"/>
    <s v="Dhaka"/>
    <s v="Dhaka Gladiators"/>
    <x v="0"/>
    <s v="Mirpur"/>
    <n v="6"/>
    <n v="0"/>
    <s v="6 wickets"/>
    <s v="Wickets"/>
    <n v="6"/>
    <s v="Close Match"/>
    <n v="309"/>
    <x v="0"/>
    <s v="David Orchard"/>
    <s v="Sharfuddoula"/>
    <x v="1"/>
    <x v="1"/>
    <x v="1"/>
  </r>
  <r>
    <x v="2"/>
    <x v="2"/>
    <x v="3"/>
    <x v="1"/>
    <s v="Dec 10 2015"/>
    <x v="4"/>
    <n v="4"/>
    <x v="33"/>
    <n v="10"/>
    <x v="2"/>
    <s v="Sylhet Super Stars"/>
    <s v="field first"/>
    <s v="Victorians"/>
    <s v="Comilla Victorians"/>
    <x v="0"/>
    <s v="Mirpur"/>
    <n v="0"/>
    <n v="71"/>
    <s v="71 runs"/>
    <s v="Runs"/>
    <n v="71"/>
    <s v="Normal"/>
    <n v="229"/>
    <x v="0"/>
    <s v="Ahsan Raza"/>
    <s v="Enamul Haque"/>
    <x v="0"/>
    <x v="8"/>
    <x v="1"/>
  </r>
  <r>
    <x v="2"/>
    <x v="2"/>
    <x v="3"/>
    <x v="1"/>
    <s v="Dec 10 2015"/>
    <x v="4"/>
    <n v="4"/>
    <x v="33"/>
    <n v="10"/>
    <x v="2"/>
    <s v="Sylhet Super Stars"/>
    <s v="field first"/>
    <s v="Victorians"/>
    <s v="Comilla Victorians"/>
    <x v="0"/>
    <s v="Mirpur"/>
    <n v="0"/>
    <n v="71"/>
    <s v="71 runs"/>
    <s v="Runs"/>
    <n v="71"/>
    <s v="Normal"/>
    <n v="229"/>
    <x v="0"/>
    <s v="Ahsan Raza"/>
    <s v="Enamul Haque"/>
    <x v="1"/>
    <x v="10"/>
    <x v="0"/>
  </r>
  <r>
    <x v="0"/>
    <x v="0"/>
    <x v="35"/>
    <x v="1"/>
    <s v="Feb 13 2012"/>
    <x v="25"/>
    <n v="10"/>
    <x v="34"/>
    <n v="3"/>
    <x v="32"/>
    <s v="Khulna Royal Bengals"/>
    <s v="field first"/>
    <s v="Khulna"/>
    <s v="Khulna Royal Bengals"/>
    <x v="0"/>
    <s v="Mirpur"/>
    <n v="7"/>
    <n v="0"/>
    <s v="7 wickets"/>
    <s v="Wickets"/>
    <n v="7"/>
    <s v="Close Match"/>
    <n v="256"/>
    <x v="0"/>
    <s v="Enamul Haque"/>
    <s v="Jeremy Lloyds"/>
    <x v="0"/>
    <x v="0"/>
    <x v="0"/>
  </r>
  <r>
    <x v="0"/>
    <x v="0"/>
    <x v="35"/>
    <x v="1"/>
    <s v="Feb 13 2012"/>
    <x v="25"/>
    <n v="10"/>
    <x v="34"/>
    <n v="3"/>
    <x v="32"/>
    <s v="Khulna Royal Bengals"/>
    <s v="field first"/>
    <s v="Khulna"/>
    <s v="Khulna Royal Bengals"/>
    <x v="0"/>
    <s v="Mirpur"/>
    <n v="7"/>
    <n v="0"/>
    <s v="7 wickets"/>
    <s v="Wickets"/>
    <n v="7"/>
    <s v="Close Match"/>
    <n v="256"/>
    <x v="0"/>
    <s v="Enamul Haque"/>
    <s v="Jeremy Lloyds"/>
    <x v="1"/>
    <x v="2"/>
    <x v="1"/>
  </r>
  <r>
    <x v="2"/>
    <x v="2"/>
    <x v="4"/>
    <x v="1"/>
    <s v="Dec 9 2015"/>
    <x v="29"/>
    <n v="7"/>
    <x v="20"/>
    <n v="2"/>
    <x v="14"/>
    <s v="Barisal Bulls"/>
    <s v="field first"/>
    <s v="Bulls"/>
    <s v="Barisal Bulls"/>
    <x v="0"/>
    <s v="Mirpur"/>
    <n v="8"/>
    <n v="0"/>
    <s v="8 wickets"/>
    <s v="Wickets"/>
    <n v="8"/>
    <s v="Close Match"/>
    <n v="276"/>
    <x v="0"/>
    <s v="Ahsan Raza"/>
    <s v="Gazi Sohel"/>
    <x v="0"/>
    <x v="11"/>
    <x v="0"/>
  </r>
  <r>
    <x v="2"/>
    <x v="2"/>
    <x v="4"/>
    <x v="1"/>
    <s v="Dec 9 2015"/>
    <x v="29"/>
    <n v="7"/>
    <x v="20"/>
    <n v="2"/>
    <x v="14"/>
    <s v="Barisal Bulls"/>
    <s v="field first"/>
    <s v="Bulls"/>
    <s v="Barisal Bulls"/>
    <x v="0"/>
    <s v="Mirpur"/>
    <n v="8"/>
    <n v="0"/>
    <s v="8 wickets"/>
    <s v="Wickets"/>
    <n v="8"/>
    <s v="Close Match"/>
    <n v="276"/>
    <x v="0"/>
    <s v="Ahsan Raza"/>
    <s v="Gazi Sohel"/>
    <x v="1"/>
    <x v="7"/>
    <x v="1"/>
  </r>
  <r>
    <x v="0"/>
    <x v="0"/>
    <x v="36"/>
    <x v="1"/>
    <s v="Feb 12 2012"/>
    <x v="8"/>
    <n v="10"/>
    <x v="24"/>
    <n v="3"/>
    <x v="33"/>
    <s v="Sylhet Royals"/>
    <s v="bat first"/>
    <s v="Dhaka"/>
    <s v="Dhaka Gladiators"/>
    <x v="0"/>
    <s v="Mirpur"/>
    <n v="7"/>
    <n v="0"/>
    <s v="7 wickets"/>
    <s v="Wickets"/>
    <n v="7"/>
    <s v="Close Match"/>
    <n v="250"/>
    <x v="0"/>
    <s v="Jeremy Lloyds"/>
    <s v="Sharfuddoula"/>
    <x v="0"/>
    <x v="5"/>
    <x v="0"/>
  </r>
  <r>
    <x v="0"/>
    <x v="0"/>
    <x v="36"/>
    <x v="1"/>
    <s v="Feb 12 2012"/>
    <x v="8"/>
    <n v="10"/>
    <x v="24"/>
    <n v="3"/>
    <x v="33"/>
    <s v="Sylhet Royals"/>
    <s v="bat first"/>
    <s v="Dhaka"/>
    <s v="Dhaka Gladiators"/>
    <x v="0"/>
    <s v="Mirpur"/>
    <n v="7"/>
    <n v="0"/>
    <s v="7 wickets"/>
    <s v="Wickets"/>
    <n v="7"/>
    <s v="Close Match"/>
    <n v="250"/>
    <x v="0"/>
    <s v="Jeremy Lloyds"/>
    <s v="Sharfuddoula"/>
    <x v="1"/>
    <x v="1"/>
    <x v="1"/>
  </r>
  <r>
    <x v="2"/>
    <x v="2"/>
    <x v="5"/>
    <x v="1"/>
    <s v="Dec 9 2015"/>
    <x v="33"/>
    <n v="5"/>
    <x v="12"/>
    <n v="4"/>
    <x v="34"/>
    <s v="Sylhet Super Stars"/>
    <s v="field first"/>
    <s v="Super"/>
    <s v="Sylhet Super Stars"/>
    <x v="0"/>
    <s v="Mirpur"/>
    <n v="0"/>
    <n v="0"/>
    <s v="by 6"/>
    <s v="Wickets"/>
    <n v="0"/>
    <s v="Close Match"/>
    <n v="319"/>
    <x v="0"/>
    <s v="Mahfuzur Rahman"/>
    <s v="Masudur Rahman"/>
    <x v="0"/>
    <x v="9"/>
    <x v="0"/>
  </r>
  <r>
    <x v="2"/>
    <x v="2"/>
    <x v="5"/>
    <x v="1"/>
    <s v="Dec 9 2015"/>
    <x v="33"/>
    <n v="5"/>
    <x v="12"/>
    <n v="4"/>
    <x v="34"/>
    <s v="Sylhet Super Stars"/>
    <s v="field first"/>
    <s v="Super"/>
    <s v="Sylhet Super Stars"/>
    <x v="0"/>
    <s v="Mirpur"/>
    <n v="0"/>
    <n v="0"/>
    <s v="by 6"/>
    <s v="Wickets"/>
    <n v="0"/>
    <s v="Close Match"/>
    <n v="319"/>
    <x v="0"/>
    <s v="Mahfuzur Rahman"/>
    <s v="Masudur Rahman"/>
    <x v="1"/>
    <x v="10"/>
    <x v="1"/>
  </r>
  <r>
    <x v="0"/>
    <x v="0"/>
    <x v="37"/>
    <x v="1"/>
    <s v="Feb 12 2012"/>
    <x v="22"/>
    <n v="3"/>
    <x v="35"/>
    <n v="4"/>
    <x v="24"/>
    <s v="Khulna Royal Bengals"/>
    <s v="bat first"/>
    <s v="Chittagong"/>
    <s v="Chittagong Kings"/>
    <x v="0"/>
    <s v="Mirpur"/>
    <n v="6"/>
    <n v="0"/>
    <s v="6 wickets"/>
    <s v="Wickets"/>
    <n v="6"/>
    <s v="Close Match"/>
    <n v="345"/>
    <x v="0"/>
    <s v="David Orchard"/>
    <s v="Enamul Haque"/>
    <x v="0"/>
    <x v="2"/>
    <x v="0"/>
  </r>
  <r>
    <x v="0"/>
    <x v="0"/>
    <x v="37"/>
    <x v="1"/>
    <s v="Feb 12 2012"/>
    <x v="22"/>
    <n v="3"/>
    <x v="35"/>
    <n v="4"/>
    <x v="24"/>
    <s v="Khulna Royal Bengals"/>
    <s v="bat first"/>
    <s v="Chittagong"/>
    <s v="Chittagong Kings"/>
    <x v="0"/>
    <s v="Mirpur"/>
    <n v="6"/>
    <n v="0"/>
    <s v="6 wickets"/>
    <s v="Wickets"/>
    <n v="6"/>
    <s v="Close Match"/>
    <n v="345"/>
    <x v="0"/>
    <s v="David Orchard"/>
    <s v="Enamul Haque"/>
    <x v="1"/>
    <x v="4"/>
    <x v="1"/>
  </r>
  <r>
    <x v="2"/>
    <x v="2"/>
    <x v="6"/>
    <x v="1"/>
    <s v="Dec 8 2015"/>
    <x v="32"/>
    <n v="6"/>
    <x v="13"/>
    <n v="10"/>
    <x v="35"/>
    <s v="Comilla Victorians"/>
    <s v="field first"/>
    <s v="Riders"/>
    <s v="Rangpur Riders"/>
    <x v="0"/>
    <s v="Mirpur"/>
    <n v="0"/>
    <n v="21"/>
    <s v="21 runs"/>
    <s v="Runs"/>
    <n v="21"/>
    <s v="Normal"/>
    <n v="285"/>
    <x v="0"/>
    <s v="Gazi Sohel"/>
    <s v="Ranmore Martinesz"/>
    <x v="0"/>
    <x v="6"/>
    <x v="1"/>
  </r>
  <r>
    <x v="2"/>
    <x v="2"/>
    <x v="6"/>
    <x v="1"/>
    <s v="Dec 8 2015"/>
    <x v="32"/>
    <n v="6"/>
    <x v="13"/>
    <n v="10"/>
    <x v="35"/>
    <s v="Comilla Victorians"/>
    <s v="field first"/>
    <s v="Riders"/>
    <s v="Rangpur Riders"/>
    <x v="0"/>
    <s v="Mirpur"/>
    <n v="0"/>
    <n v="21"/>
    <s v="21 runs"/>
    <s v="Runs"/>
    <n v="21"/>
    <s v="Normal"/>
    <n v="285"/>
    <x v="0"/>
    <s v="Gazi Sohel"/>
    <s v="Ranmore Martinesz"/>
    <x v="1"/>
    <x v="8"/>
    <x v="0"/>
  </r>
  <r>
    <x v="0"/>
    <x v="0"/>
    <x v="38"/>
    <x v="1"/>
    <s v="Feb 11 2012"/>
    <x v="34"/>
    <n v="2"/>
    <x v="36"/>
    <n v="9"/>
    <x v="2"/>
    <s v="Barisal Burners"/>
    <s v="bat first"/>
    <s v="Barisal"/>
    <s v="Barisal Burners"/>
    <x v="0"/>
    <s v="Mirpur"/>
    <n v="0"/>
    <n v="22"/>
    <s v="22 runs"/>
    <s v="Runs"/>
    <n v="22"/>
    <s v="Normal"/>
    <n v="338"/>
    <x v="0"/>
    <s v="David Orchard"/>
    <s v="Gazi Sohel"/>
    <x v="0"/>
    <x v="0"/>
    <x v="1"/>
  </r>
  <r>
    <x v="0"/>
    <x v="0"/>
    <x v="38"/>
    <x v="1"/>
    <s v="Feb 11 2012"/>
    <x v="34"/>
    <n v="2"/>
    <x v="36"/>
    <n v="9"/>
    <x v="2"/>
    <s v="Barisal Burners"/>
    <s v="bat first"/>
    <s v="Barisal"/>
    <s v="Barisal Burners"/>
    <x v="0"/>
    <s v="Mirpur"/>
    <n v="0"/>
    <n v="22"/>
    <s v="22 runs"/>
    <s v="Runs"/>
    <n v="22"/>
    <s v="Normal"/>
    <n v="338"/>
    <x v="0"/>
    <s v="David Orchard"/>
    <s v="Gazi Sohel"/>
    <x v="1"/>
    <x v="3"/>
    <x v="0"/>
  </r>
  <r>
    <x v="2"/>
    <x v="2"/>
    <x v="7"/>
    <x v="1"/>
    <s v="Dec 8 2015"/>
    <x v="35"/>
    <n v="8"/>
    <x v="37"/>
    <n v="10"/>
    <x v="8"/>
    <s v="Chittagong Vikings"/>
    <s v="field first"/>
    <s v="Dynamites"/>
    <s v="Dhaka Dynamites"/>
    <x v="0"/>
    <s v="Mirpur"/>
    <n v="0"/>
    <n v="45"/>
    <s v="45 runs"/>
    <s v="Runs"/>
    <n v="45"/>
    <s v="Normal"/>
    <n v="197"/>
    <x v="0"/>
    <s v="Ahsan Raza"/>
    <s v="Masudur Rahman"/>
    <x v="0"/>
    <x v="9"/>
    <x v="1"/>
  </r>
  <r>
    <x v="2"/>
    <x v="2"/>
    <x v="7"/>
    <x v="1"/>
    <s v="Dec 8 2015"/>
    <x v="35"/>
    <n v="8"/>
    <x v="37"/>
    <n v="10"/>
    <x v="8"/>
    <s v="Chittagong Vikings"/>
    <s v="field first"/>
    <s v="Dynamites"/>
    <s v="Dhaka Dynamites"/>
    <x v="0"/>
    <s v="Mirpur"/>
    <n v="0"/>
    <n v="45"/>
    <s v="45 runs"/>
    <s v="Runs"/>
    <n v="45"/>
    <s v="Normal"/>
    <n v="197"/>
    <x v="0"/>
    <s v="Ahsan Raza"/>
    <s v="Masudur Rahman"/>
    <x v="1"/>
    <x v="11"/>
    <x v="0"/>
  </r>
  <r>
    <x v="0"/>
    <x v="0"/>
    <x v="39"/>
    <x v="1"/>
    <s v="Feb 11 2012"/>
    <x v="36"/>
    <n v="5"/>
    <x v="32"/>
    <n v="7"/>
    <x v="21"/>
    <s v="Khulna Royal Bengals"/>
    <s v="bat first"/>
    <s v="Khulna"/>
    <s v="Khulna Royal Bengals"/>
    <x v="0"/>
    <s v="Mirpur"/>
    <n v="0"/>
    <n v="19"/>
    <s v="19 runs"/>
    <s v="Runs"/>
    <n v="19"/>
    <s v="Normal"/>
    <n v="331"/>
    <x v="0"/>
    <s v="Jeremy Lloyds"/>
    <s v="Sharfuddoula"/>
    <x v="0"/>
    <x v="2"/>
    <x v="1"/>
  </r>
  <r>
    <x v="0"/>
    <x v="0"/>
    <x v="39"/>
    <x v="1"/>
    <s v="Feb 11 2012"/>
    <x v="36"/>
    <n v="5"/>
    <x v="32"/>
    <n v="7"/>
    <x v="21"/>
    <s v="Khulna Royal Bengals"/>
    <s v="bat first"/>
    <s v="Khulna"/>
    <s v="Khulna Royal Bengals"/>
    <x v="0"/>
    <s v="Mirpur"/>
    <n v="0"/>
    <n v="19"/>
    <s v="19 runs"/>
    <s v="Runs"/>
    <n v="19"/>
    <s v="Normal"/>
    <n v="331"/>
    <x v="0"/>
    <s v="Jeremy Lloyds"/>
    <s v="Sharfuddoula"/>
    <x v="1"/>
    <x v="1"/>
    <x v="0"/>
  </r>
  <r>
    <x v="3"/>
    <x v="3"/>
    <x v="0"/>
    <x v="0"/>
    <s v="Dec 9 2016"/>
    <x v="37"/>
    <n v="9"/>
    <x v="38"/>
    <n v="10"/>
    <x v="36"/>
    <s v="Rajshahi Kings"/>
    <s v="field first"/>
    <s v="Dynamites"/>
    <s v="Dhaka Dynamites"/>
    <x v="0"/>
    <s v="Mirpur"/>
    <n v="0"/>
    <n v="56"/>
    <s v="56 runs"/>
    <s v="Runs"/>
    <n v="56"/>
    <s v="Normal"/>
    <n v="262"/>
    <x v="0"/>
    <s v="Khalid Mahmood"/>
    <s v="Mahfuzur Rahman"/>
    <x v="0"/>
    <x v="9"/>
    <x v="1"/>
  </r>
  <r>
    <x v="3"/>
    <x v="3"/>
    <x v="0"/>
    <x v="0"/>
    <s v="Dec 9 2016"/>
    <x v="37"/>
    <n v="9"/>
    <x v="38"/>
    <n v="10"/>
    <x v="36"/>
    <s v="Rajshahi Kings"/>
    <s v="field first"/>
    <s v="Dynamites"/>
    <s v="Dhaka Dynamites"/>
    <x v="0"/>
    <s v="Mirpur"/>
    <n v="0"/>
    <n v="56"/>
    <s v="56 runs"/>
    <s v="Runs"/>
    <n v="56"/>
    <s v="Normal"/>
    <n v="262"/>
    <x v="0"/>
    <s v="Khalid Mahmood"/>
    <s v="Mahfuzur Rahman"/>
    <x v="1"/>
    <x v="12"/>
    <x v="0"/>
  </r>
  <r>
    <x v="0"/>
    <x v="0"/>
    <x v="1"/>
    <x v="1"/>
    <s v="Feb 10 2012"/>
    <x v="38"/>
    <n v="4"/>
    <x v="39"/>
    <n v="10"/>
    <x v="9"/>
    <s v="Chittagong Kings"/>
    <s v="bat first"/>
    <s v="Chittagong"/>
    <s v="Chittagong Kings"/>
    <x v="0"/>
    <s v="Mirpur"/>
    <n v="0"/>
    <n v="53"/>
    <s v="53 runs"/>
    <s v="Runs"/>
    <n v="53"/>
    <s v="Normal"/>
    <n v="359"/>
    <x v="0"/>
    <s v="Jeremy Lloyds"/>
    <s v="Sharfuddoula"/>
    <x v="0"/>
    <x v="4"/>
    <x v="1"/>
  </r>
  <r>
    <x v="0"/>
    <x v="0"/>
    <x v="1"/>
    <x v="1"/>
    <s v="Feb 10 2012"/>
    <x v="38"/>
    <n v="4"/>
    <x v="39"/>
    <n v="10"/>
    <x v="9"/>
    <s v="Chittagong Kings"/>
    <s v="bat first"/>
    <s v="Chittagong"/>
    <s v="Chittagong Kings"/>
    <x v="0"/>
    <s v="Mirpur"/>
    <n v="0"/>
    <n v="53"/>
    <s v="53 runs"/>
    <s v="Runs"/>
    <n v="53"/>
    <s v="Normal"/>
    <n v="359"/>
    <x v="0"/>
    <s v="Jeremy Lloyds"/>
    <s v="Sharfuddoula"/>
    <x v="1"/>
    <x v="3"/>
    <x v="0"/>
  </r>
  <r>
    <x v="3"/>
    <x v="3"/>
    <x v="29"/>
    <x v="1"/>
    <s v="Dec 7 2016"/>
    <x v="25"/>
    <n v="9"/>
    <x v="9"/>
    <n v="3"/>
    <x v="37"/>
    <s v="Khulna Titans"/>
    <s v="bat first"/>
    <s v="Kings"/>
    <s v="Rajshahi Kings"/>
    <x v="0"/>
    <s v="Mirpur"/>
    <n v="7"/>
    <n v="0"/>
    <s v="7 wickets"/>
    <s v="Wickets"/>
    <n v="7"/>
    <s v="Close Match"/>
    <n v="254"/>
    <x v="0"/>
    <s v="Masudur Rahman"/>
    <s v="Ranmore Martinesz"/>
    <x v="0"/>
    <x v="13"/>
    <x v="0"/>
  </r>
  <r>
    <x v="3"/>
    <x v="3"/>
    <x v="29"/>
    <x v="1"/>
    <s v="Dec 7 2016"/>
    <x v="25"/>
    <n v="9"/>
    <x v="9"/>
    <n v="3"/>
    <x v="37"/>
    <s v="Khulna Titans"/>
    <s v="bat first"/>
    <s v="Kings"/>
    <s v="Rajshahi Kings"/>
    <x v="0"/>
    <s v="Mirpur"/>
    <n v="7"/>
    <n v="0"/>
    <s v="7 wickets"/>
    <s v="Wickets"/>
    <n v="7"/>
    <s v="Close Match"/>
    <n v="254"/>
    <x v="0"/>
    <s v="Masudur Rahman"/>
    <s v="Ranmore Martinesz"/>
    <x v="1"/>
    <x v="12"/>
    <x v="1"/>
  </r>
  <r>
    <x v="0"/>
    <x v="0"/>
    <x v="2"/>
    <x v="1"/>
    <s v="Feb 10 2012"/>
    <x v="6"/>
    <n v="4"/>
    <x v="40"/>
    <n v="0"/>
    <x v="14"/>
    <s v="Barisal Burners"/>
    <s v="field first"/>
    <s v="Barisal"/>
    <s v="Barisal Burners"/>
    <x v="0"/>
    <s v="Mirpur"/>
    <n v="10"/>
    <n v="0"/>
    <s v="10 wickets"/>
    <s v="Wickets"/>
    <n v="10"/>
    <s v="Close Match"/>
    <n v="332"/>
    <x v="0"/>
    <s v="Anisur Rahman"/>
    <s v="David Orchard"/>
    <x v="0"/>
    <x v="5"/>
    <x v="0"/>
  </r>
  <r>
    <x v="0"/>
    <x v="0"/>
    <x v="2"/>
    <x v="1"/>
    <s v="Feb 10 2012"/>
    <x v="6"/>
    <n v="4"/>
    <x v="40"/>
    <n v="0"/>
    <x v="14"/>
    <s v="Barisal Burners"/>
    <s v="field first"/>
    <s v="Barisal"/>
    <s v="Barisal Burners"/>
    <x v="0"/>
    <s v="Mirpur"/>
    <n v="10"/>
    <n v="0"/>
    <s v="10 wickets"/>
    <s v="Wickets"/>
    <n v="10"/>
    <s v="Close Match"/>
    <n v="332"/>
    <x v="0"/>
    <s v="Anisur Rahman"/>
    <s v="David Orchard"/>
    <x v="1"/>
    <x v="0"/>
    <x v="1"/>
  </r>
  <r>
    <x v="3"/>
    <x v="3"/>
    <x v="29"/>
    <x v="1"/>
    <s v="Dec 6 2016"/>
    <x v="0"/>
    <n v="8"/>
    <x v="41"/>
    <n v="10"/>
    <x v="21"/>
    <s v="Khulna Titans"/>
    <s v="field first"/>
    <s v="Dynamites"/>
    <s v="Dhaka Dynamites"/>
    <x v="0"/>
    <s v="Mirpur"/>
    <n v="0"/>
    <n v="54"/>
    <s v="54 runs"/>
    <s v="Runs"/>
    <n v="54"/>
    <s v="Normal"/>
    <n v="226"/>
    <x v="0"/>
    <s v="Khalid Mahmood"/>
    <s v="Nadir Shah"/>
    <x v="0"/>
    <x v="9"/>
    <x v="1"/>
  </r>
  <r>
    <x v="3"/>
    <x v="3"/>
    <x v="29"/>
    <x v="1"/>
    <s v="Dec 6 2016"/>
    <x v="0"/>
    <n v="8"/>
    <x v="41"/>
    <n v="10"/>
    <x v="21"/>
    <s v="Khulna Titans"/>
    <s v="field first"/>
    <s v="Dynamites"/>
    <s v="Dhaka Dynamites"/>
    <x v="0"/>
    <s v="Mirpur"/>
    <n v="0"/>
    <n v="54"/>
    <s v="54 runs"/>
    <s v="Runs"/>
    <n v="54"/>
    <s v="Normal"/>
    <n v="226"/>
    <x v="0"/>
    <s v="Khalid Mahmood"/>
    <s v="Nadir Shah"/>
    <x v="1"/>
    <x v="13"/>
    <x v="0"/>
  </r>
  <r>
    <x v="3"/>
    <x v="3"/>
    <x v="40"/>
    <x v="1"/>
    <s v="Dec 6 2016"/>
    <x v="39"/>
    <n v="8"/>
    <x v="42"/>
    <n v="7"/>
    <x v="38"/>
    <s v="Rajshahi Kings"/>
    <s v="field first"/>
    <s v="Kings"/>
    <s v="Rajshahi Kings"/>
    <x v="0"/>
    <s v="Mirpur"/>
    <n v="3"/>
    <n v="0"/>
    <s v="3 wickets"/>
    <s v="Wickets"/>
    <n v="3"/>
    <s v="Close Match"/>
    <n v="285"/>
    <x v="0"/>
    <s v="Masudur Rahman"/>
    <s v="Ranmore Martinesz"/>
    <x v="0"/>
    <x v="11"/>
    <x v="0"/>
  </r>
  <r>
    <x v="3"/>
    <x v="3"/>
    <x v="40"/>
    <x v="1"/>
    <s v="Dec 6 2016"/>
    <x v="39"/>
    <n v="8"/>
    <x v="42"/>
    <n v="7"/>
    <x v="38"/>
    <s v="Rajshahi Kings"/>
    <s v="field first"/>
    <s v="Kings"/>
    <s v="Rajshahi Kings"/>
    <x v="0"/>
    <s v="Mirpur"/>
    <n v="3"/>
    <n v="0"/>
    <s v="3 wickets"/>
    <s v="Wickets"/>
    <n v="3"/>
    <s v="Close Match"/>
    <n v="285"/>
    <x v="0"/>
    <s v="Masudur Rahman"/>
    <s v="Ranmore Martinesz"/>
    <x v="1"/>
    <x v="12"/>
    <x v="1"/>
  </r>
  <r>
    <x v="3"/>
    <x v="3"/>
    <x v="17"/>
    <x v="1"/>
    <s v="Dec 4 2016"/>
    <x v="40"/>
    <n v="7"/>
    <x v="43"/>
    <n v="4"/>
    <x v="28"/>
    <s v="Khulna Titans"/>
    <s v="field first"/>
    <s v="Titans"/>
    <s v="Khulna Titans"/>
    <x v="0"/>
    <s v="Mirpur"/>
    <n v="6"/>
    <n v="0"/>
    <s v="6 wickets"/>
    <s v="Wickets"/>
    <n v="6"/>
    <s v="Close Match"/>
    <n v="317"/>
    <x v="0"/>
    <s v="Morshed Ali Khan"/>
    <s v="Ranmore Martinesz"/>
    <x v="0"/>
    <x v="9"/>
    <x v="0"/>
  </r>
  <r>
    <x v="3"/>
    <x v="3"/>
    <x v="17"/>
    <x v="1"/>
    <s v="Dec 4 2016"/>
    <x v="40"/>
    <n v="7"/>
    <x v="43"/>
    <n v="4"/>
    <x v="28"/>
    <s v="Khulna Titans"/>
    <s v="field first"/>
    <s v="Titans"/>
    <s v="Khulna Titans"/>
    <x v="0"/>
    <s v="Mirpur"/>
    <n v="6"/>
    <n v="0"/>
    <s v="6 wickets"/>
    <s v="Wickets"/>
    <n v="6"/>
    <s v="Close Match"/>
    <n v="317"/>
    <x v="0"/>
    <s v="Morshed Ali Khan"/>
    <s v="Ranmore Martinesz"/>
    <x v="1"/>
    <x v="13"/>
    <x v="1"/>
  </r>
  <r>
    <x v="3"/>
    <x v="3"/>
    <x v="19"/>
    <x v="1"/>
    <s v="Dec 4 2016"/>
    <x v="41"/>
    <n v="6"/>
    <x v="12"/>
    <n v="8"/>
    <x v="39"/>
    <s v="Rangpur Riders"/>
    <s v="field first"/>
    <s v="Victorians"/>
    <s v="Comilla Victorians"/>
    <x v="0"/>
    <s v="Mirpur"/>
    <n v="0"/>
    <n v="8"/>
    <s v="8 runs"/>
    <s v="Runs"/>
    <n v="8"/>
    <s v="Close Match"/>
    <n v="332"/>
    <x v="0"/>
    <s v="Khalid Mahmood"/>
    <s v="Nadir Shah"/>
    <x v="0"/>
    <x v="8"/>
    <x v="1"/>
  </r>
  <r>
    <x v="3"/>
    <x v="3"/>
    <x v="19"/>
    <x v="1"/>
    <s v="Dec 4 2016"/>
    <x v="41"/>
    <n v="6"/>
    <x v="12"/>
    <n v="8"/>
    <x v="39"/>
    <s v="Rangpur Riders"/>
    <s v="field first"/>
    <s v="Victorians"/>
    <s v="Comilla Victorians"/>
    <x v="0"/>
    <s v="Mirpur"/>
    <n v="0"/>
    <n v="8"/>
    <s v="8 runs"/>
    <s v="Runs"/>
    <n v="8"/>
    <s v="Close Match"/>
    <n v="332"/>
    <x v="0"/>
    <s v="Khalid Mahmood"/>
    <s v="Nadir Shah"/>
    <x v="1"/>
    <x v="6"/>
    <x v="0"/>
  </r>
  <r>
    <x v="3"/>
    <x v="3"/>
    <x v="21"/>
    <x v="1"/>
    <s v="Dec 3 2016"/>
    <x v="42"/>
    <n v="9"/>
    <x v="44"/>
    <n v="4"/>
    <x v="40"/>
    <s v="Rajshahi Kings"/>
    <s v="field first"/>
    <s v="Kings"/>
    <s v="Rajshahi Kings"/>
    <x v="0"/>
    <s v="Mirpur"/>
    <n v="6"/>
    <n v="0"/>
    <s v="6 wickets"/>
    <s v="Wickets"/>
    <n v="6"/>
    <s v="Close Match"/>
    <n v="223"/>
    <x v="0"/>
    <s v="Nadir Shah"/>
    <s v="Ranmore Martinesz"/>
    <x v="0"/>
    <x v="11"/>
    <x v="0"/>
  </r>
  <r>
    <x v="3"/>
    <x v="3"/>
    <x v="21"/>
    <x v="1"/>
    <s v="Dec 3 2016"/>
    <x v="42"/>
    <n v="9"/>
    <x v="44"/>
    <n v="4"/>
    <x v="40"/>
    <s v="Rajshahi Kings"/>
    <s v="field first"/>
    <s v="Kings"/>
    <s v="Rajshahi Kings"/>
    <x v="0"/>
    <s v="Mirpur"/>
    <n v="6"/>
    <n v="0"/>
    <s v="6 wickets"/>
    <s v="Wickets"/>
    <n v="6"/>
    <s v="Close Match"/>
    <n v="223"/>
    <x v="0"/>
    <s v="Nadir Shah"/>
    <s v="Ranmore Martinesz"/>
    <x v="1"/>
    <x v="12"/>
    <x v="1"/>
  </r>
  <r>
    <x v="3"/>
    <x v="3"/>
    <x v="24"/>
    <x v="1"/>
    <s v="Dec 3 2016"/>
    <x v="43"/>
    <n v="5"/>
    <x v="8"/>
    <n v="10"/>
    <x v="41"/>
    <s v="Rangpur Riders"/>
    <s v="bat first"/>
    <s v="Riders"/>
    <s v="Rangpur Riders"/>
    <x v="0"/>
    <s v="Mirpur"/>
    <n v="0"/>
    <n v="29"/>
    <s v="29 runs"/>
    <s v="Runs"/>
    <n v="29"/>
    <s v="Normal"/>
    <n v="279"/>
    <x v="0"/>
    <s v="Khalid Mahmud"/>
    <s v="Mahfuzur Rahman"/>
    <x v="0"/>
    <x v="6"/>
    <x v="1"/>
  </r>
  <r>
    <x v="3"/>
    <x v="3"/>
    <x v="24"/>
    <x v="1"/>
    <s v="Dec 3 2016"/>
    <x v="43"/>
    <n v="5"/>
    <x v="8"/>
    <n v="10"/>
    <x v="41"/>
    <s v="Rangpur Riders"/>
    <s v="bat first"/>
    <s v="Riders"/>
    <s v="Rangpur Riders"/>
    <x v="0"/>
    <s v="Mirpur"/>
    <n v="0"/>
    <n v="29"/>
    <s v="29 runs"/>
    <s v="Runs"/>
    <n v="29"/>
    <s v="Normal"/>
    <n v="279"/>
    <x v="0"/>
    <s v="Khalid Mahmud"/>
    <s v="Mahfuzur Rahman"/>
    <x v="1"/>
    <x v="7"/>
    <x v="0"/>
  </r>
  <r>
    <x v="3"/>
    <x v="3"/>
    <x v="26"/>
    <x v="1"/>
    <s v="Dec 2 2016"/>
    <x v="44"/>
    <n v="6"/>
    <x v="45"/>
    <n v="4"/>
    <x v="9"/>
    <s v="Dhaka Dynamites"/>
    <s v="field first"/>
    <s v="Dynamites"/>
    <s v="Dhaka Dynamites"/>
    <x v="0"/>
    <s v="Mirpur"/>
    <n v="6"/>
    <n v="0"/>
    <s v="6 wickets"/>
    <s v="Wickets"/>
    <n v="6"/>
    <s v="Close Match"/>
    <n v="269"/>
    <x v="0"/>
    <s v="Khalid Mahmud"/>
    <s v="Masudur Rahman"/>
    <x v="0"/>
    <x v="11"/>
    <x v="0"/>
  </r>
  <r>
    <x v="3"/>
    <x v="3"/>
    <x v="26"/>
    <x v="1"/>
    <s v="Dec 2 2016"/>
    <x v="44"/>
    <n v="6"/>
    <x v="45"/>
    <n v="4"/>
    <x v="9"/>
    <s v="Dhaka Dynamites"/>
    <s v="field first"/>
    <s v="Dynamites"/>
    <s v="Dhaka Dynamites"/>
    <x v="0"/>
    <s v="Mirpur"/>
    <n v="6"/>
    <n v="0"/>
    <s v="6 wickets"/>
    <s v="Wickets"/>
    <n v="6"/>
    <s v="Close Match"/>
    <n v="269"/>
    <x v="0"/>
    <s v="Khalid Mahmud"/>
    <s v="Masudur Rahman"/>
    <x v="1"/>
    <x v="9"/>
    <x v="1"/>
  </r>
  <r>
    <x v="3"/>
    <x v="3"/>
    <x v="41"/>
    <x v="1"/>
    <s v="Dec 2 2016"/>
    <x v="45"/>
    <n v="6"/>
    <x v="46"/>
    <n v="5"/>
    <x v="23"/>
    <s v="Comilla Victorians"/>
    <s v="field first"/>
    <s v="Victorians"/>
    <s v="Comilla Victorians"/>
    <x v="0"/>
    <s v="Mirpur"/>
    <n v="5"/>
    <n v="0"/>
    <s v="5 wickets"/>
    <s v="Wickets"/>
    <n v="5"/>
    <s v="Close Match"/>
    <n v="283"/>
    <x v="0"/>
    <s v="Ranmore Martinesz"/>
    <s v="Tanvir Ahmed"/>
    <x v="0"/>
    <x v="13"/>
    <x v="0"/>
  </r>
  <r>
    <x v="3"/>
    <x v="3"/>
    <x v="41"/>
    <x v="1"/>
    <s v="Dec 2 2016"/>
    <x v="45"/>
    <n v="6"/>
    <x v="46"/>
    <n v="5"/>
    <x v="23"/>
    <s v="Comilla Victorians"/>
    <s v="field first"/>
    <s v="Victorians"/>
    <s v="Comilla Victorians"/>
    <x v="0"/>
    <s v="Mirpur"/>
    <n v="5"/>
    <n v="0"/>
    <s v="5 wickets"/>
    <s v="Wickets"/>
    <n v="5"/>
    <s v="Close Match"/>
    <n v="283"/>
    <x v="0"/>
    <s v="Ranmore Martinesz"/>
    <s v="Tanvir Ahmed"/>
    <x v="1"/>
    <x v="8"/>
    <x v="1"/>
  </r>
  <r>
    <x v="4"/>
    <x v="4"/>
    <x v="0"/>
    <x v="0"/>
    <s v="Dec 12 2017"/>
    <x v="38"/>
    <n v="1"/>
    <x v="47"/>
    <n v="9"/>
    <x v="14"/>
    <s v="Dhaka Dynamites"/>
    <s v="field first"/>
    <s v="Riders"/>
    <s v="Rangpur Riders"/>
    <x v="0"/>
    <s v="Mirpur"/>
    <n v="0"/>
    <n v="57"/>
    <s v="57 runs"/>
    <s v="Runs"/>
    <n v="57"/>
    <s v="Normal"/>
    <n v="355"/>
    <x v="0"/>
    <s v="Mahfuzur Rahman"/>
    <s v="Riazuddin"/>
    <x v="0"/>
    <x v="6"/>
    <x v="1"/>
  </r>
  <r>
    <x v="4"/>
    <x v="4"/>
    <x v="0"/>
    <x v="0"/>
    <s v="Dec 12 2017"/>
    <x v="38"/>
    <n v="1"/>
    <x v="47"/>
    <n v="9"/>
    <x v="14"/>
    <s v="Dhaka Dynamites"/>
    <s v="field first"/>
    <s v="Riders"/>
    <s v="Rangpur Riders"/>
    <x v="0"/>
    <s v="Mirpur"/>
    <n v="0"/>
    <n v="57"/>
    <s v="57 runs"/>
    <s v="Runs"/>
    <n v="57"/>
    <s v="Normal"/>
    <n v="355"/>
    <x v="0"/>
    <s v="Mahfuzur Rahman"/>
    <s v="Riazuddin"/>
    <x v="1"/>
    <x v="9"/>
    <x v="0"/>
  </r>
  <r>
    <x v="4"/>
    <x v="4"/>
    <x v="29"/>
    <x v="1"/>
    <s v="0 - 11 2017"/>
    <x v="17"/>
    <n v="3"/>
    <x v="32"/>
    <n v="10"/>
    <x v="42"/>
    <s v="Comilla Victorians"/>
    <s v="field first"/>
    <s v="Riders"/>
    <s v="Rangpur Riders"/>
    <x v="0"/>
    <s v="Mirpur"/>
    <n v="0"/>
    <n v="36"/>
    <s v="36 runs"/>
    <s v="Runs"/>
    <n v="36"/>
    <s v="Normal"/>
    <n v="348"/>
    <x v="0"/>
    <s v="Gazi Sohel"/>
    <s v="Raveendra Wimalasiri"/>
    <x v="0"/>
    <x v="6"/>
    <x v="1"/>
  </r>
  <r>
    <x v="4"/>
    <x v="4"/>
    <x v="29"/>
    <x v="1"/>
    <s v="0 - 11 2017"/>
    <x v="17"/>
    <n v="3"/>
    <x v="32"/>
    <n v="10"/>
    <x v="42"/>
    <s v="Comilla Victorians"/>
    <s v="field first"/>
    <s v="Riders"/>
    <s v="Rangpur Riders"/>
    <x v="0"/>
    <s v="Mirpur"/>
    <n v="0"/>
    <n v="36"/>
    <s v="36 runs"/>
    <s v="Runs"/>
    <n v="36"/>
    <s v="Normal"/>
    <n v="348"/>
    <x v="0"/>
    <s v="Gazi Sohel"/>
    <s v="Raveendra Wimalasiri"/>
    <x v="1"/>
    <x v="8"/>
    <x v="0"/>
  </r>
  <r>
    <x v="4"/>
    <x v="4"/>
    <x v="29"/>
    <x v="1"/>
    <s v="Dec 8 2017"/>
    <x v="1"/>
    <n v="7"/>
    <x v="48"/>
    <n v="10"/>
    <x v="43"/>
    <s v="Dhaka Dynamites"/>
    <s v="bat first"/>
    <s v="Dynamites"/>
    <s v="Dhaka Dynamites"/>
    <x v="0"/>
    <s v="Mirpur"/>
    <n v="0"/>
    <n v="95"/>
    <s v="95 runs"/>
    <s v="Runs"/>
    <n v="95"/>
    <s v="Normal"/>
    <n v="287"/>
    <x v="0"/>
    <s v="Mahfuzur Rahman"/>
    <s v="Masudur Rahman"/>
    <x v="0"/>
    <x v="9"/>
    <x v="1"/>
  </r>
  <r>
    <x v="4"/>
    <x v="4"/>
    <x v="29"/>
    <x v="1"/>
    <s v="Dec 8 2017"/>
    <x v="1"/>
    <n v="7"/>
    <x v="48"/>
    <n v="10"/>
    <x v="43"/>
    <s v="Dhaka Dynamites"/>
    <s v="bat first"/>
    <s v="Dynamites"/>
    <s v="Dhaka Dynamites"/>
    <x v="0"/>
    <s v="Mirpur"/>
    <n v="0"/>
    <n v="95"/>
    <s v="95 runs"/>
    <s v="Runs"/>
    <n v="95"/>
    <s v="Normal"/>
    <n v="287"/>
    <x v="0"/>
    <s v="Mahfuzur Rahman"/>
    <s v="Masudur Rahman"/>
    <x v="1"/>
    <x v="8"/>
    <x v="0"/>
  </r>
  <r>
    <x v="4"/>
    <x v="4"/>
    <x v="40"/>
    <x v="1"/>
    <s v="Dec 8 2017"/>
    <x v="46"/>
    <n v="6"/>
    <x v="49"/>
    <n v="2"/>
    <x v="14"/>
    <s v="Rangpur Riders"/>
    <s v="field first"/>
    <s v="Riders"/>
    <s v="Rangpur Riders"/>
    <x v="0"/>
    <s v="Mirpur"/>
    <n v="8"/>
    <n v="0"/>
    <s v="8 wickets"/>
    <s v="Wickets"/>
    <n v="8"/>
    <s v="Close Match"/>
    <n v="338"/>
    <x v="0"/>
    <s v="Anisur Rahman"/>
    <s v="Masudur Rahman"/>
    <x v="0"/>
    <x v="13"/>
    <x v="0"/>
  </r>
  <r>
    <x v="4"/>
    <x v="4"/>
    <x v="40"/>
    <x v="1"/>
    <s v="Dec 8 2017"/>
    <x v="46"/>
    <n v="6"/>
    <x v="49"/>
    <n v="2"/>
    <x v="14"/>
    <s v="Rangpur Riders"/>
    <s v="field first"/>
    <s v="Riders"/>
    <s v="Rangpur Riders"/>
    <x v="0"/>
    <s v="Mirpur"/>
    <n v="8"/>
    <n v="0"/>
    <s v="8 wickets"/>
    <s v="Wickets"/>
    <n v="8"/>
    <s v="Close Match"/>
    <n v="338"/>
    <x v="0"/>
    <s v="Anisur Rahman"/>
    <s v="Masudur Rahman"/>
    <x v="1"/>
    <x v="6"/>
    <x v="1"/>
  </r>
  <r>
    <x v="4"/>
    <x v="4"/>
    <x v="17"/>
    <x v="1"/>
    <s v="Dec 6 2017"/>
    <x v="41"/>
    <n v="4"/>
    <x v="21"/>
    <n v="7"/>
    <x v="44"/>
    <s v="Sylhet Sixers"/>
    <s v="field first"/>
    <s v="Victorians"/>
    <s v="Comilla Victorians"/>
    <x v="0"/>
    <s v="Mirpur"/>
    <n v="0"/>
    <n v="25"/>
    <s v="25 runs"/>
    <s v="Runs"/>
    <n v="25"/>
    <s v="Normal"/>
    <n v="315"/>
    <x v="0"/>
    <s v="Akteruzzaman"/>
    <s v="Moniruzzaman"/>
    <x v="0"/>
    <x v="8"/>
    <x v="1"/>
  </r>
  <r>
    <x v="4"/>
    <x v="4"/>
    <x v="17"/>
    <x v="1"/>
    <s v="Dec 6 2017"/>
    <x v="41"/>
    <n v="4"/>
    <x v="21"/>
    <n v="7"/>
    <x v="44"/>
    <s v="Sylhet Sixers"/>
    <s v="field first"/>
    <s v="Victorians"/>
    <s v="Comilla Victorians"/>
    <x v="0"/>
    <s v="Mirpur"/>
    <n v="0"/>
    <n v="25"/>
    <s v="25 runs"/>
    <s v="Runs"/>
    <n v="25"/>
    <s v="Normal"/>
    <n v="315"/>
    <x v="0"/>
    <s v="Akteruzzaman"/>
    <s v="Moniruzzaman"/>
    <x v="1"/>
    <x v="14"/>
    <x v="0"/>
  </r>
  <r>
    <x v="4"/>
    <x v="4"/>
    <x v="19"/>
    <x v="1"/>
    <s v="Dec 6 2017"/>
    <x v="15"/>
    <n v="7"/>
    <x v="50"/>
    <n v="7"/>
    <x v="16"/>
    <s v="Dhaka Dynamites"/>
    <s v="bat first"/>
    <s v="Dynamites"/>
    <s v="Dhaka Dynamites"/>
    <x v="0"/>
    <s v="Mirpur"/>
    <n v="0"/>
    <n v="43"/>
    <s v="43 runs"/>
    <s v="Runs"/>
    <n v="43"/>
    <s v="Normal"/>
    <n v="231"/>
    <x v="0"/>
    <s v="Nadir Shah"/>
    <s v="Riazuddin"/>
    <x v="0"/>
    <x v="9"/>
    <x v="1"/>
  </r>
  <r>
    <x v="4"/>
    <x v="4"/>
    <x v="19"/>
    <x v="1"/>
    <s v="Dec 6 2017"/>
    <x v="15"/>
    <n v="7"/>
    <x v="50"/>
    <n v="7"/>
    <x v="16"/>
    <s v="Dhaka Dynamites"/>
    <s v="bat first"/>
    <s v="Dynamites"/>
    <s v="Dhaka Dynamites"/>
    <x v="0"/>
    <s v="Mirpur"/>
    <n v="0"/>
    <n v="43"/>
    <s v="43 runs"/>
    <s v="Runs"/>
    <n v="43"/>
    <s v="Normal"/>
    <n v="231"/>
    <x v="0"/>
    <s v="Nadir Shah"/>
    <s v="Riazuddin"/>
    <x v="1"/>
    <x v="6"/>
    <x v="0"/>
  </r>
  <r>
    <x v="4"/>
    <x v="4"/>
    <x v="21"/>
    <x v="1"/>
    <s v="Dec 5 2017"/>
    <x v="47"/>
    <n v="2"/>
    <x v="47"/>
    <n v="9"/>
    <x v="45"/>
    <s v="Rajshahi Kings"/>
    <s v="field first"/>
    <s v="Vikings"/>
    <s v="Chittagong Vikings"/>
    <x v="0"/>
    <s v="Mirpur"/>
    <n v="0"/>
    <n v="45"/>
    <s v="45 runs"/>
    <s v="Runs"/>
    <n v="45"/>
    <s v="Normal"/>
    <n v="343"/>
    <x v="0"/>
    <s v="Mahfuzur Rahman"/>
    <s v="Shafiuddin Ahmed"/>
    <x v="0"/>
    <x v="11"/>
    <x v="1"/>
  </r>
  <r>
    <x v="4"/>
    <x v="4"/>
    <x v="21"/>
    <x v="1"/>
    <s v="Dec 5 2017"/>
    <x v="47"/>
    <n v="2"/>
    <x v="47"/>
    <n v="9"/>
    <x v="45"/>
    <s v="Rajshahi Kings"/>
    <s v="field first"/>
    <s v="Vikings"/>
    <s v="Chittagong Vikings"/>
    <x v="0"/>
    <s v="Mirpur"/>
    <n v="0"/>
    <n v="45"/>
    <s v="45 runs"/>
    <s v="Runs"/>
    <n v="45"/>
    <s v="Normal"/>
    <n v="343"/>
    <x v="0"/>
    <s v="Mahfuzur Rahman"/>
    <s v="Shafiuddin Ahmed"/>
    <x v="1"/>
    <x v="12"/>
    <x v="0"/>
  </r>
  <r>
    <x v="4"/>
    <x v="4"/>
    <x v="24"/>
    <x v="1"/>
    <s v="Dec 5 2017"/>
    <x v="48"/>
    <n v="6"/>
    <x v="7"/>
    <n v="7"/>
    <x v="46"/>
    <s v="Khulna Titans"/>
    <s v="bat first"/>
    <s v="Titans"/>
    <s v="Khulna Titans"/>
    <x v="0"/>
    <s v="Mirpur"/>
    <n v="0"/>
    <n v="14"/>
    <s v="14 runs"/>
    <s v="Runs"/>
    <n v="14"/>
    <s v="Normal"/>
    <n v="334"/>
    <x v="0"/>
    <s v="Morshed Ali Khan"/>
    <s v="Riazuddin"/>
    <x v="0"/>
    <x v="13"/>
    <x v="1"/>
  </r>
  <r>
    <x v="4"/>
    <x v="4"/>
    <x v="24"/>
    <x v="1"/>
    <s v="Dec 5 2017"/>
    <x v="48"/>
    <n v="6"/>
    <x v="7"/>
    <n v="7"/>
    <x v="46"/>
    <s v="Khulna Titans"/>
    <s v="bat first"/>
    <s v="Titans"/>
    <s v="Khulna Titans"/>
    <x v="0"/>
    <s v="Mirpur"/>
    <n v="0"/>
    <n v="14"/>
    <s v="14 runs"/>
    <s v="Runs"/>
    <n v="14"/>
    <s v="Normal"/>
    <n v="334"/>
    <x v="0"/>
    <s v="Morshed Ali Khan"/>
    <s v="Riazuddin"/>
    <x v="1"/>
    <x v="8"/>
    <x v="0"/>
  </r>
  <r>
    <x v="4"/>
    <x v="4"/>
    <x v="26"/>
    <x v="1"/>
    <s v="Dec 3 2017"/>
    <x v="49"/>
    <n v="6"/>
    <x v="51"/>
    <n v="8"/>
    <x v="47"/>
    <s v="Khulna Titans"/>
    <s v="field first"/>
    <s v="Riders"/>
    <s v="Rangpur Riders"/>
    <x v="0"/>
    <s v="Mirpur"/>
    <n v="0"/>
    <n v="19"/>
    <s v="19 runs"/>
    <s v="Runs"/>
    <n v="19"/>
    <s v="Normal"/>
    <n v="275"/>
    <x v="0"/>
    <s v="Masudur Rahman"/>
    <s v="Riazuddin"/>
    <x v="0"/>
    <x v="6"/>
    <x v="1"/>
  </r>
  <r>
    <x v="4"/>
    <x v="4"/>
    <x v="26"/>
    <x v="1"/>
    <s v="Dec 3 2017"/>
    <x v="49"/>
    <n v="6"/>
    <x v="51"/>
    <n v="8"/>
    <x v="47"/>
    <s v="Khulna Titans"/>
    <s v="field first"/>
    <s v="Riders"/>
    <s v="Rangpur Riders"/>
    <x v="0"/>
    <s v="Mirpur"/>
    <n v="0"/>
    <n v="19"/>
    <s v="19 runs"/>
    <s v="Runs"/>
    <n v="19"/>
    <s v="Normal"/>
    <n v="275"/>
    <x v="0"/>
    <s v="Masudur Rahman"/>
    <s v="Riazuddin"/>
    <x v="1"/>
    <x v="13"/>
    <x v="0"/>
  </r>
  <r>
    <x v="4"/>
    <x v="4"/>
    <x v="41"/>
    <x v="1"/>
    <s v="Dec 3 2017"/>
    <x v="50"/>
    <n v="10"/>
    <x v="52"/>
    <n v="0"/>
    <x v="13"/>
    <s v="Sylhet Sixers"/>
    <s v="field first"/>
    <s v="Sixers"/>
    <s v="Sylhet Sixers"/>
    <x v="0"/>
    <s v="Mirpur"/>
    <n v="10"/>
    <n v="0"/>
    <s v="10 wickets"/>
    <s v="Wickets"/>
    <n v="10"/>
    <s v="Close Match"/>
    <n v="135"/>
    <x v="1"/>
    <s v="Nadir Shah"/>
    <s v="Tanvir Ahmed"/>
    <x v="0"/>
    <x v="11"/>
    <x v="0"/>
  </r>
  <r>
    <x v="4"/>
    <x v="4"/>
    <x v="41"/>
    <x v="1"/>
    <s v="Dec 3 2017"/>
    <x v="50"/>
    <n v="10"/>
    <x v="52"/>
    <n v="0"/>
    <x v="13"/>
    <s v="Sylhet Sixers"/>
    <s v="field first"/>
    <s v="Sixers"/>
    <s v="Sylhet Sixers"/>
    <x v="0"/>
    <s v="Mirpur"/>
    <n v="10"/>
    <n v="0"/>
    <s v="10 wickets"/>
    <s v="Wickets"/>
    <n v="10"/>
    <s v="Close Match"/>
    <n v="135"/>
    <x v="1"/>
    <s v="Nadir Shah"/>
    <s v="Tanvir Ahmed"/>
    <x v="1"/>
    <x v="14"/>
    <x v="1"/>
  </r>
  <r>
    <x v="5"/>
    <x v="5"/>
    <x v="0"/>
    <x v="0"/>
    <s v="Feb 8 2019"/>
    <x v="51"/>
    <n v="3"/>
    <x v="1"/>
    <n v="9"/>
    <x v="48"/>
    <s v="Dhaka Dynamites"/>
    <s v="field first"/>
    <s v="Victorians"/>
    <s v="Comilla Victorians"/>
    <x v="0"/>
    <s v="Mirpur"/>
    <n v="0"/>
    <n v="17"/>
    <s v="17 runs"/>
    <s v="Runs"/>
    <n v="17"/>
    <s v="Normal"/>
    <n v="381"/>
    <x v="0"/>
    <s v="Alex Wharf"/>
    <s v="Ranmore Martinesz"/>
    <x v="0"/>
    <x v="8"/>
    <x v="1"/>
  </r>
  <r>
    <x v="5"/>
    <x v="5"/>
    <x v="0"/>
    <x v="0"/>
    <s v="Feb 8 2019"/>
    <x v="51"/>
    <n v="3"/>
    <x v="1"/>
    <n v="9"/>
    <x v="48"/>
    <s v="Dhaka Dynamites"/>
    <s v="field first"/>
    <s v="Victorians"/>
    <s v="Comilla Victorians"/>
    <x v="0"/>
    <s v="Mirpur"/>
    <n v="0"/>
    <n v="17"/>
    <s v="17 runs"/>
    <s v="Runs"/>
    <n v="17"/>
    <s v="Normal"/>
    <n v="381"/>
    <x v="0"/>
    <s v="Alex Wharf"/>
    <s v="Ranmore Martinesz"/>
    <x v="1"/>
    <x v="9"/>
    <x v="0"/>
  </r>
  <r>
    <x v="5"/>
    <x v="5"/>
    <x v="1"/>
    <x v="1"/>
    <s v="Feb 6 2019"/>
    <x v="39"/>
    <n v="10"/>
    <x v="53"/>
    <n v="5"/>
    <x v="49"/>
    <s v="Dhaka Dynamites"/>
    <s v="field first"/>
    <s v="Dynamites"/>
    <s v="Dhaka Dynamites"/>
    <x v="0"/>
    <s v="Mirpur"/>
    <n v="5"/>
    <n v="0"/>
    <s v="5 wickets"/>
    <s v="Wickets"/>
    <n v="5"/>
    <s v="Close Match"/>
    <n v="289"/>
    <x v="0"/>
    <s v="Alex Wharf"/>
    <s v="Masudur Rahman"/>
    <x v="0"/>
    <x v="6"/>
    <x v="0"/>
  </r>
  <r>
    <x v="5"/>
    <x v="5"/>
    <x v="1"/>
    <x v="1"/>
    <s v="Feb 6 2019"/>
    <x v="39"/>
    <n v="10"/>
    <x v="53"/>
    <n v="5"/>
    <x v="49"/>
    <s v="Dhaka Dynamites"/>
    <s v="field first"/>
    <s v="Dynamites"/>
    <s v="Dhaka Dynamites"/>
    <x v="0"/>
    <s v="Mirpur"/>
    <n v="5"/>
    <n v="0"/>
    <s v="5 wickets"/>
    <s v="Wickets"/>
    <n v="5"/>
    <s v="Close Match"/>
    <n v="289"/>
    <x v="0"/>
    <s v="Alex Wharf"/>
    <s v="Masudur Rahman"/>
    <x v="1"/>
    <x v="9"/>
    <x v="1"/>
  </r>
  <r>
    <x v="5"/>
    <x v="5"/>
    <x v="2"/>
    <x v="1"/>
    <s v="Feb 4 2019"/>
    <x v="6"/>
    <n v="5"/>
    <x v="54"/>
    <n v="2"/>
    <x v="50"/>
    <s v="Rangpur Riders"/>
    <s v="bat first"/>
    <s v="Victorians"/>
    <s v="Comilla Victorians"/>
    <x v="0"/>
    <s v="Mirpur"/>
    <n v="8"/>
    <n v="0"/>
    <s v="8 wickets"/>
    <s v="Wickets"/>
    <n v="8"/>
    <s v="Close Match"/>
    <n v="331"/>
    <x v="0"/>
    <s v="Alex Wharf"/>
    <s v="Sharfuddoula"/>
    <x v="0"/>
    <x v="6"/>
    <x v="0"/>
  </r>
  <r>
    <x v="5"/>
    <x v="5"/>
    <x v="2"/>
    <x v="1"/>
    <s v="Feb 4 2019"/>
    <x v="6"/>
    <n v="5"/>
    <x v="54"/>
    <n v="2"/>
    <x v="50"/>
    <s v="Rangpur Riders"/>
    <s v="bat first"/>
    <s v="Victorians"/>
    <s v="Comilla Victorians"/>
    <x v="0"/>
    <s v="Mirpur"/>
    <n v="8"/>
    <n v="0"/>
    <s v="8 wickets"/>
    <s v="Wickets"/>
    <n v="8"/>
    <s v="Close Match"/>
    <n v="331"/>
    <x v="0"/>
    <s v="Alex Wharf"/>
    <s v="Sharfuddoula"/>
    <x v="1"/>
    <x v="8"/>
    <x v="1"/>
  </r>
  <r>
    <x v="5"/>
    <x v="5"/>
    <x v="40"/>
    <x v="1"/>
    <s v="Feb 4 2019"/>
    <x v="29"/>
    <n v="8"/>
    <x v="55"/>
    <n v="4"/>
    <x v="51"/>
    <s v="Chittagong Vikings"/>
    <s v="bat first"/>
    <s v="Dynamites"/>
    <s v="Dhaka Dynamites"/>
    <x v="0"/>
    <s v="Mirpur"/>
    <n v="6"/>
    <n v="0"/>
    <s v="6 wickets"/>
    <s v="Wickets"/>
    <n v="6"/>
    <s v="Close Match"/>
    <n v="271"/>
    <x v="0"/>
    <s v="Mahfuzur Rahman"/>
    <s v="Ranmore Martinesz"/>
    <x v="0"/>
    <x v="11"/>
    <x v="0"/>
  </r>
  <r>
    <x v="5"/>
    <x v="5"/>
    <x v="40"/>
    <x v="1"/>
    <s v="Feb 4 2019"/>
    <x v="29"/>
    <n v="8"/>
    <x v="55"/>
    <n v="4"/>
    <x v="51"/>
    <s v="Chittagong Vikings"/>
    <s v="bat first"/>
    <s v="Dynamites"/>
    <s v="Dhaka Dynamites"/>
    <x v="0"/>
    <s v="Mirpur"/>
    <n v="6"/>
    <n v="0"/>
    <s v="6 wickets"/>
    <s v="Wickets"/>
    <n v="6"/>
    <s v="Close Match"/>
    <n v="271"/>
    <x v="0"/>
    <s v="Mahfuzur Rahman"/>
    <s v="Ranmore Martinesz"/>
    <x v="1"/>
    <x v="9"/>
    <x v="1"/>
  </r>
  <r>
    <x v="5"/>
    <x v="5"/>
    <x v="17"/>
    <x v="1"/>
    <s v="Feb 2 2019"/>
    <x v="52"/>
    <n v="9"/>
    <x v="56"/>
    <n v="4"/>
    <x v="52"/>
    <s v="Khulna Titans"/>
    <s v="bat first"/>
    <s v="Dynamites"/>
    <s v="Dhaka Dynamites"/>
    <x v="0"/>
    <s v="Mirpur"/>
    <n v="6"/>
    <n v="0"/>
    <s v="6 wickets"/>
    <s v="Wickets"/>
    <n v="6"/>
    <s v="Close Match"/>
    <n v="247"/>
    <x v="0"/>
    <s v="Nadir Shah"/>
    <s v="Ranmore Martinesz"/>
    <x v="0"/>
    <x v="13"/>
    <x v="0"/>
  </r>
  <r>
    <x v="5"/>
    <x v="5"/>
    <x v="17"/>
    <x v="1"/>
    <s v="Feb 2 2019"/>
    <x v="52"/>
    <n v="9"/>
    <x v="56"/>
    <n v="4"/>
    <x v="52"/>
    <s v="Khulna Titans"/>
    <s v="bat first"/>
    <s v="Dynamites"/>
    <s v="Dhaka Dynamites"/>
    <x v="0"/>
    <s v="Mirpur"/>
    <n v="6"/>
    <n v="0"/>
    <s v="6 wickets"/>
    <s v="Wickets"/>
    <n v="6"/>
    <s v="Close Match"/>
    <n v="247"/>
    <x v="0"/>
    <s v="Nadir Shah"/>
    <s v="Ranmore Martinesz"/>
    <x v="1"/>
    <x v="9"/>
    <x v="1"/>
  </r>
  <r>
    <x v="5"/>
    <x v="5"/>
    <x v="19"/>
    <x v="1"/>
    <s v="Feb 2 2019"/>
    <x v="53"/>
    <n v="10"/>
    <x v="37"/>
    <n v="1"/>
    <x v="34"/>
    <s v="Comilla Victorians"/>
    <s v="bat first"/>
    <s v="Riders"/>
    <s v="Rangpur Riders"/>
    <x v="0"/>
    <s v="Mirpur"/>
    <n v="9"/>
    <n v="0"/>
    <s v="9 wickets"/>
    <s v="Wickets"/>
    <n v="9"/>
    <s v="Close Match"/>
    <n v="148"/>
    <x v="1"/>
    <s v="Minhajul Abedin Afridi"/>
    <s v="Sanjit Saha"/>
    <x v="0"/>
    <x v="8"/>
    <x v="0"/>
  </r>
  <r>
    <x v="5"/>
    <x v="5"/>
    <x v="19"/>
    <x v="1"/>
    <s v="Feb 2 2019"/>
    <x v="53"/>
    <n v="10"/>
    <x v="37"/>
    <n v="1"/>
    <x v="34"/>
    <s v="Comilla Victorians"/>
    <s v="bat first"/>
    <s v="Riders"/>
    <s v="Rangpur Riders"/>
    <x v="0"/>
    <s v="Mirpur"/>
    <n v="9"/>
    <n v="0"/>
    <s v="9 wickets"/>
    <s v="Wickets"/>
    <n v="9"/>
    <s v="Close Match"/>
    <n v="148"/>
    <x v="1"/>
    <s v="Minhajul Abedin Afridi"/>
    <s v="Sanjit Saha"/>
    <x v="1"/>
    <x v="6"/>
    <x v="1"/>
  </r>
  <r>
    <x v="5"/>
    <x v="5"/>
    <x v="21"/>
    <x v="1"/>
    <s v="Feb 1 2019"/>
    <x v="6"/>
    <n v="5"/>
    <x v="55"/>
    <n v="10"/>
    <x v="53"/>
    <s v="Chittagong Vikings"/>
    <s v="field first"/>
    <s v="Sixers"/>
    <s v="Sylhet Sixers"/>
    <x v="0"/>
    <s v="Mirpur"/>
    <n v="0"/>
    <n v="29"/>
    <s v="29 runs"/>
    <s v="Runs"/>
    <n v="29"/>
    <s v="Normal"/>
    <n v="301"/>
    <x v="0"/>
    <s v="Nadir Shah"/>
    <s v="Shozab Raza"/>
    <x v="0"/>
    <x v="14"/>
    <x v="1"/>
  </r>
  <r>
    <x v="5"/>
    <x v="5"/>
    <x v="21"/>
    <x v="1"/>
    <s v="Feb 1 2019"/>
    <x v="6"/>
    <n v="5"/>
    <x v="55"/>
    <n v="10"/>
    <x v="53"/>
    <s v="Chittagong Vikings"/>
    <s v="field first"/>
    <s v="Sixers"/>
    <s v="Sylhet Sixers"/>
    <x v="0"/>
    <s v="Mirpur"/>
    <n v="0"/>
    <n v="29"/>
    <s v="29 runs"/>
    <s v="Runs"/>
    <n v="29"/>
    <s v="Normal"/>
    <n v="301"/>
    <x v="0"/>
    <s v="Nadir Shah"/>
    <s v="Shozab Raza"/>
    <x v="1"/>
    <x v="11"/>
    <x v="0"/>
  </r>
  <r>
    <x v="5"/>
    <x v="5"/>
    <x v="24"/>
    <x v="1"/>
    <s v="Feb 1 2019"/>
    <x v="54"/>
    <n v="10"/>
    <x v="24"/>
    <n v="9"/>
    <x v="54"/>
    <s v="Dhaka Dynamites"/>
    <s v="field first"/>
    <s v="Victorians"/>
    <s v="Comilla Victorians"/>
    <x v="0"/>
    <s v="Mirpur"/>
    <n v="0"/>
    <n v="0"/>
    <s v="1 run"/>
    <s v="Wickets"/>
    <n v="0"/>
    <s v="Close Match"/>
    <n v="253"/>
    <x v="0"/>
    <s v="Alex Wharf"/>
    <s v="Masudur Rahman"/>
    <x v="0"/>
    <x v="8"/>
    <x v="1"/>
  </r>
  <r>
    <x v="5"/>
    <x v="5"/>
    <x v="24"/>
    <x v="1"/>
    <s v="Feb 1 2019"/>
    <x v="54"/>
    <n v="10"/>
    <x v="24"/>
    <n v="9"/>
    <x v="54"/>
    <s v="Dhaka Dynamites"/>
    <s v="field first"/>
    <s v="Victorians"/>
    <s v="Comilla Victorians"/>
    <x v="0"/>
    <s v="Mirpur"/>
    <n v="0"/>
    <n v="0"/>
    <s v="1 run"/>
    <s v="Wickets"/>
    <n v="0"/>
    <s v="Close Match"/>
    <n v="253"/>
    <x v="0"/>
    <s v="Alex Wharf"/>
    <s v="Masudur Rahman"/>
    <x v="1"/>
    <x v="9"/>
    <x v="0"/>
  </r>
  <r>
    <x v="5"/>
    <x v="5"/>
    <x v="26"/>
    <x v="1"/>
    <s v="Jan 30 2019"/>
    <x v="55"/>
    <n v="5"/>
    <x v="57"/>
    <n v="5"/>
    <x v="55"/>
    <s v="Sylhet Sixers"/>
    <s v="bat first"/>
    <s v="Kings"/>
    <s v="Rajshahi Kings"/>
    <x v="1"/>
    <s v="Chattogram"/>
    <n v="5"/>
    <n v="0"/>
    <s v="5 wickets"/>
    <s v="Wickets"/>
    <n v="5"/>
    <s v="Close Match"/>
    <n v="379"/>
    <x v="0"/>
    <s v="Ranmore Martinesz"/>
    <s v="Tanvir Ahmed"/>
    <x v="0"/>
    <x v="14"/>
    <x v="0"/>
  </r>
  <r>
    <x v="5"/>
    <x v="5"/>
    <x v="26"/>
    <x v="1"/>
    <s v="Jan 30 2019"/>
    <x v="55"/>
    <n v="5"/>
    <x v="57"/>
    <n v="5"/>
    <x v="55"/>
    <s v="Sylhet Sixers"/>
    <s v="bat first"/>
    <s v="Kings"/>
    <s v="Rajshahi Kings"/>
    <x v="1"/>
    <s v="Chattogram"/>
    <n v="5"/>
    <n v="0"/>
    <s v="5 wickets"/>
    <s v="Wickets"/>
    <n v="5"/>
    <s v="Close Match"/>
    <n v="379"/>
    <x v="0"/>
    <s v="Ranmore Martinesz"/>
    <s v="Tanvir Ahmed"/>
    <x v="1"/>
    <x v="12"/>
    <x v="1"/>
  </r>
  <r>
    <x v="5"/>
    <x v="5"/>
    <x v="41"/>
    <x v="1"/>
    <s v="Jan 30 2019"/>
    <x v="48"/>
    <n v="5"/>
    <x v="27"/>
    <n v="9"/>
    <x v="56"/>
    <s v="Chittagong Vikings"/>
    <s v="bat first"/>
    <s v="Vikings"/>
    <s v="Chittagong Vikings"/>
    <x v="1"/>
    <s v="Chattogram"/>
    <n v="0"/>
    <n v="11"/>
    <s v="11 runs"/>
    <s v="Runs"/>
    <n v="11"/>
    <s v="Normal"/>
    <n v="337"/>
    <x v="0"/>
    <s v="Mahfuzur Rahman"/>
    <s v="Shozab Raza"/>
    <x v="0"/>
    <x v="11"/>
    <x v="1"/>
  </r>
  <r>
    <x v="5"/>
    <x v="5"/>
    <x v="41"/>
    <x v="1"/>
    <s v="Jan 30 2019"/>
    <x v="48"/>
    <n v="5"/>
    <x v="27"/>
    <n v="9"/>
    <x v="56"/>
    <s v="Chittagong Vikings"/>
    <s v="bat first"/>
    <s v="Vikings"/>
    <s v="Chittagong Vikings"/>
    <x v="1"/>
    <s v="Chattogram"/>
    <n v="0"/>
    <n v="11"/>
    <s v="11 runs"/>
    <s v="Runs"/>
    <n v="11"/>
    <s v="Normal"/>
    <n v="337"/>
    <x v="0"/>
    <s v="Mahfuzur Rahman"/>
    <s v="Shozab Raza"/>
    <x v="1"/>
    <x v="9"/>
    <x v="0"/>
  </r>
  <r>
    <x v="6"/>
    <x v="6"/>
    <x v="0"/>
    <x v="0"/>
    <s v="Jan 17 2020"/>
    <x v="41"/>
    <n v="4"/>
    <x v="47"/>
    <n v="8"/>
    <x v="21"/>
    <s v="Khulna Tigers"/>
    <s v="field first"/>
    <s v="Royals"/>
    <s v="Rajshahi Royals"/>
    <x v="0"/>
    <s v="Mirpur"/>
    <n v="0"/>
    <n v="21"/>
    <s v="21 runs"/>
    <s v="Runs"/>
    <n v="21"/>
    <s v="Normal"/>
    <n v="319"/>
    <x v="0"/>
    <s v="David Millns"/>
    <s v="Gazi Sohel"/>
    <x v="0"/>
    <x v="15"/>
    <x v="1"/>
  </r>
  <r>
    <x v="6"/>
    <x v="6"/>
    <x v="0"/>
    <x v="0"/>
    <s v="Jan 17 2020"/>
    <x v="41"/>
    <n v="4"/>
    <x v="47"/>
    <n v="8"/>
    <x v="21"/>
    <s v="Khulna Tigers"/>
    <s v="field first"/>
    <s v="Royals"/>
    <s v="Rajshahi Royals"/>
    <x v="0"/>
    <s v="Mirpur"/>
    <n v="0"/>
    <n v="21"/>
    <s v="21 runs"/>
    <s v="Runs"/>
    <n v="21"/>
    <s v="Normal"/>
    <n v="319"/>
    <x v="0"/>
    <s v="David Millns"/>
    <s v="Gazi Sohel"/>
    <x v="1"/>
    <x v="16"/>
    <x v="0"/>
  </r>
  <r>
    <x v="6"/>
    <x v="6"/>
    <x v="1"/>
    <x v="1"/>
    <s v="Jan 15 2020"/>
    <x v="56"/>
    <n v="9"/>
    <x v="58"/>
    <n v="8"/>
    <x v="21"/>
    <s v="Rajshahi Royals"/>
    <s v="field first"/>
    <s v="Royals"/>
    <s v="Rajshahi Royals"/>
    <x v="0"/>
    <s v="Mirpur"/>
    <n v="2"/>
    <n v="0"/>
    <s v="2 wickets"/>
    <s v="Wickets"/>
    <n v="2"/>
    <s v="Close Match"/>
    <n v="329"/>
    <x v="0"/>
    <s v="David Millns"/>
    <s v="Mahfuzur Rahman"/>
    <x v="0"/>
    <x v="17"/>
    <x v="0"/>
  </r>
  <r>
    <x v="6"/>
    <x v="6"/>
    <x v="1"/>
    <x v="1"/>
    <s v="Jan 15 2020"/>
    <x v="56"/>
    <n v="9"/>
    <x v="58"/>
    <n v="8"/>
    <x v="21"/>
    <s v="Rajshahi Royals"/>
    <s v="field first"/>
    <s v="Royals"/>
    <s v="Rajshahi Royals"/>
    <x v="0"/>
    <s v="Mirpur"/>
    <n v="2"/>
    <n v="0"/>
    <s v="2 wickets"/>
    <s v="Wickets"/>
    <n v="2"/>
    <s v="Close Match"/>
    <n v="329"/>
    <x v="0"/>
    <s v="David Millns"/>
    <s v="Mahfuzur Rahman"/>
    <x v="1"/>
    <x v="15"/>
    <x v="1"/>
  </r>
  <r>
    <x v="6"/>
    <x v="6"/>
    <x v="2"/>
    <x v="1"/>
    <s v="Jan 13 2020"/>
    <x v="40"/>
    <n v="3"/>
    <x v="34"/>
    <n v="10"/>
    <x v="57"/>
    <s v="Rajshahi Royals"/>
    <s v="field first"/>
    <s v="Tigers"/>
    <s v="Khulna Tigers"/>
    <x v="0"/>
    <s v="Mirpur"/>
    <n v="0"/>
    <n v="27"/>
    <s v="27 runs"/>
    <s v="Runs"/>
    <n v="27"/>
    <s v="Normal"/>
    <n v="289"/>
    <x v="0"/>
    <s v="Gazi Sohel"/>
    <s v="Prageeth Rambukwella"/>
    <x v="0"/>
    <x v="16"/>
    <x v="1"/>
  </r>
  <r>
    <x v="6"/>
    <x v="6"/>
    <x v="2"/>
    <x v="1"/>
    <s v="Jan 13 2020"/>
    <x v="40"/>
    <n v="3"/>
    <x v="34"/>
    <n v="10"/>
    <x v="57"/>
    <s v="Rajshahi Royals"/>
    <s v="field first"/>
    <s v="Tigers"/>
    <s v="Khulna Tigers"/>
    <x v="0"/>
    <s v="Mirpur"/>
    <n v="0"/>
    <n v="27"/>
    <s v="27 runs"/>
    <s v="Runs"/>
    <n v="27"/>
    <s v="Normal"/>
    <n v="289"/>
    <x v="0"/>
    <s v="Gazi Sohel"/>
    <s v="Prageeth Rambukwella"/>
    <x v="1"/>
    <x v="15"/>
    <x v="0"/>
  </r>
  <r>
    <x v="6"/>
    <x v="6"/>
    <x v="40"/>
    <x v="1"/>
    <s v="Jan 13 2020"/>
    <x v="20"/>
    <n v="8"/>
    <x v="53"/>
    <n v="3"/>
    <x v="58"/>
    <s v="Chattogram Challengers"/>
    <s v="field first"/>
    <s v="Challengers"/>
    <s v="Chattogram Challengers"/>
    <x v="0"/>
    <s v="Mirpur"/>
    <n v="7"/>
    <n v="0"/>
    <s v="7 wickets"/>
    <s v="Wickets"/>
    <n v="7"/>
    <s v="Close Match"/>
    <n v="291"/>
    <x v="0"/>
    <s v="David Millns"/>
    <s v="Mahfuzur Rahman"/>
    <x v="0"/>
    <x v="18"/>
    <x v="0"/>
  </r>
  <r>
    <x v="6"/>
    <x v="6"/>
    <x v="40"/>
    <x v="1"/>
    <s v="Jan 13 2020"/>
    <x v="20"/>
    <n v="8"/>
    <x v="53"/>
    <n v="3"/>
    <x v="58"/>
    <s v="Chattogram Challengers"/>
    <s v="field first"/>
    <s v="Challengers"/>
    <s v="Chattogram Challengers"/>
    <x v="0"/>
    <s v="Mirpur"/>
    <n v="7"/>
    <n v="0"/>
    <s v="7 wickets"/>
    <s v="Wickets"/>
    <n v="7"/>
    <s v="Close Match"/>
    <n v="291"/>
    <x v="0"/>
    <s v="David Millns"/>
    <s v="Mahfuzur Rahman"/>
    <x v="1"/>
    <x v="17"/>
    <x v="1"/>
  </r>
  <r>
    <x v="6"/>
    <x v="6"/>
    <x v="17"/>
    <x v="1"/>
    <s v="Jan 11 2020"/>
    <x v="57"/>
    <n v="4"/>
    <x v="59"/>
    <n v="2"/>
    <x v="59"/>
    <s v="Khulna Tigers"/>
    <s v="field first"/>
    <s v="Tigers"/>
    <s v="Khulna Tigers"/>
    <x v="0"/>
    <s v="Mirpur"/>
    <n v="8"/>
    <n v="0"/>
    <s v="8 wickets"/>
    <s v="Wickets"/>
    <n v="8"/>
    <s v="Close Match"/>
    <n v="412"/>
    <x v="0"/>
    <s v="David Millns"/>
    <s v="Mahfuzur Rahman"/>
    <x v="0"/>
    <x v="18"/>
    <x v="0"/>
  </r>
  <r>
    <x v="6"/>
    <x v="6"/>
    <x v="17"/>
    <x v="1"/>
    <s v="Jan 11 2020"/>
    <x v="57"/>
    <n v="4"/>
    <x v="59"/>
    <n v="2"/>
    <x v="59"/>
    <s v="Khulna Tigers"/>
    <s v="field first"/>
    <s v="Tigers"/>
    <s v="Khulna Tigers"/>
    <x v="0"/>
    <s v="Mirpur"/>
    <n v="8"/>
    <n v="0"/>
    <s v="8 wickets"/>
    <s v="Wickets"/>
    <n v="8"/>
    <s v="Close Match"/>
    <n v="412"/>
    <x v="0"/>
    <s v="David Millns"/>
    <s v="Mahfuzur Rahman"/>
    <x v="1"/>
    <x v="16"/>
    <x v="1"/>
  </r>
  <r>
    <x v="6"/>
    <x v="6"/>
    <x v="19"/>
    <x v="1"/>
    <s v="Jan 11 2020"/>
    <x v="58"/>
    <n v="5"/>
    <x v="32"/>
    <n v="2"/>
    <x v="44"/>
    <s v="Rajshahi Royals"/>
    <s v="field first"/>
    <s v="Royals"/>
    <s v="Rajshahi Royals"/>
    <x v="0"/>
    <s v="Mirpur"/>
    <n v="8"/>
    <n v="0"/>
    <s v="8 wickets"/>
    <s v="Wickets"/>
    <n v="8"/>
    <s v="Close Match"/>
    <n v="311"/>
    <x v="0"/>
    <s v="Prageeth Rambukwella"/>
    <s v="Tanvir Ahmed"/>
    <x v="0"/>
    <x v="17"/>
    <x v="0"/>
  </r>
  <r>
    <x v="6"/>
    <x v="6"/>
    <x v="19"/>
    <x v="1"/>
    <s v="Jan 11 2020"/>
    <x v="58"/>
    <n v="5"/>
    <x v="32"/>
    <n v="2"/>
    <x v="44"/>
    <s v="Rajshahi Royals"/>
    <s v="field first"/>
    <s v="Royals"/>
    <s v="Rajshahi Royals"/>
    <x v="0"/>
    <s v="Mirpur"/>
    <n v="8"/>
    <n v="0"/>
    <s v="8 wickets"/>
    <s v="Wickets"/>
    <n v="8"/>
    <s v="Close Match"/>
    <n v="311"/>
    <x v="0"/>
    <s v="Prageeth Rambukwella"/>
    <s v="Tanvir Ahmed"/>
    <x v="1"/>
    <x v="15"/>
    <x v="1"/>
  </r>
  <r>
    <x v="6"/>
    <x v="6"/>
    <x v="21"/>
    <x v="1"/>
    <s v="Jan 10 2020"/>
    <x v="59"/>
    <n v="2"/>
    <x v="24"/>
    <n v="9"/>
    <x v="26"/>
    <s v="Cumilla Warriors"/>
    <s v="field first"/>
    <s v="Tigers"/>
    <s v="Khulna Tigers"/>
    <x v="0"/>
    <s v="Mirpur"/>
    <n v="0"/>
    <n v="92"/>
    <s v="92 runs"/>
    <s v="Runs"/>
    <n v="92"/>
    <s v="Normal"/>
    <n v="344"/>
    <x v="0"/>
    <s v="Gazi Sohel"/>
    <s v="Prageeth Rambukwella"/>
    <x v="0"/>
    <x v="16"/>
    <x v="1"/>
  </r>
  <r>
    <x v="6"/>
    <x v="6"/>
    <x v="21"/>
    <x v="1"/>
    <s v="Jan 10 2020"/>
    <x v="59"/>
    <n v="2"/>
    <x v="24"/>
    <n v="9"/>
    <x v="26"/>
    <s v="Cumilla Warriors"/>
    <s v="field first"/>
    <s v="Tigers"/>
    <s v="Khulna Tigers"/>
    <x v="0"/>
    <s v="Mirpur"/>
    <n v="0"/>
    <n v="92"/>
    <s v="92 runs"/>
    <s v="Runs"/>
    <n v="92"/>
    <s v="Normal"/>
    <n v="344"/>
    <x v="0"/>
    <s v="Gazi Sohel"/>
    <s v="Prageeth Rambukwella"/>
    <x v="1"/>
    <x v="19"/>
    <x v="0"/>
  </r>
  <r>
    <x v="6"/>
    <x v="6"/>
    <x v="24"/>
    <x v="1"/>
    <s v="Jan 10 2020"/>
    <x v="11"/>
    <n v="9"/>
    <x v="60"/>
    <n v="9"/>
    <x v="60"/>
    <s v="Dhaka Platoon"/>
    <s v="field first"/>
    <s v="Rangers"/>
    <s v="Rangpur Rangers"/>
    <x v="0"/>
    <s v="Mirpur"/>
    <n v="0"/>
    <n v="11"/>
    <s v="11 runs"/>
    <s v="Runs"/>
    <n v="11"/>
    <s v="Normal"/>
    <n v="287"/>
    <x v="0"/>
    <s v="David Millns"/>
    <s v="Tanvir Ahmed"/>
    <x v="0"/>
    <x v="20"/>
    <x v="1"/>
  </r>
  <r>
    <x v="6"/>
    <x v="6"/>
    <x v="24"/>
    <x v="1"/>
    <s v="Jan 10 2020"/>
    <x v="11"/>
    <n v="9"/>
    <x v="60"/>
    <n v="9"/>
    <x v="60"/>
    <s v="Dhaka Platoon"/>
    <s v="field first"/>
    <s v="Rangers"/>
    <s v="Rangpur Rangers"/>
    <x v="0"/>
    <s v="Mirpur"/>
    <n v="0"/>
    <n v="11"/>
    <s v="11 runs"/>
    <s v="Runs"/>
    <n v="11"/>
    <s v="Normal"/>
    <n v="287"/>
    <x v="0"/>
    <s v="David Millns"/>
    <s v="Tanvir Ahmed"/>
    <x v="1"/>
    <x v="18"/>
    <x v="0"/>
  </r>
  <r>
    <x v="6"/>
    <x v="6"/>
    <x v="26"/>
    <x v="1"/>
    <s v="Jan 8 2020"/>
    <x v="26"/>
    <n v="9"/>
    <x v="61"/>
    <n v="10"/>
    <x v="61"/>
    <s v="Rangpur Rangers"/>
    <s v="field first"/>
    <s v="Platoon"/>
    <s v="Dhaka Platoon"/>
    <x v="0"/>
    <s v="Mirpur"/>
    <n v="0"/>
    <n v="61"/>
    <s v="61 runs"/>
    <s v="Runs"/>
    <n v="61"/>
    <s v="Normal"/>
    <n v="229"/>
    <x v="0"/>
    <s v="Mahfuzur Rahman"/>
    <s v="Prageeth Rambukwella"/>
    <x v="0"/>
    <x v="18"/>
    <x v="1"/>
  </r>
  <r>
    <x v="6"/>
    <x v="6"/>
    <x v="26"/>
    <x v="1"/>
    <s v="Jan 8 2020"/>
    <x v="26"/>
    <n v="9"/>
    <x v="61"/>
    <n v="10"/>
    <x v="61"/>
    <s v="Rangpur Rangers"/>
    <s v="field first"/>
    <s v="Platoon"/>
    <s v="Dhaka Platoon"/>
    <x v="0"/>
    <s v="Mirpur"/>
    <n v="0"/>
    <n v="61"/>
    <s v="61 runs"/>
    <s v="Runs"/>
    <n v="61"/>
    <s v="Normal"/>
    <n v="229"/>
    <x v="0"/>
    <s v="Mahfuzur Rahman"/>
    <s v="Prageeth Rambukwella"/>
    <x v="1"/>
    <x v="20"/>
    <x v="0"/>
  </r>
  <r>
    <x v="6"/>
    <x v="6"/>
    <x v="41"/>
    <x v="1"/>
    <s v="Jan 8 2020"/>
    <x v="60"/>
    <n v="2"/>
    <x v="21"/>
    <n v="10"/>
    <x v="62"/>
    <s v="Cumilla Warriors"/>
    <s v="field first"/>
    <s v="Tigers"/>
    <s v="Khulna Tigers"/>
    <x v="0"/>
    <s v="Mirpur"/>
    <n v="0"/>
    <n v="34"/>
    <s v="34 runs"/>
    <s v="Runs"/>
    <n v="34"/>
    <s v="Normal"/>
    <n v="324"/>
    <x v="0"/>
    <s v="David Millns"/>
    <s v="Gazi Sohel"/>
    <x v="0"/>
    <x v="16"/>
    <x v="1"/>
  </r>
  <r>
    <x v="6"/>
    <x v="6"/>
    <x v="41"/>
    <x v="1"/>
    <s v="Jan 8 2020"/>
    <x v="60"/>
    <n v="2"/>
    <x v="21"/>
    <n v="10"/>
    <x v="62"/>
    <s v="Cumilla Warriors"/>
    <s v="field first"/>
    <s v="Tigers"/>
    <s v="Khulna Tigers"/>
    <x v="0"/>
    <s v="Mirpur"/>
    <n v="0"/>
    <n v="34"/>
    <s v="34 runs"/>
    <s v="Runs"/>
    <n v="34"/>
    <s v="Normal"/>
    <n v="324"/>
    <x v="0"/>
    <s v="David Millns"/>
    <s v="Gazi Sohel"/>
    <x v="1"/>
    <x v="19"/>
    <x v="0"/>
  </r>
  <r>
    <x v="7"/>
    <x v="7"/>
    <x v="18"/>
    <x v="1"/>
    <s v="Feb 3 2022"/>
    <x v="61"/>
    <n v="8"/>
    <x v="62"/>
    <n v="1"/>
    <x v="63"/>
    <s v="Comilla Victorians"/>
    <s v="field first"/>
    <s v="Victorians"/>
    <s v="Comilla Victorians"/>
    <x v="0"/>
    <s v="Mirpur"/>
    <n v="9"/>
    <n v="0"/>
    <s v="9 wickets"/>
    <s v="Wickets"/>
    <n v="9"/>
    <s v="Close Match"/>
    <n v="286"/>
    <x v="0"/>
    <s v="Mahfuzur Rahman"/>
    <s v="Prageeth Rambukwella"/>
    <x v="0"/>
    <x v="17"/>
    <x v="0"/>
  </r>
  <r>
    <x v="7"/>
    <x v="7"/>
    <x v="18"/>
    <x v="1"/>
    <s v="Feb 3 2022"/>
    <x v="61"/>
    <n v="8"/>
    <x v="62"/>
    <n v="1"/>
    <x v="63"/>
    <s v="Comilla Victorians"/>
    <s v="field first"/>
    <s v="Victorians"/>
    <s v="Comilla Victorians"/>
    <x v="0"/>
    <s v="Mirpur"/>
    <n v="9"/>
    <n v="0"/>
    <s v="9 wickets"/>
    <s v="Wickets"/>
    <n v="9"/>
    <s v="Close Match"/>
    <n v="286"/>
    <x v="0"/>
    <s v="Mahfuzur Rahman"/>
    <s v="Prageeth Rambukwella"/>
    <x v="1"/>
    <x v="8"/>
    <x v="1"/>
  </r>
  <r>
    <x v="7"/>
    <x v="7"/>
    <x v="20"/>
    <x v="1"/>
    <s v="Feb 3 2022"/>
    <x v="39"/>
    <n v="5"/>
    <x v="0"/>
    <n v="1"/>
    <x v="64"/>
    <s v="Khulna Tigers"/>
    <s v="field first"/>
    <s v="Tigers"/>
    <s v="Khulna Tigers"/>
    <x v="0"/>
    <s v="Mirpur"/>
    <n v="9"/>
    <n v="0"/>
    <s v="9 wickets"/>
    <s v="Wickets"/>
    <n v="9"/>
    <s v="Close Match"/>
    <n v="286"/>
    <x v="0"/>
    <s v="Masudur Rahman"/>
    <s v="Morshed Ali Khan"/>
    <x v="0"/>
    <x v="21"/>
    <x v="0"/>
  </r>
  <r>
    <x v="7"/>
    <x v="7"/>
    <x v="20"/>
    <x v="1"/>
    <s v="Feb 3 2022"/>
    <x v="39"/>
    <n v="5"/>
    <x v="0"/>
    <n v="1"/>
    <x v="64"/>
    <s v="Khulna Tigers"/>
    <s v="field first"/>
    <s v="Tigers"/>
    <s v="Khulna Tigers"/>
    <x v="0"/>
    <s v="Mirpur"/>
    <n v="9"/>
    <n v="0"/>
    <s v="9 wickets"/>
    <s v="Wickets"/>
    <n v="9"/>
    <s v="Close Match"/>
    <n v="286"/>
    <x v="0"/>
    <s v="Masudur Rahman"/>
    <s v="Morshed Ali Khan"/>
    <x v="1"/>
    <x v="16"/>
    <x v="1"/>
  </r>
  <r>
    <x v="7"/>
    <x v="7"/>
    <x v="22"/>
    <x v="1"/>
    <s v="Feb 1 2022"/>
    <x v="11"/>
    <n v="10"/>
    <x v="45"/>
    <n v="10"/>
    <x v="16"/>
    <s v="Fortune Barishal"/>
    <s v="bat first"/>
    <s v="Barishal"/>
    <s v="Fortune Barishal"/>
    <x v="1"/>
    <s v="Chattogram"/>
    <n v="0"/>
    <n v="14"/>
    <s v="14 runs"/>
    <s v="Runs"/>
    <n v="14"/>
    <s v="Normal"/>
    <n v="284"/>
    <x v="0"/>
    <s v="Mahfuzur Rahman"/>
    <s v="Masudur Rahman"/>
    <x v="0"/>
    <x v="22"/>
    <x v="1"/>
  </r>
  <r>
    <x v="7"/>
    <x v="7"/>
    <x v="22"/>
    <x v="1"/>
    <s v="Feb 1 2022"/>
    <x v="11"/>
    <n v="10"/>
    <x v="45"/>
    <n v="10"/>
    <x v="16"/>
    <s v="Fortune Barishal"/>
    <s v="bat first"/>
    <s v="Barishal"/>
    <s v="Fortune Barishal"/>
    <x v="1"/>
    <s v="Chattogram"/>
    <n v="0"/>
    <n v="14"/>
    <s v="14 runs"/>
    <s v="Runs"/>
    <n v="14"/>
    <s v="Normal"/>
    <n v="284"/>
    <x v="0"/>
    <s v="Mahfuzur Rahman"/>
    <s v="Masudur Rahman"/>
    <x v="1"/>
    <x v="17"/>
    <x v="0"/>
  </r>
  <r>
    <x v="7"/>
    <x v="7"/>
    <x v="23"/>
    <x v="1"/>
    <s v="Feb 1 2022"/>
    <x v="62"/>
    <n v="6"/>
    <x v="34"/>
    <n v="10"/>
    <x v="28"/>
    <s v="Comilla Victorians"/>
    <s v="field first"/>
    <s v="Dhaka"/>
    <s v="Minister Group Dhaka"/>
    <x v="1"/>
    <s v="Chattogram"/>
    <n v="0"/>
    <n v="50"/>
    <s v="50 runs"/>
    <s v="Runs"/>
    <n v="50"/>
    <s v="Normal"/>
    <n v="312"/>
    <x v="0"/>
    <s v="Prageeth Rambukwella"/>
    <s v="Tanvir Ahmed"/>
    <x v="0"/>
    <x v="23"/>
    <x v="1"/>
  </r>
  <r>
    <x v="7"/>
    <x v="7"/>
    <x v="23"/>
    <x v="1"/>
    <s v="Feb 1 2022"/>
    <x v="62"/>
    <n v="6"/>
    <x v="34"/>
    <n v="10"/>
    <x v="28"/>
    <s v="Comilla Victorians"/>
    <s v="field first"/>
    <s v="Dhaka"/>
    <s v="Minister Group Dhaka"/>
    <x v="1"/>
    <s v="Chattogram"/>
    <n v="0"/>
    <n v="50"/>
    <s v="50 runs"/>
    <s v="Runs"/>
    <n v="50"/>
    <s v="Normal"/>
    <n v="312"/>
    <x v="0"/>
    <s v="Prageeth Rambukwella"/>
    <s v="Tanvir Ahmed"/>
    <x v="1"/>
    <x v="8"/>
    <x v="0"/>
  </r>
  <r>
    <x v="7"/>
    <x v="7"/>
    <x v="25"/>
    <x v="1"/>
    <s v="Jan 31 2022"/>
    <x v="26"/>
    <n v="10"/>
    <x v="17"/>
    <n v="6"/>
    <x v="16"/>
    <s v="Fortune Barishal"/>
    <s v="bat first"/>
    <s v="Barishal"/>
    <s v="Fortune Barishal"/>
    <x v="1"/>
    <s v="Chattogram"/>
    <n v="0"/>
    <n v="6"/>
    <s v="6 runs"/>
    <s v="Runs"/>
    <n v="6"/>
    <s v="Close Match"/>
    <n v="284"/>
    <x v="0"/>
    <s v="Mahfuzur Rahman"/>
    <s v="Prageeth Rambukwella"/>
    <x v="0"/>
    <x v="22"/>
    <x v="1"/>
  </r>
  <r>
    <x v="7"/>
    <x v="7"/>
    <x v="25"/>
    <x v="1"/>
    <s v="Jan 31 2022"/>
    <x v="26"/>
    <n v="10"/>
    <x v="17"/>
    <n v="6"/>
    <x v="16"/>
    <s v="Fortune Barishal"/>
    <s v="bat first"/>
    <s v="Barishal"/>
    <s v="Fortune Barishal"/>
    <x v="1"/>
    <s v="Chattogram"/>
    <n v="0"/>
    <n v="6"/>
    <s v="6 runs"/>
    <s v="Runs"/>
    <n v="6"/>
    <s v="Close Match"/>
    <n v="284"/>
    <x v="0"/>
    <s v="Mahfuzur Rahman"/>
    <s v="Prageeth Rambukwella"/>
    <x v="1"/>
    <x v="16"/>
    <x v="0"/>
  </r>
  <r>
    <x v="7"/>
    <x v="7"/>
    <x v="27"/>
    <x v="1"/>
    <s v="Jan 31 2022"/>
    <x v="63"/>
    <n v="3"/>
    <x v="34"/>
    <n v="10"/>
    <x v="65"/>
    <s v="Chattogram Challengers"/>
    <s v="field first"/>
    <s v="Victorians"/>
    <s v="Comilla Victorians"/>
    <x v="1"/>
    <s v="Chattogram"/>
    <n v="0"/>
    <n v="52"/>
    <s v="52 runs"/>
    <s v="Runs"/>
    <n v="52"/>
    <s v="Normal"/>
    <n v="314"/>
    <x v="0"/>
    <s v="Morshed Ali Khan"/>
    <s v="Sharfuddoula"/>
    <x v="0"/>
    <x v="8"/>
    <x v="1"/>
  </r>
  <r>
    <x v="7"/>
    <x v="7"/>
    <x v="27"/>
    <x v="1"/>
    <s v="Jan 31 2022"/>
    <x v="63"/>
    <n v="3"/>
    <x v="34"/>
    <n v="10"/>
    <x v="65"/>
    <s v="Chattogram Challengers"/>
    <s v="field first"/>
    <s v="Victorians"/>
    <s v="Comilla Victorians"/>
    <x v="1"/>
    <s v="Chattogram"/>
    <n v="0"/>
    <n v="52"/>
    <s v="52 runs"/>
    <s v="Runs"/>
    <n v="52"/>
    <s v="Normal"/>
    <n v="314"/>
    <x v="0"/>
    <s v="Morshed Ali Khan"/>
    <s v="Sharfuddoula"/>
    <x v="1"/>
    <x v="17"/>
    <x v="0"/>
  </r>
  <r>
    <x v="7"/>
    <x v="7"/>
    <x v="28"/>
    <x v="1"/>
    <s v="Jan 29 2022"/>
    <x v="64"/>
    <n v="5"/>
    <x v="63"/>
    <n v="6"/>
    <x v="66"/>
    <s v="Sylhet Sunrisers"/>
    <s v="field first"/>
    <s v="Challengers"/>
    <s v="Chattogram Challengers"/>
    <x v="1"/>
    <s v="Chattogram"/>
    <n v="0"/>
    <n v="16"/>
    <s v="16 runs"/>
    <s v="Runs"/>
    <n v="16"/>
    <s v="Normal"/>
    <n v="388"/>
    <x v="0"/>
    <s v="Mahfuzur Rahman"/>
    <s v="Sharfuddoula"/>
    <x v="0"/>
    <x v="17"/>
    <x v="1"/>
  </r>
  <r>
    <x v="7"/>
    <x v="7"/>
    <x v="28"/>
    <x v="1"/>
    <s v="Jan 29 2022"/>
    <x v="64"/>
    <n v="5"/>
    <x v="63"/>
    <n v="6"/>
    <x v="66"/>
    <s v="Sylhet Sunrisers"/>
    <s v="field first"/>
    <s v="Challengers"/>
    <s v="Chattogram Challengers"/>
    <x v="1"/>
    <s v="Chattogram"/>
    <n v="0"/>
    <n v="16"/>
    <s v="16 runs"/>
    <s v="Runs"/>
    <n v="16"/>
    <s v="Normal"/>
    <n v="388"/>
    <x v="0"/>
    <s v="Mahfuzur Rahman"/>
    <s v="Sharfuddoula"/>
    <x v="1"/>
    <x v="21"/>
    <x v="0"/>
  </r>
  <r>
    <x v="7"/>
    <x v="7"/>
    <x v="30"/>
    <x v="1"/>
    <s v="Jan 29 2022"/>
    <x v="45"/>
    <n v="9"/>
    <x v="56"/>
    <n v="10"/>
    <x v="67"/>
    <s v="Khulna Tigers"/>
    <s v="field first"/>
    <s v="Barishal"/>
    <s v="Fortune Barishal"/>
    <x v="1"/>
    <s v="Chattogram"/>
    <n v="0"/>
    <n v="17"/>
    <s v="17 runs"/>
    <s v="Runs"/>
    <n v="17"/>
    <s v="Normal"/>
    <n v="265"/>
    <x v="0"/>
    <s v="Morshed Ali Khan"/>
    <s v="Prageeth Rambukwella"/>
    <x v="0"/>
    <x v="22"/>
    <x v="1"/>
  </r>
  <r>
    <x v="7"/>
    <x v="7"/>
    <x v="30"/>
    <x v="1"/>
    <s v="Jan 29 2022"/>
    <x v="45"/>
    <n v="9"/>
    <x v="56"/>
    <n v="10"/>
    <x v="67"/>
    <s v="Khulna Tigers"/>
    <s v="field first"/>
    <s v="Barishal"/>
    <s v="Fortune Barishal"/>
    <x v="1"/>
    <s v="Chattogram"/>
    <n v="0"/>
    <n v="17"/>
    <s v="17 runs"/>
    <s v="Runs"/>
    <n v="17"/>
    <s v="Normal"/>
    <n v="265"/>
    <x v="0"/>
    <s v="Morshed Ali Khan"/>
    <s v="Prageeth Rambukwella"/>
    <x v="1"/>
    <x v="16"/>
    <x v="0"/>
  </r>
  <r>
    <x v="1"/>
    <x v="1"/>
    <x v="41"/>
    <x v="1"/>
    <s v="Feb 12 2013"/>
    <x v="65"/>
    <n v="3"/>
    <x v="45"/>
    <n v="7"/>
    <x v="19"/>
    <s v="Khulna Royal Bengals"/>
    <s v="field first"/>
    <s v="Royals"/>
    <s v="Sylhet Royals"/>
    <x v="0"/>
    <s v="Mirpur"/>
    <n v="0"/>
    <n v="61"/>
    <s v="61 runs"/>
    <s v="Runs"/>
    <n v="61"/>
    <s v="Normal"/>
    <n v="331"/>
    <x v="0"/>
    <s v="Jeremy Lloyds"/>
    <s v="Tanvir Ahmed"/>
    <x v="0"/>
    <x v="5"/>
    <x v="1"/>
  </r>
  <r>
    <x v="1"/>
    <x v="1"/>
    <x v="41"/>
    <x v="1"/>
    <s v="Feb 12 2013"/>
    <x v="65"/>
    <n v="3"/>
    <x v="45"/>
    <n v="7"/>
    <x v="19"/>
    <s v="Khulna Royal Bengals"/>
    <s v="field first"/>
    <s v="Royals"/>
    <s v="Sylhet Royals"/>
    <x v="0"/>
    <s v="Mirpur"/>
    <n v="0"/>
    <n v="61"/>
    <s v="61 runs"/>
    <s v="Runs"/>
    <n v="61"/>
    <s v="Normal"/>
    <n v="331"/>
    <x v="0"/>
    <s v="Jeremy Lloyds"/>
    <s v="Tanvir Ahmed"/>
    <x v="1"/>
    <x v="2"/>
    <x v="0"/>
  </r>
  <r>
    <x v="1"/>
    <x v="1"/>
    <x v="42"/>
    <x v="1"/>
    <s v="Feb 11 2013"/>
    <x v="60"/>
    <n v="8"/>
    <x v="7"/>
    <n v="10"/>
    <x v="68"/>
    <s v="Duronto Rajshahi"/>
    <s v="field first"/>
    <s v="Riders"/>
    <s v="Rangpur Riders"/>
    <x v="0"/>
    <s v="Mirpur"/>
    <n v="0"/>
    <n v="19"/>
    <s v="19 runs"/>
    <s v="Runs"/>
    <n v="19"/>
    <s v="Normal"/>
    <n v="339"/>
    <x v="0"/>
    <s v="Enamul Haque"/>
    <s v="Jeremy Lloyds"/>
    <x v="0"/>
    <x v="6"/>
    <x v="1"/>
  </r>
  <r>
    <x v="1"/>
    <x v="1"/>
    <x v="42"/>
    <x v="1"/>
    <s v="Feb 11 2013"/>
    <x v="60"/>
    <n v="8"/>
    <x v="7"/>
    <n v="10"/>
    <x v="68"/>
    <s v="Duronto Rajshahi"/>
    <s v="field first"/>
    <s v="Riders"/>
    <s v="Rangpur Riders"/>
    <x v="0"/>
    <s v="Mirpur"/>
    <n v="0"/>
    <n v="19"/>
    <s v="19 runs"/>
    <s v="Runs"/>
    <n v="19"/>
    <s v="Normal"/>
    <n v="339"/>
    <x v="0"/>
    <s v="Enamul Haque"/>
    <s v="Jeremy Lloyds"/>
    <x v="1"/>
    <x v="3"/>
    <x v="0"/>
  </r>
  <r>
    <x v="1"/>
    <x v="1"/>
    <x v="43"/>
    <x v="1"/>
    <s v="Feb 11 2013"/>
    <x v="66"/>
    <n v="6"/>
    <x v="64"/>
    <n v="4"/>
    <x v="69"/>
    <s v="Khulna Royal Bengals"/>
    <s v="bat first"/>
    <s v="Dhaka"/>
    <s v="Dhaka Gladiators"/>
    <x v="0"/>
    <s v="Mirpur"/>
    <n v="6"/>
    <n v="0"/>
    <s v="6 wickets"/>
    <s v="Wickets"/>
    <n v="6"/>
    <s v="Close Match"/>
    <n v="356"/>
    <x v="0"/>
    <s v="Gazi Sohel"/>
    <s v="Jeremy Lloyds"/>
    <x v="0"/>
    <x v="2"/>
    <x v="0"/>
  </r>
  <r>
    <x v="1"/>
    <x v="1"/>
    <x v="43"/>
    <x v="1"/>
    <s v="Feb 11 2013"/>
    <x v="66"/>
    <n v="6"/>
    <x v="64"/>
    <n v="4"/>
    <x v="69"/>
    <s v="Khulna Royal Bengals"/>
    <s v="bat first"/>
    <s v="Dhaka"/>
    <s v="Dhaka Gladiators"/>
    <x v="0"/>
    <s v="Mirpur"/>
    <n v="6"/>
    <n v="0"/>
    <s v="6 wickets"/>
    <s v="Wickets"/>
    <n v="6"/>
    <s v="Close Match"/>
    <n v="356"/>
    <x v="0"/>
    <s v="Gazi Sohel"/>
    <s v="Jeremy Lloyds"/>
    <x v="1"/>
    <x v="1"/>
    <x v="1"/>
  </r>
  <r>
    <x v="1"/>
    <x v="1"/>
    <x v="44"/>
    <x v="1"/>
    <s v="Feb 9 2013"/>
    <x v="24"/>
    <n v="9"/>
    <x v="65"/>
    <n v="2"/>
    <x v="16"/>
    <s v="Barisal Burners"/>
    <s v="bat first"/>
    <s v="Dhaka"/>
    <s v="Dhaka Gladiators"/>
    <x v="0"/>
    <s v="Mirpur"/>
    <n v="8"/>
    <n v="0"/>
    <s v="8 wickets"/>
    <s v="Wickets"/>
    <n v="8"/>
    <s v="Close Match"/>
    <n v="229"/>
    <x v="0"/>
    <s v="Jeremy Lloyds"/>
    <s v="Masudur Rahman"/>
    <x v="0"/>
    <x v="0"/>
    <x v="0"/>
  </r>
  <r>
    <x v="1"/>
    <x v="1"/>
    <x v="44"/>
    <x v="1"/>
    <s v="Feb 9 2013"/>
    <x v="24"/>
    <n v="9"/>
    <x v="65"/>
    <n v="2"/>
    <x v="16"/>
    <s v="Barisal Burners"/>
    <s v="bat first"/>
    <s v="Dhaka"/>
    <s v="Dhaka Gladiators"/>
    <x v="0"/>
    <s v="Mirpur"/>
    <n v="8"/>
    <n v="0"/>
    <s v="8 wickets"/>
    <s v="Wickets"/>
    <n v="8"/>
    <s v="Close Match"/>
    <n v="229"/>
    <x v="0"/>
    <s v="Jeremy Lloyds"/>
    <s v="Masudur Rahman"/>
    <x v="1"/>
    <x v="1"/>
    <x v="1"/>
  </r>
  <r>
    <x v="1"/>
    <x v="1"/>
    <x v="45"/>
    <x v="1"/>
    <s v="Feb 9 2013"/>
    <x v="27"/>
    <n v="6"/>
    <x v="66"/>
    <n v="5"/>
    <x v="70"/>
    <s v="Rangpur Riders"/>
    <s v="field first"/>
    <s v="Riders"/>
    <s v="Rangpur Riders"/>
    <x v="0"/>
    <s v="Mirpur"/>
    <n v="5"/>
    <n v="0"/>
    <s v="5 wickets"/>
    <s v="Wickets"/>
    <n v="5"/>
    <s v="Close Match"/>
    <n v="321"/>
    <x v="0"/>
    <s v="Enamul Haque"/>
    <s v="Richard Illingworth"/>
    <x v="0"/>
    <x v="4"/>
    <x v="0"/>
  </r>
  <r>
    <x v="1"/>
    <x v="1"/>
    <x v="45"/>
    <x v="1"/>
    <s v="Feb 9 2013"/>
    <x v="27"/>
    <n v="6"/>
    <x v="66"/>
    <n v="5"/>
    <x v="70"/>
    <s v="Rangpur Riders"/>
    <s v="field first"/>
    <s v="Riders"/>
    <s v="Rangpur Riders"/>
    <x v="0"/>
    <s v="Mirpur"/>
    <n v="5"/>
    <n v="0"/>
    <s v="5 wickets"/>
    <s v="Wickets"/>
    <n v="5"/>
    <s v="Close Match"/>
    <n v="321"/>
    <x v="0"/>
    <s v="Enamul Haque"/>
    <s v="Richard Illingworth"/>
    <x v="1"/>
    <x v="6"/>
    <x v="1"/>
  </r>
  <r>
    <x v="1"/>
    <x v="1"/>
    <x v="46"/>
    <x v="1"/>
    <s v="Feb 8 2013"/>
    <x v="23"/>
    <n v="4"/>
    <x v="67"/>
    <n v="10"/>
    <x v="71"/>
    <s v="Sylhet Royals"/>
    <s v="field first"/>
    <s v="Chittagong"/>
    <s v="Chittagong Kings"/>
    <x v="0"/>
    <s v="Mirpur"/>
    <n v="0"/>
    <n v="119"/>
    <s v="119 runs"/>
    <s v="Runs"/>
    <n v="119"/>
    <s v="Normal"/>
    <n v="267"/>
    <x v="0"/>
    <s v="Gazi Sohel"/>
    <s v="Richard Illingworth"/>
    <x v="0"/>
    <x v="4"/>
    <x v="1"/>
  </r>
  <r>
    <x v="1"/>
    <x v="1"/>
    <x v="46"/>
    <x v="1"/>
    <s v="Feb 8 2013"/>
    <x v="23"/>
    <n v="4"/>
    <x v="67"/>
    <n v="10"/>
    <x v="71"/>
    <s v="Sylhet Royals"/>
    <s v="field first"/>
    <s v="Chittagong"/>
    <s v="Chittagong Kings"/>
    <x v="0"/>
    <s v="Mirpur"/>
    <n v="0"/>
    <n v="119"/>
    <s v="119 runs"/>
    <s v="Runs"/>
    <n v="119"/>
    <s v="Normal"/>
    <n v="267"/>
    <x v="0"/>
    <s v="Gazi Sohel"/>
    <s v="Richard Illingworth"/>
    <x v="1"/>
    <x v="5"/>
    <x v="0"/>
  </r>
  <r>
    <x v="1"/>
    <x v="1"/>
    <x v="47"/>
    <x v="1"/>
    <s v="Feb 8 2013"/>
    <x v="61"/>
    <n v="9"/>
    <x v="68"/>
    <n v="3"/>
    <x v="72"/>
    <s v="Duronto Rajshahi"/>
    <s v="bat first"/>
    <s v="Khulna"/>
    <s v="Khulna Royal Bengals"/>
    <x v="0"/>
    <s v="Mirpur"/>
    <n v="7"/>
    <n v="0"/>
    <s v="7 wickets"/>
    <s v="Wickets"/>
    <n v="7"/>
    <s v="Close Match"/>
    <n v="278"/>
    <x v="0"/>
    <s v="Enamul Haque"/>
    <s v="Jeremy Lloyds"/>
    <x v="0"/>
    <x v="3"/>
    <x v="0"/>
  </r>
  <r>
    <x v="1"/>
    <x v="1"/>
    <x v="47"/>
    <x v="1"/>
    <s v="Feb 8 2013"/>
    <x v="61"/>
    <n v="9"/>
    <x v="68"/>
    <n v="3"/>
    <x v="72"/>
    <s v="Duronto Rajshahi"/>
    <s v="bat first"/>
    <s v="Khulna"/>
    <s v="Khulna Royal Bengals"/>
    <x v="0"/>
    <s v="Mirpur"/>
    <n v="7"/>
    <n v="0"/>
    <s v="7 wickets"/>
    <s v="Wickets"/>
    <n v="7"/>
    <s v="Close Match"/>
    <n v="278"/>
    <x v="0"/>
    <s v="Enamul Haque"/>
    <s v="Jeremy Lloyds"/>
    <x v="1"/>
    <x v="2"/>
    <x v="1"/>
  </r>
  <r>
    <x v="1"/>
    <x v="1"/>
    <x v="48"/>
    <x v="1"/>
    <s v="Feb 7 2013"/>
    <x v="16"/>
    <n v="4"/>
    <x v="69"/>
    <n v="4"/>
    <x v="73"/>
    <s v="Sylhet Royals"/>
    <s v="field first"/>
    <s v="Royals"/>
    <s v="Sylhet Royals"/>
    <x v="0"/>
    <s v="Mirpur"/>
    <n v="6"/>
    <n v="0"/>
    <s v="6 wickets"/>
    <s v="Wickets"/>
    <n v="6"/>
    <s v="Close Match"/>
    <n v="395"/>
    <x v="0"/>
    <s v="Enamul Haque"/>
    <s v="Richard Illingworth"/>
    <x v="0"/>
    <x v="6"/>
    <x v="0"/>
  </r>
  <r>
    <x v="1"/>
    <x v="1"/>
    <x v="48"/>
    <x v="1"/>
    <s v="Feb 7 2013"/>
    <x v="16"/>
    <n v="4"/>
    <x v="69"/>
    <n v="4"/>
    <x v="73"/>
    <s v="Sylhet Royals"/>
    <s v="field first"/>
    <s v="Royals"/>
    <s v="Sylhet Royals"/>
    <x v="0"/>
    <s v="Mirpur"/>
    <n v="6"/>
    <n v="0"/>
    <s v="6 wickets"/>
    <s v="Wickets"/>
    <n v="6"/>
    <s v="Close Match"/>
    <n v="395"/>
    <x v="0"/>
    <s v="Enamul Haque"/>
    <s v="Richard Illingworth"/>
    <x v="1"/>
    <x v="5"/>
    <x v="1"/>
  </r>
  <r>
    <x v="1"/>
    <x v="1"/>
    <x v="3"/>
    <x v="1"/>
    <s v="Feb 7 2013"/>
    <x v="7"/>
    <n v="5"/>
    <x v="70"/>
    <n v="10"/>
    <x v="10"/>
    <s v="Khulna Royal Bengals"/>
    <s v="field first"/>
    <s v="Chittagong"/>
    <s v="Chittagong Kings"/>
    <x v="0"/>
    <s v="Mirpur"/>
    <n v="0"/>
    <n v="89"/>
    <s v="89 runs"/>
    <s v="Runs"/>
    <n v="89"/>
    <s v="Normal"/>
    <n v="223"/>
    <x v="0"/>
    <s v="Jeremy Lloyds"/>
    <s v="Masudur Rahman"/>
    <x v="0"/>
    <x v="4"/>
    <x v="1"/>
  </r>
  <r>
    <x v="1"/>
    <x v="1"/>
    <x v="3"/>
    <x v="1"/>
    <s v="Feb 7 2013"/>
    <x v="7"/>
    <n v="5"/>
    <x v="70"/>
    <n v="10"/>
    <x v="10"/>
    <s v="Khulna Royal Bengals"/>
    <s v="field first"/>
    <s v="Chittagong"/>
    <s v="Chittagong Kings"/>
    <x v="0"/>
    <s v="Mirpur"/>
    <n v="0"/>
    <n v="89"/>
    <s v="89 runs"/>
    <s v="Runs"/>
    <n v="89"/>
    <s v="Normal"/>
    <n v="223"/>
    <x v="0"/>
    <s v="Jeremy Lloyds"/>
    <s v="Masudur Rahman"/>
    <x v="1"/>
    <x v="2"/>
    <x v="0"/>
  </r>
  <r>
    <x v="1"/>
    <x v="1"/>
    <x v="4"/>
    <x v="1"/>
    <s v="Feb 5 2013"/>
    <x v="67"/>
    <n v="4"/>
    <x v="9"/>
    <n v="10"/>
    <x v="33"/>
    <s v="Rangpur Riders"/>
    <s v="field first"/>
    <s v="Dhaka"/>
    <s v="Dhaka Gladiators"/>
    <x v="0"/>
    <s v="Mirpur"/>
    <n v="0"/>
    <n v="88"/>
    <s v="88 runs"/>
    <s v="Runs"/>
    <n v="88"/>
    <s v="Normal"/>
    <n v="346"/>
    <x v="0"/>
    <s v="Enamul Haque"/>
    <s v="Tanvir Ahmed"/>
    <x v="0"/>
    <x v="1"/>
    <x v="1"/>
  </r>
  <r>
    <x v="1"/>
    <x v="1"/>
    <x v="4"/>
    <x v="1"/>
    <s v="Feb 5 2013"/>
    <x v="67"/>
    <n v="4"/>
    <x v="9"/>
    <n v="10"/>
    <x v="33"/>
    <s v="Rangpur Riders"/>
    <s v="field first"/>
    <s v="Dhaka"/>
    <s v="Dhaka Gladiators"/>
    <x v="0"/>
    <s v="Mirpur"/>
    <n v="0"/>
    <n v="88"/>
    <s v="88 runs"/>
    <s v="Runs"/>
    <n v="88"/>
    <s v="Normal"/>
    <n v="346"/>
    <x v="0"/>
    <s v="Enamul Haque"/>
    <s v="Tanvir Ahmed"/>
    <x v="1"/>
    <x v="6"/>
    <x v="0"/>
  </r>
  <r>
    <x v="1"/>
    <x v="1"/>
    <x v="5"/>
    <x v="1"/>
    <s v="Feb 5 2013"/>
    <x v="49"/>
    <n v="8"/>
    <x v="71"/>
    <n v="5"/>
    <x v="35"/>
    <s v="Duronto Rajshahi"/>
    <s v="field first"/>
    <s v="Rajshahi"/>
    <s v="Duronto Rajshahi"/>
    <x v="0"/>
    <s v="Mirpur"/>
    <n v="5"/>
    <n v="0"/>
    <s v="5 wickets"/>
    <s v="Wickets"/>
    <n v="5"/>
    <s v="Close Match"/>
    <n v="299"/>
    <x v="0"/>
    <s v="Enamul Haque"/>
    <s v="Masudur Rahman"/>
    <x v="0"/>
    <x v="5"/>
    <x v="0"/>
  </r>
  <r>
    <x v="1"/>
    <x v="1"/>
    <x v="5"/>
    <x v="1"/>
    <s v="Feb 5 2013"/>
    <x v="49"/>
    <n v="8"/>
    <x v="71"/>
    <n v="5"/>
    <x v="35"/>
    <s v="Duronto Rajshahi"/>
    <s v="field first"/>
    <s v="Rajshahi"/>
    <s v="Duronto Rajshahi"/>
    <x v="0"/>
    <s v="Mirpur"/>
    <n v="5"/>
    <n v="0"/>
    <s v="5 wickets"/>
    <s v="Wickets"/>
    <n v="5"/>
    <s v="Close Match"/>
    <n v="299"/>
    <x v="0"/>
    <s v="Enamul Haque"/>
    <s v="Masudur Rahman"/>
    <x v="1"/>
    <x v="3"/>
    <x v="1"/>
  </r>
  <r>
    <x v="1"/>
    <x v="1"/>
    <x v="6"/>
    <x v="1"/>
    <s v="Feb 4 2013"/>
    <x v="26"/>
    <n v="7"/>
    <x v="62"/>
    <n v="3"/>
    <x v="1"/>
    <s v="Barisal Burners"/>
    <s v="field first"/>
    <s v="Barisal"/>
    <s v="Barisal Burners"/>
    <x v="0"/>
    <s v="Mirpur"/>
    <n v="7"/>
    <n v="0"/>
    <s v="7 wickets"/>
    <s v="Wickets"/>
    <n v="7"/>
    <s v="Close Match"/>
    <n v="293"/>
    <x v="0"/>
    <s v="Gazi Sohel"/>
    <s v="Jeremy Lloyds"/>
    <x v="0"/>
    <x v="2"/>
    <x v="0"/>
  </r>
  <r>
    <x v="1"/>
    <x v="1"/>
    <x v="6"/>
    <x v="1"/>
    <s v="Feb 4 2013"/>
    <x v="26"/>
    <n v="7"/>
    <x v="62"/>
    <n v="3"/>
    <x v="1"/>
    <s v="Barisal Burners"/>
    <s v="field first"/>
    <s v="Barisal"/>
    <s v="Barisal Burners"/>
    <x v="0"/>
    <s v="Mirpur"/>
    <n v="7"/>
    <n v="0"/>
    <s v="7 wickets"/>
    <s v="Wickets"/>
    <n v="7"/>
    <s v="Close Match"/>
    <n v="293"/>
    <x v="0"/>
    <s v="Gazi Sohel"/>
    <s v="Jeremy Lloyds"/>
    <x v="1"/>
    <x v="0"/>
    <x v="1"/>
  </r>
  <r>
    <x v="1"/>
    <x v="1"/>
    <x v="7"/>
    <x v="1"/>
    <s v="Feb 4 2013"/>
    <x v="31"/>
    <n v="3"/>
    <x v="72"/>
    <n v="3"/>
    <x v="48"/>
    <s v="Rangpur Riders"/>
    <s v="bat first"/>
    <s v="Rajshahi"/>
    <s v="Duronto Rajshahi"/>
    <x v="0"/>
    <s v="Mirpur"/>
    <n v="7"/>
    <n v="0"/>
    <s v="7 wickets"/>
    <s v="Wickets"/>
    <n v="7"/>
    <s v="Close Match"/>
    <n v="331"/>
    <x v="0"/>
    <s v="Enamul Haque"/>
    <s v="Richard Illingworth"/>
    <x v="0"/>
    <x v="6"/>
    <x v="0"/>
  </r>
  <r>
    <x v="1"/>
    <x v="1"/>
    <x v="7"/>
    <x v="1"/>
    <s v="Feb 4 2013"/>
    <x v="31"/>
    <n v="3"/>
    <x v="72"/>
    <n v="3"/>
    <x v="48"/>
    <s v="Rangpur Riders"/>
    <s v="bat first"/>
    <s v="Rajshahi"/>
    <s v="Duronto Rajshahi"/>
    <x v="0"/>
    <s v="Mirpur"/>
    <n v="7"/>
    <n v="0"/>
    <s v="7 wickets"/>
    <s v="Wickets"/>
    <n v="7"/>
    <s v="Close Match"/>
    <n v="331"/>
    <x v="0"/>
    <s v="Enamul Haque"/>
    <s v="Richard Illingworth"/>
    <x v="1"/>
    <x v="3"/>
    <x v="1"/>
  </r>
  <r>
    <x v="1"/>
    <x v="1"/>
    <x v="8"/>
    <x v="1"/>
    <s v="Feb 2 2013"/>
    <x v="39"/>
    <n v="10"/>
    <x v="73"/>
    <n v="8"/>
    <x v="74"/>
    <s v="Dhaka Gladiators"/>
    <s v="field first"/>
    <s v="Chittagong"/>
    <s v="Chittagong Kings"/>
    <x v="2"/>
    <s v="Chattogram"/>
    <n v="0"/>
    <n v="54"/>
    <s v="54 runs"/>
    <s v="Runs"/>
    <n v="54"/>
    <s v="Normal"/>
    <n v="230"/>
    <x v="0"/>
    <s v="Mahfuzur Rahman"/>
    <s v="Masudur Rahman"/>
    <x v="0"/>
    <x v="4"/>
    <x v="1"/>
  </r>
  <r>
    <x v="1"/>
    <x v="1"/>
    <x v="8"/>
    <x v="1"/>
    <s v="Feb 2 2013"/>
    <x v="39"/>
    <n v="10"/>
    <x v="73"/>
    <n v="8"/>
    <x v="74"/>
    <s v="Dhaka Gladiators"/>
    <s v="field first"/>
    <s v="Chittagong"/>
    <s v="Chittagong Kings"/>
    <x v="2"/>
    <s v="Chattogram"/>
    <n v="0"/>
    <n v="54"/>
    <s v="54 runs"/>
    <s v="Runs"/>
    <n v="54"/>
    <s v="Normal"/>
    <n v="230"/>
    <x v="0"/>
    <s v="Mahfuzur Rahman"/>
    <s v="Masudur Rahman"/>
    <x v="1"/>
    <x v="1"/>
    <x v="0"/>
  </r>
  <r>
    <x v="1"/>
    <x v="1"/>
    <x v="9"/>
    <x v="1"/>
    <s v="Feb 2 2013"/>
    <x v="28"/>
    <n v="6"/>
    <x v="39"/>
    <n v="6"/>
    <x v="35"/>
    <s v="Barisal Burners"/>
    <s v="bat first"/>
    <s v="Rajshahi"/>
    <s v="Duronto Rajshahi"/>
    <x v="2"/>
    <s v="Chattogram"/>
    <n v="4"/>
    <n v="0"/>
    <s v="4 wickets"/>
    <s v="Wickets"/>
    <n v="4"/>
    <s v="Close Match"/>
    <n v="305"/>
    <x v="0"/>
    <s v="Gazi Sohel"/>
    <s v="Jeremy Lloyds"/>
    <x v="0"/>
    <x v="0"/>
    <x v="0"/>
  </r>
  <r>
    <x v="1"/>
    <x v="1"/>
    <x v="9"/>
    <x v="1"/>
    <s v="Feb 2 2013"/>
    <x v="28"/>
    <n v="6"/>
    <x v="39"/>
    <n v="6"/>
    <x v="35"/>
    <s v="Barisal Burners"/>
    <s v="bat first"/>
    <s v="Rajshahi"/>
    <s v="Duronto Rajshahi"/>
    <x v="2"/>
    <s v="Chattogram"/>
    <n v="4"/>
    <n v="0"/>
    <s v="4 wickets"/>
    <s v="Wickets"/>
    <n v="4"/>
    <s v="Close Match"/>
    <n v="305"/>
    <x v="0"/>
    <s v="Gazi Sohel"/>
    <s v="Jeremy Lloyds"/>
    <x v="1"/>
    <x v="3"/>
    <x v="1"/>
  </r>
  <r>
    <x v="1"/>
    <x v="1"/>
    <x v="11"/>
    <x v="1"/>
    <s v="Feb 1 2013"/>
    <x v="68"/>
    <n v="5"/>
    <x v="74"/>
    <n v="2"/>
    <x v="71"/>
    <s v="Chittagong Kings"/>
    <s v="field first"/>
    <s v="Chittagong"/>
    <s v="Chittagong Kings"/>
    <x v="2"/>
    <s v="Chattogram"/>
    <n v="8"/>
    <n v="0"/>
    <s v="8 wickets"/>
    <s v="Wickets"/>
    <n v="8"/>
    <s v="Close Match"/>
    <n v="273"/>
    <x v="0"/>
    <s v="Mahfuzur Rahman"/>
    <s v="Masudur Rahman"/>
    <x v="0"/>
    <x v="2"/>
    <x v="0"/>
  </r>
  <r>
    <x v="1"/>
    <x v="1"/>
    <x v="11"/>
    <x v="1"/>
    <s v="Feb 1 2013"/>
    <x v="68"/>
    <n v="5"/>
    <x v="74"/>
    <n v="2"/>
    <x v="71"/>
    <s v="Chittagong Kings"/>
    <s v="field first"/>
    <s v="Chittagong"/>
    <s v="Chittagong Kings"/>
    <x v="2"/>
    <s v="Chattogram"/>
    <n v="8"/>
    <n v="0"/>
    <s v="8 wickets"/>
    <s v="Wickets"/>
    <n v="8"/>
    <s v="Close Match"/>
    <n v="273"/>
    <x v="0"/>
    <s v="Mahfuzur Rahman"/>
    <s v="Masudur Rahman"/>
    <x v="1"/>
    <x v="4"/>
    <x v="1"/>
  </r>
  <r>
    <x v="1"/>
    <x v="1"/>
    <x v="12"/>
    <x v="1"/>
    <s v="Feb 1 2013"/>
    <x v="15"/>
    <n v="5"/>
    <x v="56"/>
    <n v="9"/>
    <x v="75"/>
    <s v="Dhaka Gladiators"/>
    <s v="bat first"/>
    <s v="Dhaka"/>
    <s v="Dhaka Gladiators"/>
    <x v="2"/>
    <s v="Chattogram"/>
    <n v="0"/>
    <n v="13"/>
    <s v="13 runs"/>
    <s v="Runs"/>
    <n v="13"/>
    <s v="Normal"/>
    <n v="261"/>
    <x v="0"/>
    <s v="Gazi Sohel"/>
    <s v="Jeremy Lloyds"/>
    <x v="0"/>
    <x v="1"/>
    <x v="1"/>
  </r>
  <r>
    <x v="1"/>
    <x v="1"/>
    <x v="12"/>
    <x v="1"/>
    <s v="Feb 1 2013"/>
    <x v="15"/>
    <n v="5"/>
    <x v="56"/>
    <n v="9"/>
    <x v="75"/>
    <s v="Dhaka Gladiators"/>
    <s v="bat first"/>
    <s v="Dhaka"/>
    <s v="Dhaka Gladiators"/>
    <x v="2"/>
    <s v="Chattogram"/>
    <n v="0"/>
    <n v="13"/>
    <s v="13 runs"/>
    <s v="Runs"/>
    <n v="13"/>
    <s v="Normal"/>
    <n v="261"/>
    <x v="0"/>
    <s v="Gazi Sohel"/>
    <s v="Jeremy Lloyds"/>
    <x v="1"/>
    <x v="3"/>
    <x v="0"/>
  </r>
  <r>
    <x v="1"/>
    <x v="1"/>
    <x v="14"/>
    <x v="1"/>
    <s v="Jan 31 2013"/>
    <x v="69"/>
    <n v="5"/>
    <x v="75"/>
    <n v="6"/>
    <x v="1"/>
    <s v="Barisal Burners"/>
    <s v="bat first"/>
    <s v="Barisal"/>
    <s v="Barisal Burners"/>
    <x v="2"/>
    <s v="Chattogram"/>
    <n v="0"/>
    <n v="6"/>
    <s v="6 runs"/>
    <s v="Runs"/>
    <n v="6"/>
    <s v="Close Match"/>
    <n v="358"/>
    <x v="0"/>
    <s v="Anisur Rahman"/>
    <s v="Tanvir Ahmed"/>
    <x v="0"/>
    <x v="0"/>
    <x v="1"/>
  </r>
  <r>
    <x v="1"/>
    <x v="1"/>
    <x v="14"/>
    <x v="1"/>
    <s v="Jan 31 2013"/>
    <x v="69"/>
    <n v="5"/>
    <x v="75"/>
    <n v="6"/>
    <x v="1"/>
    <s v="Barisal Burners"/>
    <s v="bat first"/>
    <s v="Barisal"/>
    <s v="Barisal Burners"/>
    <x v="2"/>
    <s v="Chattogram"/>
    <n v="0"/>
    <n v="6"/>
    <s v="6 runs"/>
    <s v="Runs"/>
    <n v="6"/>
    <s v="Close Match"/>
    <n v="358"/>
    <x v="0"/>
    <s v="Anisur Rahman"/>
    <s v="Tanvir Ahmed"/>
    <x v="1"/>
    <x v="4"/>
    <x v="0"/>
  </r>
  <r>
    <x v="1"/>
    <x v="1"/>
    <x v="16"/>
    <x v="1"/>
    <s v="Jan 31 2013"/>
    <x v="70"/>
    <n v="10"/>
    <x v="24"/>
    <n v="5"/>
    <x v="76"/>
    <s v="Sylhet Royals"/>
    <s v="field first"/>
    <s v="Royals"/>
    <s v="Sylhet Royals"/>
    <x v="2"/>
    <s v="Chattogram"/>
    <n v="5"/>
    <n v="0"/>
    <s v="5 wickets"/>
    <s v="Wickets"/>
    <n v="5"/>
    <s v="Close Match"/>
    <n v="248"/>
    <x v="0"/>
    <s v="Jeremy Lloyds"/>
    <s v="Tanvir Ahmed"/>
    <x v="0"/>
    <x v="6"/>
    <x v="0"/>
  </r>
  <r>
    <x v="1"/>
    <x v="1"/>
    <x v="16"/>
    <x v="1"/>
    <s v="Jan 31 2013"/>
    <x v="70"/>
    <n v="10"/>
    <x v="24"/>
    <n v="5"/>
    <x v="76"/>
    <s v="Sylhet Royals"/>
    <s v="field first"/>
    <s v="Royals"/>
    <s v="Sylhet Royals"/>
    <x v="2"/>
    <s v="Chattogram"/>
    <n v="5"/>
    <n v="0"/>
    <s v="5 wickets"/>
    <s v="Wickets"/>
    <n v="5"/>
    <s v="Close Match"/>
    <n v="248"/>
    <x v="0"/>
    <s v="Jeremy Lloyds"/>
    <s v="Tanvir Ahmed"/>
    <x v="1"/>
    <x v="5"/>
    <x v="1"/>
  </r>
  <r>
    <x v="1"/>
    <x v="1"/>
    <x v="18"/>
    <x v="1"/>
    <s v="Jan 29 2013"/>
    <x v="70"/>
    <n v="10"/>
    <x v="76"/>
    <n v="10"/>
    <x v="77"/>
    <s v="Rangpur Riders"/>
    <s v="bat first"/>
    <s v="Riders"/>
    <s v="Rangpur Riders"/>
    <x v="2"/>
    <s v="Chattogram"/>
    <n v="0"/>
    <n v="33"/>
    <s v="33 runs"/>
    <s v="Runs"/>
    <n v="33"/>
    <s v="Normal"/>
    <n v="211"/>
    <x v="0"/>
    <s v="Anisur Rahman"/>
    <s v="Mahfuzur Rahman"/>
    <x v="0"/>
    <x v="6"/>
    <x v="1"/>
  </r>
  <r>
    <x v="1"/>
    <x v="1"/>
    <x v="18"/>
    <x v="1"/>
    <s v="Jan 29 2013"/>
    <x v="70"/>
    <n v="10"/>
    <x v="76"/>
    <n v="10"/>
    <x v="77"/>
    <s v="Rangpur Riders"/>
    <s v="bat first"/>
    <s v="Riders"/>
    <s v="Rangpur Riders"/>
    <x v="2"/>
    <s v="Chattogram"/>
    <n v="0"/>
    <n v="33"/>
    <s v="33 runs"/>
    <s v="Runs"/>
    <n v="33"/>
    <s v="Normal"/>
    <n v="211"/>
    <x v="0"/>
    <s v="Anisur Rahman"/>
    <s v="Mahfuzur Rahman"/>
    <x v="1"/>
    <x v="2"/>
    <x v="0"/>
  </r>
  <r>
    <x v="1"/>
    <x v="1"/>
    <x v="20"/>
    <x v="1"/>
    <s v="Jan 29 2013"/>
    <x v="40"/>
    <n v="5"/>
    <x v="77"/>
    <n v="8"/>
    <x v="78"/>
    <s v="Sylhet Royals"/>
    <s v="field first"/>
    <s v="Dhaka"/>
    <s v="Dhaka Gladiators"/>
    <x v="2"/>
    <s v="Chattogram"/>
    <n v="0"/>
    <n v="31"/>
    <s v="31 runs"/>
    <s v="Runs"/>
    <n v="31"/>
    <s v="Normal"/>
    <n v="285"/>
    <x v="0"/>
    <s v="Jeremy Lloyds"/>
    <s v="Masudur Rahman"/>
    <x v="0"/>
    <x v="1"/>
    <x v="1"/>
  </r>
  <r>
    <x v="1"/>
    <x v="1"/>
    <x v="20"/>
    <x v="1"/>
    <s v="Jan 29 2013"/>
    <x v="40"/>
    <n v="5"/>
    <x v="77"/>
    <n v="8"/>
    <x v="78"/>
    <s v="Sylhet Royals"/>
    <s v="field first"/>
    <s v="Dhaka"/>
    <s v="Dhaka Gladiators"/>
    <x v="2"/>
    <s v="Chattogram"/>
    <n v="0"/>
    <n v="31"/>
    <s v="31 runs"/>
    <s v="Runs"/>
    <n v="31"/>
    <s v="Normal"/>
    <n v="285"/>
    <x v="0"/>
    <s v="Jeremy Lloyds"/>
    <s v="Masudur Rahman"/>
    <x v="1"/>
    <x v="5"/>
    <x v="0"/>
  </r>
  <r>
    <x v="1"/>
    <x v="1"/>
    <x v="22"/>
    <x v="1"/>
    <s v="Jan 28 2013"/>
    <x v="71"/>
    <n v="6"/>
    <x v="78"/>
    <n v="7"/>
    <x v="79"/>
    <s v="Duronto Rajshahi"/>
    <s v="bat first"/>
    <s v="Rajshahi"/>
    <s v="Duronto Rajshahi"/>
    <x v="2"/>
    <s v="Chattogram"/>
    <n v="0"/>
    <n v="4"/>
    <s v="4 runs"/>
    <s v="Runs"/>
    <n v="4"/>
    <s v="Close Match"/>
    <n v="422"/>
    <x v="0"/>
    <s v="Anisur Rahman"/>
    <s v="Gazi Sohel"/>
    <x v="0"/>
    <x v="3"/>
    <x v="1"/>
  </r>
  <r>
    <x v="1"/>
    <x v="1"/>
    <x v="22"/>
    <x v="1"/>
    <s v="Jan 28 2013"/>
    <x v="71"/>
    <n v="6"/>
    <x v="78"/>
    <n v="7"/>
    <x v="79"/>
    <s v="Duronto Rajshahi"/>
    <s v="bat first"/>
    <s v="Rajshahi"/>
    <s v="Duronto Rajshahi"/>
    <x v="2"/>
    <s v="Chattogram"/>
    <n v="0"/>
    <n v="4"/>
    <s v="4 runs"/>
    <s v="Runs"/>
    <n v="4"/>
    <s v="Close Match"/>
    <n v="422"/>
    <x v="0"/>
    <s v="Anisur Rahman"/>
    <s v="Gazi Sohel"/>
    <x v="1"/>
    <x v="0"/>
    <x v="0"/>
  </r>
  <r>
    <x v="1"/>
    <x v="1"/>
    <x v="23"/>
    <x v="1"/>
    <s v="Jan 28 2013"/>
    <x v="9"/>
    <n v="6"/>
    <x v="75"/>
    <n v="7"/>
    <x v="80"/>
    <s v="Sylhet Royals"/>
    <s v="field first"/>
    <s v="Royals"/>
    <s v="Sylhet Royals"/>
    <x v="2"/>
    <s v="Chattogram"/>
    <n v="3"/>
    <n v="0"/>
    <s v="3 wickets"/>
    <s v="Wickets"/>
    <n v="3"/>
    <s v="Close Match"/>
    <n v="348"/>
    <x v="0"/>
    <s v="Jeremy Lloyds"/>
    <s v="Tanvir Ahmed"/>
    <x v="0"/>
    <x v="4"/>
    <x v="0"/>
  </r>
  <r>
    <x v="1"/>
    <x v="1"/>
    <x v="23"/>
    <x v="1"/>
    <s v="Jan 28 2013"/>
    <x v="9"/>
    <n v="6"/>
    <x v="75"/>
    <n v="7"/>
    <x v="80"/>
    <s v="Sylhet Royals"/>
    <s v="field first"/>
    <s v="Royals"/>
    <s v="Sylhet Royals"/>
    <x v="2"/>
    <s v="Chattogram"/>
    <n v="3"/>
    <n v="0"/>
    <s v="3 wickets"/>
    <s v="Wickets"/>
    <n v="3"/>
    <s v="Close Match"/>
    <n v="348"/>
    <x v="0"/>
    <s v="Jeremy Lloyds"/>
    <s v="Tanvir Ahmed"/>
    <x v="1"/>
    <x v="5"/>
    <x v="1"/>
  </r>
  <r>
    <x v="1"/>
    <x v="1"/>
    <x v="25"/>
    <x v="1"/>
    <s v="Jan 25 2013"/>
    <x v="4"/>
    <n v="7"/>
    <x v="20"/>
    <n v="7"/>
    <x v="81"/>
    <s v="Khulna Royal Bengals"/>
    <s v="bat first"/>
    <s v="Khulna"/>
    <s v="Khulna Royal Bengals"/>
    <x v="3"/>
    <s v="Khulna"/>
    <n v="0"/>
    <n v="9"/>
    <s v="9 runs"/>
    <s v="Runs"/>
    <n v="9"/>
    <s v="Close Match"/>
    <n v="291"/>
    <x v="0"/>
    <s v="Mahfuzur Rahman"/>
    <s v="Masudur Rahman"/>
    <x v="0"/>
    <x v="2"/>
    <x v="1"/>
  </r>
  <r>
    <x v="1"/>
    <x v="1"/>
    <x v="25"/>
    <x v="1"/>
    <s v="Jan 25 2013"/>
    <x v="4"/>
    <n v="7"/>
    <x v="20"/>
    <n v="7"/>
    <x v="81"/>
    <s v="Khulna Royal Bengals"/>
    <s v="bat first"/>
    <s v="Khulna"/>
    <s v="Khulna Royal Bengals"/>
    <x v="3"/>
    <s v="Khulna"/>
    <n v="0"/>
    <n v="9"/>
    <s v="9 runs"/>
    <s v="Runs"/>
    <n v="9"/>
    <s v="Close Match"/>
    <n v="291"/>
    <x v="0"/>
    <s v="Mahfuzur Rahman"/>
    <s v="Masudur Rahman"/>
    <x v="1"/>
    <x v="6"/>
    <x v="0"/>
  </r>
  <r>
    <x v="1"/>
    <x v="1"/>
    <x v="27"/>
    <x v="1"/>
    <s v="Jan 25 2013"/>
    <x v="28"/>
    <n v="8"/>
    <x v="25"/>
    <n v="3"/>
    <x v="26"/>
    <s v="Dhaka Gladiators"/>
    <s v="bat first"/>
    <s v="Royals"/>
    <s v="Sylhet Royals"/>
    <x v="3"/>
    <s v="Khulna"/>
    <n v="7"/>
    <n v="0"/>
    <s v="7 wickets"/>
    <s v="Wickets"/>
    <n v="7"/>
    <s v="Close Match"/>
    <n v="309"/>
    <x v="0"/>
    <s v="Mahfuzur Rahman"/>
    <s v="Richard Illingworth"/>
    <x v="0"/>
    <x v="1"/>
    <x v="0"/>
  </r>
  <r>
    <x v="1"/>
    <x v="1"/>
    <x v="27"/>
    <x v="1"/>
    <s v="Jan 25 2013"/>
    <x v="28"/>
    <n v="8"/>
    <x v="25"/>
    <n v="3"/>
    <x v="26"/>
    <s v="Dhaka Gladiators"/>
    <s v="bat first"/>
    <s v="Royals"/>
    <s v="Sylhet Royals"/>
    <x v="3"/>
    <s v="Khulna"/>
    <n v="7"/>
    <n v="0"/>
    <s v="7 wickets"/>
    <s v="Wickets"/>
    <n v="7"/>
    <s v="Close Match"/>
    <n v="309"/>
    <x v="0"/>
    <s v="Mahfuzur Rahman"/>
    <s v="Richard Illingworth"/>
    <x v="1"/>
    <x v="5"/>
    <x v="1"/>
  </r>
  <r>
    <x v="1"/>
    <x v="1"/>
    <x v="28"/>
    <x v="1"/>
    <s v="Jan 24 2013"/>
    <x v="16"/>
    <n v="0"/>
    <x v="9"/>
    <n v="10"/>
    <x v="72"/>
    <s v="Duronto Rajshahi"/>
    <s v="field first"/>
    <s v="Khulna"/>
    <s v="Khulna Royal Bengals"/>
    <x v="3"/>
    <s v="Khulna"/>
    <n v="0"/>
    <n v="68"/>
    <s v="68 runs"/>
    <s v="Runs"/>
    <n v="68"/>
    <s v="Normal"/>
    <n v="326"/>
    <x v="0"/>
    <s v="Anisur Rahman"/>
    <s v="Tanvir Ahmed"/>
    <x v="0"/>
    <x v="2"/>
    <x v="1"/>
  </r>
  <r>
    <x v="1"/>
    <x v="1"/>
    <x v="28"/>
    <x v="1"/>
    <s v="Jan 24 2013"/>
    <x v="16"/>
    <n v="0"/>
    <x v="9"/>
    <n v="10"/>
    <x v="72"/>
    <s v="Duronto Rajshahi"/>
    <s v="field first"/>
    <s v="Khulna"/>
    <s v="Khulna Royal Bengals"/>
    <x v="3"/>
    <s v="Khulna"/>
    <n v="0"/>
    <n v="68"/>
    <s v="68 runs"/>
    <s v="Runs"/>
    <n v="68"/>
    <s v="Normal"/>
    <n v="326"/>
    <x v="0"/>
    <s v="Anisur Rahman"/>
    <s v="Tanvir Ahmed"/>
    <x v="1"/>
    <x v="3"/>
    <x v="0"/>
  </r>
  <r>
    <x v="1"/>
    <x v="1"/>
    <x v="30"/>
    <x v="1"/>
    <s v="Jan 24 2013"/>
    <x v="72"/>
    <n v="7"/>
    <x v="14"/>
    <n v="9"/>
    <x v="34"/>
    <s v="Barisal Burners"/>
    <s v="field first"/>
    <s v="Chittagong"/>
    <s v="Chittagong Kings"/>
    <x v="3"/>
    <s v="Khulna"/>
    <n v="0"/>
    <n v="21"/>
    <s v="21 runs"/>
    <s v="Runs"/>
    <n v="21"/>
    <s v="Normal"/>
    <n v="237"/>
    <x v="0"/>
    <s v="Gazi Sohel"/>
    <s v="Richard Illingworth"/>
    <x v="0"/>
    <x v="4"/>
    <x v="1"/>
  </r>
  <r>
    <x v="1"/>
    <x v="1"/>
    <x v="30"/>
    <x v="1"/>
    <s v="Jan 24 2013"/>
    <x v="72"/>
    <n v="7"/>
    <x v="14"/>
    <n v="9"/>
    <x v="34"/>
    <s v="Barisal Burners"/>
    <s v="field first"/>
    <s v="Chittagong"/>
    <s v="Chittagong Kings"/>
    <x v="3"/>
    <s v="Khulna"/>
    <n v="0"/>
    <n v="21"/>
    <s v="21 runs"/>
    <s v="Runs"/>
    <n v="21"/>
    <s v="Normal"/>
    <n v="237"/>
    <x v="0"/>
    <s v="Gazi Sohel"/>
    <s v="Richard Illingworth"/>
    <x v="1"/>
    <x v="0"/>
    <x v="0"/>
  </r>
  <r>
    <x v="1"/>
    <x v="1"/>
    <x v="32"/>
    <x v="1"/>
    <s v="Jan 23 2013"/>
    <x v="26"/>
    <n v="7"/>
    <x v="26"/>
    <n v="4"/>
    <x v="82"/>
    <s v="Khulna Royal Bengals"/>
    <s v="bat first"/>
    <s v="Royals"/>
    <s v="Sylhet Royals"/>
    <x v="3"/>
    <s v="Khulna"/>
    <n v="6"/>
    <n v="0"/>
    <s v="6 wickets"/>
    <s v="Wickets"/>
    <n v="6"/>
    <s v="Close Match"/>
    <n v="291"/>
    <x v="0"/>
    <s v="Anisur Rahman"/>
    <s v="Mahfuzur Rahman"/>
    <x v="0"/>
    <x v="2"/>
    <x v="0"/>
  </r>
  <r>
    <x v="1"/>
    <x v="1"/>
    <x v="32"/>
    <x v="1"/>
    <s v="Jan 23 2013"/>
    <x v="26"/>
    <n v="7"/>
    <x v="26"/>
    <n v="4"/>
    <x v="82"/>
    <s v="Khulna Royal Bengals"/>
    <s v="bat first"/>
    <s v="Royals"/>
    <s v="Sylhet Royals"/>
    <x v="3"/>
    <s v="Khulna"/>
    <n v="6"/>
    <n v="0"/>
    <s v="6 wickets"/>
    <s v="Wickets"/>
    <n v="6"/>
    <s v="Close Match"/>
    <n v="291"/>
    <x v="0"/>
    <s v="Anisur Rahman"/>
    <s v="Mahfuzur Rahman"/>
    <x v="1"/>
    <x v="5"/>
    <x v="1"/>
  </r>
  <r>
    <x v="1"/>
    <x v="1"/>
    <x v="33"/>
    <x v="1"/>
    <s v="Jan 23 2013"/>
    <x v="48"/>
    <n v="4"/>
    <x v="40"/>
    <n v="8"/>
    <x v="73"/>
    <s v="Rangpur Riders"/>
    <s v="bat first"/>
    <s v="Riders"/>
    <s v="Rangpur Riders"/>
    <x v="3"/>
    <s v="Khulna"/>
    <n v="0"/>
    <n v="7"/>
    <s v="7 runs"/>
    <s v="Runs"/>
    <n v="7"/>
    <s v="Close Match"/>
    <n v="341"/>
    <x v="0"/>
    <s v="Mahfuzur Rahman"/>
    <s v="Richard Illingworth"/>
    <x v="0"/>
    <x v="6"/>
    <x v="1"/>
  </r>
  <r>
    <x v="1"/>
    <x v="1"/>
    <x v="33"/>
    <x v="1"/>
    <s v="Jan 23 2013"/>
    <x v="48"/>
    <n v="4"/>
    <x v="40"/>
    <n v="8"/>
    <x v="73"/>
    <s v="Rangpur Riders"/>
    <s v="bat first"/>
    <s v="Riders"/>
    <s v="Rangpur Riders"/>
    <x v="3"/>
    <s v="Khulna"/>
    <n v="0"/>
    <n v="7"/>
    <s v="7 runs"/>
    <s v="Runs"/>
    <n v="7"/>
    <s v="Close Match"/>
    <n v="341"/>
    <x v="0"/>
    <s v="Mahfuzur Rahman"/>
    <s v="Richard Illingworth"/>
    <x v="1"/>
    <x v="0"/>
    <x v="0"/>
  </r>
  <r>
    <x v="1"/>
    <x v="1"/>
    <x v="34"/>
    <x v="1"/>
    <s v="Jan 22 2013"/>
    <x v="7"/>
    <n v="8"/>
    <x v="42"/>
    <n v="3"/>
    <x v="16"/>
    <s v="Dhaka Gladiators"/>
    <s v="bat first"/>
    <s v="Dhaka"/>
    <s v="Dhaka Gladiators"/>
    <x v="3"/>
    <s v="Khulna"/>
    <n v="0"/>
    <n v="13"/>
    <s v="13 runs"/>
    <s v="Runs"/>
    <n v="13"/>
    <s v="Normal"/>
    <n v="299"/>
    <x v="0"/>
    <s v="Gazi Sohel"/>
    <s v="Masudur Rahman"/>
    <x v="0"/>
    <x v="1"/>
    <x v="1"/>
  </r>
  <r>
    <x v="1"/>
    <x v="1"/>
    <x v="34"/>
    <x v="1"/>
    <s v="Jan 22 2013"/>
    <x v="7"/>
    <n v="8"/>
    <x v="42"/>
    <n v="3"/>
    <x v="16"/>
    <s v="Dhaka Gladiators"/>
    <s v="bat first"/>
    <s v="Dhaka"/>
    <s v="Dhaka Gladiators"/>
    <x v="3"/>
    <s v="Khulna"/>
    <n v="0"/>
    <n v="13"/>
    <s v="13 runs"/>
    <s v="Runs"/>
    <n v="13"/>
    <s v="Normal"/>
    <n v="299"/>
    <x v="0"/>
    <s v="Gazi Sohel"/>
    <s v="Masudur Rahman"/>
    <x v="1"/>
    <x v="3"/>
    <x v="0"/>
  </r>
  <r>
    <x v="1"/>
    <x v="1"/>
    <x v="35"/>
    <x v="1"/>
    <s v="Jan 22 2013"/>
    <x v="73"/>
    <n v="5"/>
    <x v="45"/>
    <n v="4"/>
    <x v="13"/>
    <s v="Chittagong Kings"/>
    <s v="bat first"/>
    <s v="Riders"/>
    <s v="Rangpur Riders"/>
    <x v="3"/>
    <s v="Khulna"/>
    <n v="6"/>
    <n v="0"/>
    <s v="6 wickets"/>
    <s v="Wickets"/>
    <n v="6"/>
    <s v="Close Match"/>
    <n v="267"/>
    <x v="0"/>
    <s v="Anisur Rahman"/>
    <s v="Richard Illingworth"/>
    <x v="0"/>
    <x v="4"/>
    <x v="0"/>
  </r>
  <r>
    <x v="1"/>
    <x v="1"/>
    <x v="35"/>
    <x v="1"/>
    <s v="Jan 22 2013"/>
    <x v="73"/>
    <n v="5"/>
    <x v="45"/>
    <n v="4"/>
    <x v="13"/>
    <s v="Chittagong Kings"/>
    <s v="bat first"/>
    <s v="Riders"/>
    <s v="Rangpur Riders"/>
    <x v="3"/>
    <s v="Khulna"/>
    <n v="6"/>
    <n v="0"/>
    <s v="6 wickets"/>
    <s v="Wickets"/>
    <n v="6"/>
    <s v="Close Match"/>
    <n v="267"/>
    <x v="0"/>
    <s v="Anisur Rahman"/>
    <s v="Richard Illingworth"/>
    <x v="1"/>
    <x v="6"/>
    <x v="1"/>
  </r>
  <r>
    <x v="1"/>
    <x v="1"/>
    <x v="36"/>
    <x v="1"/>
    <s v="Jan 20 2013"/>
    <x v="49"/>
    <n v="8"/>
    <x v="11"/>
    <n v="6"/>
    <x v="83"/>
    <s v="Duronto Rajshahi"/>
    <s v="bat first"/>
    <s v="Royals"/>
    <s v="Sylhet Royals"/>
    <x v="0"/>
    <s v="Mirpur"/>
    <n v="4"/>
    <n v="0"/>
    <s v="4 wickets"/>
    <s v="Wickets"/>
    <n v="4"/>
    <s v="Close Match"/>
    <n v="297"/>
    <x v="0"/>
    <s v="Jeremy Lloyds"/>
    <s v="Tanvir Ahmed"/>
    <x v="0"/>
    <x v="3"/>
    <x v="0"/>
  </r>
  <r>
    <x v="1"/>
    <x v="1"/>
    <x v="36"/>
    <x v="1"/>
    <s v="Jan 20 2013"/>
    <x v="49"/>
    <n v="8"/>
    <x v="11"/>
    <n v="6"/>
    <x v="83"/>
    <s v="Duronto Rajshahi"/>
    <s v="bat first"/>
    <s v="Royals"/>
    <s v="Sylhet Royals"/>
    <x v="0"/>
    <s v="Mirpur"/>
    <n v="4"/>
    <n v="0"/>
    <s v="4 wickets"/>
    <s v="Wickets"/>
    <n v="4"/>
    <s v="Close Match"/>
    <n v="297"/>
    <x v="0"/>
    <s v="Jeremy Lloyds"/>
    <s v="Tanvir Ahmed"/>
    <x v="1"/>
    <x v="5"/>
    <x v="1"/>
  </r>
  <r>
    <x v="1"/>
    <x v="1"/>
    <x v="37"/>
    <x v="1"/>
    <s v="Jan 20 2013"/>
    <x v="39"/>
    <n v="8"/>
    <x v="26"/>
    <n v="2"/>
    <x v="4"/>
    <s v="Khulna Royal Bengals"/>
    <s v="bat first"/>
    <s v="Barisal"/>
    <s v="Barisal Burners"/>
    <x v="0"/>
    <s v="Mirpur"/>
    <n v="8"/>
    <n v="0"/>
    <s v="8 wickets"/>
    <s v="Wickets"/>
    <n v="8"/>
    <s v="Close Match"/>
    <n v="288"/>
    <x v="0"/>
    <s v="Anisur Rahman"/>
    <s v="Richard Illingworth"/>
    <x v="0"/>
    <x v="2"/>
    <x v="0"/>
  </r>
  <r>
    <x v="1"/>
    <x v="1"/>
    <x v="37"/>
    <x v="1"/>
    <s v="Jan 20 2013"/>
    <x v="39"/>
    <n v="8"/>
    <x v="26"/>
    <n v="2"/>
    <x v="4"/>
    <s v="Khulna Royal Bengals"/>
    <s v="bat first"/>
    <s v="Barisal"/>
    <s v="Barisal Burners"/>
    <x v="0"/>
    <s v="Mirpur"/>
    <n v="8"/>
    <n v="0"/>
    <s v="8 wickets"/>
    <s v="Wickets"/>
    <n v="8"/>
    <s v="Close Match"/>
    <n v="288"/>
    <x v="0"/>
    <s v="Anisur Rahman"/>
    <s v="Richard Illingworth"/>
    <x v="1"/>
    <x v="0"/>
    <x v="1"/>
  </r>
  <r>
    <x v="1"/>
    <x v="1"/>
    <x v="38"/>
    <x v="1"/>
    <s v="Jan 19 2013"/>
    <x v="64"/>
    <n v="5"/>
    <x v="40"/>
    <n v="4"/>
    <x v="69"/>
    <s v="Dhaka Gladiators"/>
    <s v="bat first"/>
    <s v="Dhaka"/>
    <s v="Dhaka Gladiators"/>
    <x v="0"/>
    <s v="Mirpur"/>
    <n v="0"/>
    <n v="35"/>
    <s v="35 runs"/>
    <s v="Runs"/>
    <n v="35"/>
    <s v="Normal"/>
    <n v="369"/>
    <x v="0"/>
    <s v="Amit Kumar"/>
    <s v="Mehedi Maruf"/>
    <x v="0"/>
    <x v="1"/>
    <x v="1"/>
  </r>
  <r>
    <x v="1"/>
    <x v="1"/>
    <x v="38"/>
    <x v="1"/>
    <s v="Jan 19 2013"/>
    <x v="64"/>
    <n v="5"/>
    <x v="40"/>
    <n v="4"/>
    <x v="69"/>
    <s v="Dhaka Gladiators"/>
    <s v="bat first"/>
    <s v="Dhaka"/>
    <s v="Dhaka Gladiators"/>
    <x v="0"/>
    <s v="Mirpur"/>
    <n v="0"/>
    <n v="35"/>
    <s v="35 runs"/>
    <s v="Runs"/>
    <n v="35"/>
    <s v="Normal"/>
    <n v="369"/>
    <x v="0"/>
    <s v="Amit Kumar"/>
    <s v="Mehedi Maruf"/>
    <x v="1"/>
    <x v="6"/>
    <x v="0"/>
  </r>
  <r>
    <x v="1"/>
    <x v="1"/>
    <x v="39"/>
    <x v="1"/>
    <s v="Jan 19 2013"/>
    <x v="74"/>
    <n v="9"/>
    <x v="79"/>
    <n v="10"/>
    <x v="5"/>
    <s v="Duronto Rajshahi"/>
    <s v="bat first"/>
    <s v="Rajshahi"/>
    <s v="Duronto Rajshahi"/>
    <x v="0"/>
    <s v="Mirpur"/>
    <n v="0"/>
    <n v="2"/>
    <s v="2 runs"/>
    <s v="Runs"/>
    <n v="2"/>
    <s v="Close Match"/>
    <n v="196"/>
    <x v="0"/>
    <s v="Jeremy Lloyds"/>
    <s v="Mahfuzur Rahman"/>
    <x v="0"/>
    <x v="3"/>
    <x v="1"/>
  </r>
  <r>
    <x v="1"/>
    <x v="1"/>
    <x v="39"/>
    <x v="1"/>
    <s v="Jan 19 2013"/>
    <x v="74"/>
    <n v="9"/>
    <x v="79"/>
    <n v="10"/>
    <x v="5"/>
    <s v="Duronto Rajshahi"/>
    <s v="bat first"/>
    <s v="Rajshahi"/>
    <s v="Duronto Rajshahi"/>
    <x v="0"/>
    <s v="Mirpur"/>
    <n v="0"/>
    <n v="2"/>
    <s v="2 runs"/>
    <s v="Runs"/>
    <n v="2"/>
    <s v="Close Match"/>
    <n v="196"/>
    <x v="0"/>
    <s v="Jeremy Lloyds"/>
    <s v="Mahfuzur Rahman"/>
    <x v="1"/>
    <x v="4"/>
    <x v="0"/>
  </r>
  <r>
    <x v="1"/>
    <x v="1"/>
    <x v="1"/>
    <x v="1"/>
    <s v="Jan 18 2013"/>
    <x v="36"/>
    <n v="7"/>
    <x v="46"/>
    <n v="9"/>
    <x v="19"/>
    <s v="Barisal Burners"/>
    <s v="field first"/>
    <s v="Royals"/>
    <s v="Sylhet Royals"/>
    <x v="0"/>
    <s v="Mirpur"/>
    <n v="0"/>
    <n v="33"/>
    <s v="33 runs"/>
    <s v="Runs"/>
    <n v="33"/>
    <s v="Normal"/>
    <n v="317"/>
    <x v="0"/>
    <s v="Bishawnath Halder"/>
    <s v="Jubair Ahmed"/>
    <x v="0"/>
    <x v="5"/>
    <x v="1"/>
  </r>
  <r>
    <x v="1"/>
    <x v="1"/>
    <x v="1"/>
    <x v="1"/>
    <s v="Jan 18 2013"/>
    <x v="36"/>
    <n v="7"/>
    <x v="46"/>
    <n v="9"/>
    <x v="19"/>
    <s v="Barisal Burners"/>
    <s v="field first"/>
    <s v="Royals"/>
    <s v="Sylhet Royals"/>
    <x v="0"/>
    <s v="Mirpur"/>
    <n v="0"/>
    <n v="33"/>
    <s v="33 runs"/>
    <s v="Runs"/>
    <n v="33"/>
    <s v="Normal"/>
    <n v="317"/>
    <x v="0"/>
    <s v="Bishawnath Halder"/>
    <s v="Jubair Ahmed"/>
    <x v="1"/>
    <x v="0"/>
    <x v="0"/>
  </r>
  <r>
    <x v="1"/>
    <x v="1"/>
    <x v="2"/>
    <x v="1"/>
    <s v="Jan 18 2013"/>
    <x v="75"/>
    <n v="4"/>
    <x v="46"/>
    <n v="8"/>
    <x v="84"/>
    <s v="Dhaka Gladiators"/>
    <s v="bat first"/>
    <s v="Dhaka"/>
    <s v="Dhaka Gladiators"/>
    <x v="0"/>
    <s v="Mirpur"/>
    <n v="0"/>
    <n v="62"/>
    <s v="62 runs"/>
    <s v="Runs"/>
    <n v="62"/>
    <s v="Normal"/>
    <n v="346"/>
    <x v="0"/>
    <s v="Masudur Rahman"/>
    <s v="Richard Illingworth"/>
    <x v="0"/>
    <x v="1"/>
    <x v="1"/>
  </r>
  <r>
    <x v="1"/>
    <x v="1"/>
    <x v="2"/>
    <x v="1"/>
    <s v="Jan 18 2013"/>
    <x v="75"/>
    <n v="4"/>
    <x v="46"/>
    <n v="8"/>
    <x v="84"/>
    <s v="Dhaka Gladiators"/>
    <s v="bat first"/>
    <s v="Dhaka"/>
    <s v="Dhaka Gladiators"/>
    <x v="0"/>
    <s v="Mirpur"/>
    <n v="0"/>
    <n v="62"/>
    <s v="62 runs"/>
    <s v="Runs"/>
    <n v="62"/>
    <s v="Normal"/>
    <n v="346"/>
    <x v="0"/>
    <s v="Masudur Rahman"/>
    <s v="Richard Illingworth"/>
    <x v="1"/>
    <x v="2"/>
    <x v="0"/>
  </r>
  <r>
    <x v="2"/>
    <x v="2"/>
    <x v="8"/>
    <x v="1"/>
    <s v="Dec 7 2015"/>
    <x v="76"/>
    <n v="10"/>
    <x v="80"/>
    <n v="2"/>
    <x v="85"/>
    <s v="Rangpur Riders"/>
    <s v="field first"/>
    <s v="Riders"/>
    <s v="Rangpur Riders"/>
    <x v="0"/>
    <s v="Mirpur"/>
    <n v="8"/>
    <n v="0"/>
    <s v="8 wickets"/>
    <s v="Wickets"/>
    <n v="8"/>
    <s v="Close Match"/>
    <n v="119"/>
    <x v="1"/>
    <s v="Anisur Rahman"/>
    <s v="Gazi Sohel"/>
    <x v="0"/>
    <x v="10"/>
    <x v="0"/>
  </r>
  <r>
    <x v="2"/>
    <x v="2"/>
    <x v="8"/>
    <x v="1"/>
    <s v="Dec 7 2015"/>
    <x v="76"/>
    <n v="10"/>
    <x v="80"/>
    <n v="2"/>
    <x v="85"/>
    <s v="Rangpur Riders"/>
    <s v="field first"/>
    <s v="Riders"/>
    <s v="Rangpur Riders"/>
    <x v="0"/>
    <s v="Mirpur"/>
    <n v="8"/>
    <n v="0"/>
    <s v="8 wickets"/>
    <s v="Wickets"/>
    <n v="8"/>
    <s v="Close Match"/>
    <n v="119"/>
    <x v="1"/>
    <s v="Anisur Rahman"/>
    <s v="Gazi Sohel"/>
    <x v="1"/>
    <x v="6"/>
    <x v="1"/>
  </r>
  <r>
    <x v="2"/>
    <x v="2"/>
    <x v="9"/>
    <x v="1"/>
    <s v="Dec 7 2015"/>
    <x v="77"/>
    <n v="6"/>
    <x v="81"/>
    <n v="3"/>
    <x v="2"/>
    <s v="Comilla Victorians"/>
    <s v="field first"/>
    <s v="Victorians"/>
    <s v="Comilla Victorians"/>
    <x v="0"/>
    <s v="Mirpur"/>
    <n v="7"/>
    <n v="0"/>
    <s v="7 wickets"/>
    <s v="Wickets"/>
    <n v="7"/>
    <s v="Close Match"/>
    <n v="211"/>
    <x v="0"/>
    <s v="Ahsan Raza"/>
    <s v="Masudur Rahman"/>
    <x v="0"/>
    <x v="7"/>
    <x v="0"/>
  </r>
  <r>
    <x v="2"/>
    <x v="2"/>
    <x v="9"/>
    <x v="1"/>
    <s v="Dec 7 2015"/>
    <x v="77"/>
    <n v="6"/>
    <x v="81"/>
    <n v="3"/>
    <x v="2"/>
    <s v="Comilla Victorians"/>
    <s v="field first"/>
    <s v="Victorians"/>
    <s v="Comilla Victorians"/>
    <x v="0"/>
    <s v="Mirpur"/>
    <n v="7"/>
    <n v="0"/>
    <s v="7 wickets"/>
    <s v="Wickets"/>
    <n v="7"/>
    <s v="Close Match"/>
    <n v="211"/>
    <x v="0"/>
    <s v="Ahsan Raza"/>
    <s v="Masudur Rahman"/>
    <x v="1"/>
    <x v="8"/>
    <x v="1"/>
  </r>
  <r>
    <x v="2"/>
    <x v="2"/>
    <x v="11"/>
    <x v="1"/>
    <s v="Dec 6 2015"/>
    <x v="29"/>
    <n v="7"/>
    <x v="55"/>
    <n v="4"/>
    <x v="35"/>
    <s v="Dhaka Dynamites"/>
    <s v="bat first"/>
    <s v="Riders"/>
    <s v="Rangpur Riders"/>
    <x v="0"/>
    <s v="Mirpur"/>
    <n v="6"/>
    <n v="0"/>
    <s v="6 wickets"/>
    <s v="Wickets"/>
    <n v="6"/>
    <s v="Close Match"/>
    <n v="271"/>
    <x v="0"/>
    <s v="Ahsan Raza"/>
    <s v="Enamul Haque"/>
    <x v="0"/>
    <x v="9"/>
    <x v="0"/>
  </r>
  <r>
    <x v="2"/>
    <x v="2"/>
    <x v="11"/>
    <x v="1"/>
    <s v="Dec 6 2015"/>
    <x v="29"/>
    <n v="7"/>
    <x v="55"/>
    <n v="4"/>
    <x v="35"/>
    <s v="Dhaka Dynamites"/>
    <s v="bat first"/>
    <s v="Riders"/>
    <s v="Rangpur Riders"/>
    <x v="0"/>
    <s v="Mirpur"/>
    <n v="6"/>
    <n v="0"/>
    <s v="6 wickets"/>
    <s v="Wickets"/>
    <n v="6"/>
    <s v="Close Match"/>
    <n v="271"/>
    <x v="0"/>
    <s v="Ahsan Raza"/>
    <s v="Enamul Haque"/>
    <x v="1"/>
    <x v="6"/>
    <x v="1"/>
  </r>
  <r>
    <x v="2"/>
    <x v="2"/>
    <x v="12"/>
    <x v="1"/>
    <s v="Dec 6 2015"/>
    <x v="78"/>
    <n v="10"/>
    <x v="82"/>
    <n v="1"/>
    <x v="15"/>
    <s v="Sylhet Super Stars"/>
    <s v="field first"/>
    <s v="Super"/>
    <s v="Sylhet Super Stars"/>
    <x v="0"/>
    <s v="Mirpur"/>
    <n v="0"/>
    <n v="0"/>
    <s v="by 9"/>
    <s v="Wickets"/>
    <n v="0"/>
    <s v="Close Match"/>
    <n v="120"/>
    <x v="1"/>
    <s v="Gazi Sohel"/>
    <s v="Ranmore Martinesz"/>
    <x v="0"/>
    <x v="7"/>
    <x v="0"/>
  </r>
  <r>
    <x v="2"/>
    <x v="2"/>
    <x v="12"/>
    <x v="1"/>
    <s v="Dec 6 2015"/>
    <x v="78"/>
    <n v="10"/>
    <x v="82"/>
    <n v="1"/>
    <x v="15"/>
    <s v="Sylhet Super Stars"/>
    <s v="field first"/>
    <s v="Super"/>
    <s v="Sylhet Super Stars"/>
    <x v="0"/>
    <s v="Mirpur"/>
    <n v="0"/>
    <n v="0"/>
    <s v="by 9"/>
    <s v="Wickets"/>
    <n v="0"/>
    <s v="Close Match"/>
    <n v="120"/>
    <x v="1"/>
    <s v="Gazi Sohel"/>
    <s v="Ranmore Martinesz"/>
    <x v="1"/>
    <x v="10"/>
    <x v="1"/>
  </r>
  <r>
    <x v="2"/>
    <x v="2"/>
    <x v="14"/>
    <x v="1"/>
    <s v="Dec 3 2015"/>
    <x v="68"/>
    <n v="5"/>
    <x v="46"/>
    <n v="5"/>
    <x v="86"/>
    <s v="Comilla Victorians"/>
    <s v="field first"/>
    <s v="Victorians"/>
    <s v="Comilla Victorians"/>
    <x v="1"/>
    <s v="Chattogram"/>
    <n v="5"/>
    <n v="0"/>
    <s v="5 wickets"/>
    <s v="Wickets"/>
    <n v="5"/>
    <s v="Close Match"/>
    <n v="278"/>
    <x v="0"/>
    <s v="Mahfuzur Rahman"/>
    <s v="Morshed Ali Khan"/>
    <x v="0"/>
    <x v="11"/>
    <x v="0"/>
  </r>
  <r>
    <x v="2"/>
    <x v="2"/>
    <x v="14"/>
    <x v="1"/>
    <s v="Dec 3 2015"/>
    <x v="68"/>
    <n v="5"/>
    <x v="46"/>
    <n v="5"/>
    <x v="86"/>
    <s v="Comilla Victorians"/>
    <s v="field first"/>
    <s v="Victorians"/>
    <s v="Comilla Victorians"/>
    <x v="1"/>
    <s v="Chattogram"/>
    <n v="5"/>
    <n v="0"/>
    <s v="5 wickets"/>
    <s v="Wickets"/>
    <n v="5"/>
    <s v="Close Match"/>
    <n v="278"/>
    <x v="0"/>
    <s v="Mahfuzur Rahman"/>
    <s v="Morshed Ali Khan"/>
    <x v="1"/>
    <x v="8"/>
    <x v="1"/>
  </r>
  <r>
    <x v="2"/>
    <x v="2"/>
    <x v="16"/>
    <x v="1"/>
    <s v="Dec 3 2015"/>
    <x v="79"/>
    <n v="9"/>
    <x v="83"/>
    <n v="4"/>
    <x v="29"/>
    <s v="Barisal Bulls"/>
    <s v="field first"/>
    <s v="Bulls"/>
    <s v="Rangpur Riders"/>
    <x v="1"/>
    <s v="Chattogram"/>
    <n v="6"/>
    <n v="0"/>
    <s v="6 wickets"/>
    <s v="Wickets"/>
    <n v="6"/>
    <s v="Close Match"/>
    <n v="179"/>
    <x v="0"/>
    <s v="Anisur Rahman"/>
    <s v="Ranmore Martinesz"/>
    <x v="0"/>
    <x v="6"/>
    <x v="1"/>
  </r>
  <r>
    <x v="2"/>
    <x v="2"/>
    <x v="16"/>
    <x v="1"/>
    <s v="Dec 3 2015"/>
    <x v="79"/>
    <n v="9"/>
    <x v="83"/>
    <n v="4"/>
    <x v="29"/>
    <s v="Barisal Bulls"/>
    <s v="field first"/>
    <s v="Bulls"/>
    <s v="Rangpur Riders"/>
    <x v="1"/>
    <s v="Chattogram"/>
    <n v="6"/>
    <n v="0"/>
    <s v="6 wickets"/>
    <s v="Wickets"/>
    <n v="6"/>
    <s v="Close Match"/>
    <n v="179"/>
    <x v="0"/>
    <s v="Anisur Rahman"/>
    <s v="Ranmore Martinesz"/>
    <x v="1"/>
    <x v="7"/>
    <x v="0"/>
  </r>
  <r>
    <x v="2"/>
    <x v="2"/>
    <x v="18"/>
    <x v="1"/>
    <s v="Dec 2 2015"/>
    <x v="19"/>
    <n v="9"/>
    <x v="68"/>
    <n v="0"/>
    <x v="87"/>
    <s v="Chittagong Vikings"/>
    <s v="field first"/>
    <s v="Vikings"/>
    <s v="Chittagong Vikings"/>
    <x v="1"/>
    <s v="Chattogram"/>
    <n v="10"/>
    <n v="0"/>
    <s v="10 wickets"/>
    <s v="Wickets"/>
    <n v="10"/>
    <s v="Close Match"/>
    <n v="279"/>
    <x v="0"/>
    <s v="Anisur Rahman"/>
    <s v="Morshed Ali Khan"/>
    <x v="0"/>
    <x v="10"/>
    <x v="0"/>
  </r>
  <r>
    <x v="2"/>
    <x v="2"/>
    <x v="18"/>
    <x v="1"/>
    <s v="Dec 2 2015"/>
    <x v="19"/>
    <n v="9"/>
    <x v="68"/>
    <n v="0"/>
    <x v="87"/>
    <s v="Chittagong Vikings"/>
    <s v="field first"/>
    <s v="Vikings"/>
    <s v="Chittagong Vikings"/>
    <x v="1"/>
    <s v="Chattogram"/>
    <n v="10"/>
    <n v="0"/>
    <s v="10 wickets"/>
    <s v="Wickets"/>
    <n v="10"/>
    <s v="Close Match"/>
    <n v="279"/>
    <x v="0"/>
    <s v="Anisur Rahman"/>
    <s v="Morshed Ali Khan"/>
    <x v="1"/>
    <x v="11"/>
    <x v="1"/>
  </r>
  <r>
    <x v="2"/>
    <x v="2"/>
    <x v="20"/>
    <x v="1"/>
    <s v="Dec 2 2015"/>
    <x v="45"/>
    <n v="7"/>
    <x v="34"/>
    <n v="6"/>
    <x v="30"/>
    <s v="Dhaka Dynamites"/>
    <s v="field first"/>
    <s v="Victorians"/>
    <s v="Comilla Victorians"/>
    <x v="1"/>
    <s v="Chattogram"/>
    <n v="0"/>
    <n v="10"/>
    <s v="10 runs"/>
    <s v="Runs"/>
    <n v="10"/>
    <s v="Close Match"/>
    <n v="272"/>
    <x v="0"/>
    <s v="Mahfuzur Rahman"/>
    <s v="Tanvir Ahmed"/>
    <x v="0"/>
    <x v="8"/>
    <x v="1"/>
  </r>
  <r>
    <x v="2"/>
    <x v="2"/>
    <x v="20"/>
    <x v="1"/>
    <s v="Dec 2 2015"/>
    <x v="45"/>
    <n v="7"/>
    <x v="34"/>
    <n v="6"/>
    <x v="30"/>
    <s v="Dhaka Dynamites"/>
    <s v="field first"/>
    <s v="Victorians"/>
    <s v="Comilla Victorians"/>
    <x v="1"/>
    <s v="Chattogram"/>
    <n v="0"/>
    <n v="10"/>
    <s v="10 runs"/>
    <s v="Runs"/>
    <n v="10"/>
    <s v="Close Match"/>
    <n v="272"/>
    <x v="0"/>
    <s v="Mahfuzur Rahman"/>
    <s v="Tanvir Ahmed"/>
    <x v="1"/>
    <x v="9"/>
    <x v="0"/>
  </r>
  <r>
    <x v="2"/>
    <x v="2"/>
    <x v="22"/>
    <x v="1"/>
    <s v="Dec 1 2015"/>
    <x v="40"/>
    <n v="5"/>
    <x v="43"/>
    <n v="1"/>
    <x v="50"/>
    <s v="Barisal Bulls"/>
    <s v="field first"/>
    <s v="Bulls"/>
    <s v="Barisal Bulls"/>
    <x v="1"/>
    <s v="Chattogram"/>
    <n v="9"/>
    <n v="0"/>
    <s v="9 wickets"/>
    <s v="Wickets"/>
    <n v="9"/>
    <s v="Close Match"/>
    <n v="317"/>
    <x v="0"/>
    <s v="Enamul Haque"/>
    <s v="Ranmore Martinesz"/>
    <x v="0"/>
    <x v="9"/>
    <x v="0"/>
  </r>
  <r>
    <x v="2"/>
    <x v="2"/>
    <x v="22"/>
    <x v="1"/>
    <s v="Dec 1 2015"/>
    <x v="40"/>
    <n v="5"/>
    <x v="43"/>
    <n v="1"/>
    <x v="50"/>
    <s v="Barisal Bulls"/>
    <s v="field first"/>
    <s v="Bulls"/>
    <s v="Barisal Bulls"/>
    <x v="1"/>
    <s v="Chattogram"/>
    <n v="9"/>
    <n v="0"/>
    <s v="9 wickets"/>
    <s v="Wickets"/>
    <n v="9"/>
    <s v="Close Match"/>
    <n v="317"/>
    <x v="0"/>
    <s v="Enamul Haque"/>
    <s v="Ranmore Martinesz"/>
    <x v="1"/>
    <x v="7"/>
    <x v="1"/>
  </r>
  <r>
    <x v="2"/>
    <x v="2"/>
    <x v="23"/>
    <x v="1"/>
    <s v="Dec 1 2015"/>
    <x v="42"/>
    <n v="8"/>
    <x v="19"/>
    <n v="1"/>
    <x v="88"/>
    <s v="Chittagong Vikings"/>
    <s v="bat first"/>
    <s v="Riders"/>
    <s v="Rangpur Riders"/>
    <x v="1"/>
    <s v="Chattogram"/>
    <n v="9"/>
    <n v="0"/>
    <s v="9 wickets"/>
    <s v="Wickets"/>
    <n v="9"/>
    <s v="Close Match"/>
    <n v="224"/>
    <x v="0"/>
    <s v="Enamul Haque"/>
    <s v="Sharfuddoula"/>
    <x v="0"/>
    <x v="11"/>
    <x v="0"/>
  </r>
  <r>
    <x v="2"/>
    <x v="2"/>
    <x v="23"/>
    <x v="1"/>
    <s v="Dec 1 2015"/>
    <x v="42"/>
    <n v="8"/>
    <x v="19"/>
    <n v="1"/>
    <x v="88"/>
    <s v="Chittagong Vikings"/>
    <s v="bat first"/>
    <s v="Riders"/>
    <s v="Rangpur Riders"/>
    <x v="1"/>
    <s v="Chattogram"/>
    <n v="9"/>
    <n v="0"/>
    <s v="9 wickets"/>
    <s v="Wickets"/>
    <n v="9"/>
    <s v="Close Match"/>
    <n v="224"/>
    <x v="0"/>
    <s v="Enamul Haque"/>
    <s v="Sharfuddoula"/>
    <x v="1"/>
    <x v="6"/>
    <x v="1"/>
  </r>
  <r>
    <x v="2"/>
    <x v="2"/>
    <x v="25"/>
    <x v="1"/>
    <s v="Nov 30 2015"/>
    <x v="56"/>
    <n v="5"/>
    <x v="72"/>
    <n v="6"/>
    <x v="34"/>
    <s v="Sylhet Super Stars"/>
    <s v="field first"/>
    <s v="Super"/>
    <s v="Sylhet Super Stars"/>
    <x v="1"/>
    <s v="Chattogram"/>
    <n v="0"/>
    <n v="0"/>
    <s v="by 4"/>
    <s v="Wickets"/>
    <n v="0"/>
    <s v="Close Match"/>
    <n v="332"/>
    <x v="0"/>
    <s v="Enamul Haque"/>
    <s v="Sharfuddoula"/>
    <x v="0"/>
    <x v="8"/>
    <x v="0"/>
  </r>
  <r>
    <x v="2"/>
    <x v="2"/>
    <x v="25"/>
    <x v="1"/>
    <s v="Nov 30 2015"/>
    <x v="56"/>
    <n v="5"/>
    <x v="72"/>
    <n v="6"/>
    <x v="34"/>
    <s v="Sylhet Super Stars"/>
    <s v="field first"/>
    <s v="Super"/>
    <s v="Sylhet Super Stars"/>
    <x v="1"/>
    <s v="Chattogram"/>
    <n v="0"/>
    <n v="0"/>
    <s v="by 4"/>
    <s v="Wickets"/>
    <n v="0"/>
    <s v="Close Match"/>
    <n v="332"/>
    <x v="0"/>
    <s v="Enamul Haque"/>
    <s v="Sharfuddoula"/>
    <x v="1"/>
    <x v="10"/>
    <x v="1"/>
  </r>
  <r>
    <x v="2"/>
    <x v="2"/>
    <x v="27"/>
    <x v="1"/>
    <s v="Nov 30 2015"/>
    <x v="41"/>
    <n v="7"/>
    <x v="74"/>
    <n v="10"/>
    <x v="89"/>
    <s v="Chittagong Vikings"/>
    <s v="field first"/>
    <s v="Bulls"/>
    <s v="Barisal Bulls"/>
    <x v="1"/>
    <s v="Chattogram"/>
    <n v="0"/>
    <n v="33"/>
    <s v="33 runs"/>
    <s v="Runs"/>
    <n v="33"/>
    <s v="Normal"/>
    <n v="307"/>
    <x v="0"/>
    <s v="Ranmore Martinesz"/>
    <s v="Sharfuddoula"/>
    <x v="0"/>
    <x v="7"/>
    <x v="1"/>
  </r>
  <r>
    <x v="2"/>
    <x v="2"/>
    <x v="27"/>
    <x v="1"/>
    <s v="Nov 30 2015"/>
    <x v="41"/>
    <n v="7"/>
    <x v="74"/>
    <n v="10"/>
    <x v="89"/>
    <s v="Chittagong Vikings"/>
    <s v="field first"/>
    <s v="Bulls"/>
    <s v="Barisal Bulls"/>
    <x v="1"/>
    <s v="Chattogram"/>
    <n v="0"/>
    <n v="33"/>
    <s v="33 runs"/>
    <s v="Runs"/>
    <n v="33"/>
    <s v="Normal"/>
    <n v="307"/>
    <x v="0"/>
    <s v="Ranmore Martinesz"/>
    <s v="Sharfuddoula"/>
    <x v="1"/>
    <x v="11"/>
    <x v="0"/>
  </r>
  <r>
    <x v="2"/>
    <x v="2"/>
    <x v="28"/>
    <x v="1"/>
    <s v="Nov 27 2015"/>
    <x v="80"/>
    <n v="6"/>
    <x v="13"/>
    <n v="10"/>
    <x v="36"/>
    <s v="Dhaka Dynamites"/>
    <s v="bat first"/>
    <s v="Dynamites"/>
    <s v="Dhaka Dynamites"/>
    <x v="0"/>
    <s v="Mirpur"/>
    <n v="0"/>
    <n v="34"/>
    <s v="34 runs"/>
    <s v="Runs"/>
    <n v="34"/>
    <s v="Normal"/>
    <n v="298"/>
    <x v="0"/>
    <s v="Mahfuzur Rahman"/>
    <s v="Tanvir Ahmed"/>
    <x v="0"/>
    <x v="9"/>
    <x v="1"/>
  </r>
  <r>
    <x v="2"/>
    <x v="2"/>
    <x v="28"/>
    <x v="1"/>
    <s v="Nov 27 2015"/>
    <x v="80"/>
    <n v="6"/>
    <x v="13"/>
    <n v="10"/>
    <x v="36"/>
    <s v="Dhaka Dynamites"/>
    <s v="bat first"/>
    <s v="Dynamites"/>
    <s v="Dhaka Dynamites"/>
    <x v="0"/>
    <s v="Mirpur"/>
    <n v="0"/>
    <n v="34"/>
    <s v="34 runs"/>
    <s v="Runs"/>
    <n v="34"/>
    <s v="Normal"/>
    <n v="298"/>
    <x v="0"/>
    <s v="Mahfuzur Rahman"/>
    <s v="Tanvir Ahmed"/>
    <x v="1"/>
    <x v="10"/>
    <x v="0"/>
  </r>
  <r>
    <x v="2"/>
    <x v="2"/>
    <x v="30"/>
    <x v="1"/>
    <s v="Nov 27 2015"/>
    <x v="81"/>
    <n v="10"/>
    <x v="61"/>
    <n v="1"/>
    <x v="23"/>
    <s v="Comilla Victorians"/>
    <s v="field first"/>
    <s v="Victorians"/>
    <s v="Comilla Victorians"/>
    <x v="0"/>
    <s v="Mirpur"/>
    <n v="9"/>
    <n v="0"/>
    <s v="9 wickets"/>
    <s v="Wickets"/>
    <n v="9"/>
    <s v="Close Match"/>
    <n v="166"/>
    <x v="1"/>
    <s v="Mahfuzur Rahman"/>
    <s v="Masudur Rahman"/>
    <x v="0"/>
    <x v="6"/>
    <x v="0"/>
  </r>
  <r>
    <x v="2"/>
    <x v="2"/>
    <x v="30"/>
    <x v="1"/>
    <s v="Nov 27 2015"/>
    <x v="81"/>
    <n v="10"/>
    <x v="61"/>
    <n v="1"/>
    <x v="23"/>
    <s v="Comilla Victorians"/>
    <s v="field first"/>
    <s v="Victorians"/>
    <s v="Comilla Victorians"/>
    <x v="0"/>
    <s v="Mirpur"/>
    <n v="9"/>
    <n v="0"/>
    <s v="9 wickets"/>
    <s v="Wickets"/>
    <n v="9"/>
    <s v="Close Match"/>
    <n v="166"/>
    <x v="1"/>
    <s v="Mahfuzur Rahman"/>
    <s v="Masudur Rahman"/>
    <x v="1"/>
    <x v="8"/>
    <x v="1"/>
  </r>
  <r>
    <x v="2"/>
    <x v="2"/>
    <x v="32"/>
    <x v="1"/>
    <s v="Nov 26 2015"/>
    <x v="82"/>
    <n v="10"/>
    <x v="48"/>
    <n v="4"/>
    <x v="90"/>
    <s v="Chittagong Vikings"/>
    <s v="bat first"/>
    <s v="Dynamites"/>
    <s v="Dhaka Dynamites"/>
    <x v="0"/>
    <s v="Mirpur"/>
    <n v="6"/>
    <n v="0"/>
    <s v="6 wickets"/>
    <s v="Wickets"/>
    <n v="6"/>
    <s v="Close Match"/>
    <n v="188"/>
    <x v="0"/>
    <s v="Ranmore Martinesz"/>
    <s v="Sharfuddoula"/>
    <x v="0"/>
    <x v="11"/>
    <x v="0"/>
  </r>
  <r>
    <x v="2"/>
    <x v="2"/>
    <x v="32"/>
    <x v="1"/>
    <s v="Nov 26 2015"/>
    <x v="82"/>
    <n v="10"/>
    <x v="48"/>
    <n v="4"/>
    <x v="90"/>
    <s v="Chittagong Vikings"/>
    <s v="bat first"/>
    <s v="Dynamites"/>
    <s v="Dhaka Dynamites"/>
    <x v="0"/>
    <s v="Mirpur"/>
    <n v="6"/>
    <n v="0"/>
    <s v="6 wickets"/>
    <s v="Wickets"/>
    <n v="6"/>
    <s v="Close Match"/>
    <n v="188"/>
    <x v="0"/>
    <s v="Ranmore Martinesz"/>
    <s v="Sharfuddoula"/>
    <x v="1"/>
    <x v="9"/>
    <x v="1"/>
  </r>
  <r>
    <x v="2"/>
    <x v="2"/>
    <x v="33"/>
    <x v="1"/>
    <s v="Nov 26 2015"/>
    <x v="83"/>
    <n v="9"/>
    <x v="38"/>
    <n v="10"/>
    <x v="16"/>
    <s v="Rangpur Riders"/>
    <s v="bat first"/>
    <s v="Riders"/>
    <s v="Rangpur Riders"/>
    <x v="0"/>
    <s v="Mirpur"/>
    <n v="0"/>
    <n v="6"/>
    <s v="6 runs"/>
    <s v="Runs"/>
    <n v="6"/>
    <s v="Close Match"/>
    <n v="212"/>
    <x v="0"/>
    <s v="Sharfuddoula"/>
    <s v="Tanvir Ahmed"/>
    <x v="0"/>
    <x v="6"/>
    <x v="1"/>
  </r>
  <r>
    <x v="2"/>
    <x v="2"/>
    <x v="33"/>
    <x v="1"/>
    <s v="Nov 26 2015"/>
    <x v="83"/>
    <n v="9"/>
    <x v="38"/>
    <n v="10"/>
    <x v="16"/>
    <s v="Rangpur Riders"/>
    <s v="bat first"/>
    <s v="Riders"/>
    <s v="Rangpur Riders"/>
    <x v="0"/>
    <s v="Mirpur"/>
    <n v="0"/>
    <n v="6"/>
    <s v="6 runs"/>
    <s v="Runs"/>
    <n v="6"/>
    <s v="Close Match"/>
    <n v="212"/>
    <x v="0"/>
    <s v="Sharfuddoula"/>
    <s v="Tanvir Ahmed"/>
    <x v="1"/>
    <x v="10"/>
    <x v="0"/>
  </r>
  <r>
    <x v="2"/>
    <x v="2"/>
    <x v="34"/>
    <x v="1"/>
    <s v="Nov 25 2015"/>
    <x v="84"/>
    <n v="10"/>
    <x v="84"/>
    <n v="2"/>
    <x v="91"/>
    <s v="Barisal Bulls"/>
    <s v="bat first"/>
    <s v="Victorians"/>
    <s v="Comilla Victorians"/>
    <x v="0"/>
    <s v="Mirpur"/>
    <n v="8"/>
    <n v="0"/>
    <s v="8 wickets"/>
    <s v="Wickets"/>
    <n v="8"/>
    <s v="Close Match"/>
    <n v="179"/>
    <x v="0"/>
    <s v="Masudur Rahman"/>
    <s v="Tanvir Ahmed"/>
    <x v="0"/>
    <x v="7"/>
    <x v="0"/>
  </r>
  <r>
    <x v="2"/>
    <x v="2"/>
    <x v="34"/>
    <x v="1"/>
    <s v="Nov 25 2015"/>
    <x v="84"/>
    <n v="10"/>
    <x v="84"/>
    <n v="2"/>
    <x v="91"/>
    <s v="Barisal Bulls"/>
    <s v="bat first"/>
    <s v="Victorians"/>
    <s v="Comilla Victorians"/>
    <x v="0"/>
    <s v="Mirpur"/>
    <n v="8"/>
    <n v="0"/>
    <s v="8 wickets"/>
    <s v="Wickets"/>
    <n v="8"/>
    <s v="Close Match"/>
    <n v="179"/>
    <x v="0"/>
    <s v="Masudur Rahman"/>
    <s v="Tanvir Ahmed"/>
    <x v="1"/>
    <x v="8"/>
    <x v="1"/>
  </r>
  <r>
    <x v="2"/>
    <x v="2"/>
    <x v="35"/>
    <x v="1"/>
    <s v="Nov 25 2015"/>
    <x v="66"/>
    <n v="6"/>
    <x v="10"/>
    <n v="10"/>
    <x v="16"/>
    <s v="Rangpur Riders"/>
    <s v="bat first"/>
    <s v="Riders"/>
    <s v="Rangpur Riders"/>
    <x v="0"/>
    <s v="Mirpur"/>
    <n v="0"/>
    <n v="69"/>
    <s v="69 runs"/>
    <s v="Runs"/>
    <n v="69"/>
    <s v="Normal"/>
    <n v="283"/>
    <x v="0"/>
    <s v="Enamul Haque"/>
    <s v="Mahfuzur Rahman"/>
    <x v="0"/>
    <x v="6"/>
    <x v="1"/>
  </r>
  <r>
    <x v="2"/>
    <x v="2"/>
    <x v="35"/>
    <x v="1"/>
    <s v="Nov 25 2015"/>
    <x v="66"/>
    <n v="6"/>
    <x v="10"/>
    <n v="10"/>
    <x v="16"/>
    <s v="Rangpur Riders"/>
    <s v="bat first"/>
    <s v="Riders"/>
    <s v="Rangpur Riders"/>
    <x v="0"/>
    <s v="Mirpur"/>
    <n v="0"/>
    <n v="69"/>
    <s v="69 runs"/>
    <s v="Runs"/>
    <n v="69"/>
    <s v="Normal"/>
    <n v="283"/>
    <x v="0"/>
    <s v="Enamul Haque"/>
    <s v="Mahfuzur Rahman"/>
    <x v="1"/>
    <x v="9"/>
    <x v="0"/>
  </r>
  <r>
    <x v="2"/>
    <x v="2"/>
    <x v="36"/>
    <x v="1"/>
    <s v="Nov 24 2015"/>
    <x v="85"/>
    <n v="10"/>
    <x v="10"/>
    <n v="9"/>
    <x v="29"/>
    <s v="Barisal Bulls"/>
    <s v="bat first"/>
    <s v="Bulls"/>
    <s v="Barisal Bulls"/>
    <x v="0"/>
    <s v="Mirpur"/>
    <n v="0"/>
    <n v="0"/>
    <s v="1 run"/>
    <s v="Wickets"/>
    <n v="0"/>
    <s v="Close Match"/>
    <n v="215"/>
    <x v="0"/>
    <s v="Anisur Rahman"/>
    <s v="Masudur Rahman"/>
    <x v="0"/>
    <x v="7"/>
    <x v="1"/>
  </r>
  <r>
    <x v="2"/>
    <x v="2"/>
    <x v="36"/>
    <x v="1"/>
    <s v="Nov 24 2015"/>
    <x v="85"/>
    <n v="10"/>
    <x v="10"/>
    <n v="9"/>
    <x v="29"/>
    <s v="Barisal Bulls"/>
    <s v="bat first"/>
    <s v="Bulls"/>
    <s v="Barisal Bulls"/>
    <x v="0"/>
    <s v="Mirpur"/>
    <n v="0"/>
    <n v="0"/>
    <s v="1 run"/>
    <s v="Wickets"/>
    <n v="0"/>
    <s v="Close Match"/>
    <n v="215"/>
    <x v="0"/>
    <s v="Anisur Rahman"/>
    <s v="Masudur Rahman"/>
    <x v="1"/>
    <x v="10"/>
    <x v="0"/>
  </r>
  <r>
    <x v="2"/>
    <x v="2"/>
    <x v="37"/>
    <x v="1"/>
    <s v="Nov 24 2015"/>
    <x v="66"/>
    <n v="4"/>
    <x v="85"/>
    <n v="3"/>
    <x v="92"/>
    <s v="Comilla Victorians"/>
    <s v="field first"/>
    <s v="Victorians"/>
    <s v="Comilla Victorians"/>
    <x v="0"/>
    <s v="Mirpur"/>
    <n v="7"/>
    <n v="0"/>
    <s v="7 wickets"/>
    <s v="Wickets"/>
    <n v="7"/>
    <s v="Close Match"/>
    <n v="353"/>
    <x v="0"/>
    <s v="Anisur Rahman"/>
    <s v="Ranmore Martinesz"/>
    <x v="0"/>
    <x v="11"/>
    <x v="0"/>
  </r>
  <r>
    <x v="2"/>
    <x v="2"/>
    <x v="37"/>
    <x v="1"/>
    <s v="Nov 24 2015"/>
    <x v="66"/>
    <n v="4"/>
    <x v="85"/>
    <n v="3"/>
    <x v="92"/>
    <s v="Comilla Victorians"/>
    <s v="field first"/>
    <s v="Victorians"/>
    <s v="Comilla Victorians"/>
    <x v="0"/>
    <s v="Mirpur"/>
    <n v="7"/>
    <n v="0"/>
    <s v="7 wickets"/>
    <s v="Wickets"/>
    <n v="7"/>
    <s v="Close Match"/>
    <n v="353"/>
    <x v="0"/>
    <s v="Anisur Rahman"/>
    <s v="Ranmore Martinesz"/>
    <x v="1"/>
    <x v="8"/>
    <x v="1"/>
  </r>
  <r>
    <x v="2"/>
    <x v="2"/>
    <x v="38"/>
    <x v="1"/>
    <s v="Nov 23 2015"/>
    <x v="58"/>
    <n v="9"/>
    <x v="46"/>
    <n v="10"/>
    <x v="89"/>
    <s v="Rangpur Riders"/>
    <s v="field first"/>
    <s v="Bulls"/>
    <s v="Barisal Bulls"/>
    <x v="0"/>
    <s v="Mirpur"/>
    <n v="0"/>
    <n v="13"/>
    <s v="13 runs"/>
    <s v="Runs"/>
    <n v="13"/>
    <s v="Normal"/>
    <n v="297"/>
    <x v="0"/>
    <s v="Enamul Haque"/>
    <s v="Masudur Rahman"/>
    <x v="0"/>
    <x v="7"/>
    <x v="1"/>
  </r>
  <r>
    <x v="2"/>
    <x v="2"/>
    <x v="38"/>
    <x v="1"/>
    <s v="Nov 23 2015"/>
    <x v="58"/>
    <n v="9"/>
    <x v="46"/>
    <n v="10"/>
    <x v="89"/>
    <s v="Rangpur Riders"/>
    <s v="field first"/>
    <s v="Bulls"/>
    <s v="Barisal Bulls"/>
    <x v="0"/>
    <s v="Mirpur"/>
    <n v="0"/>
    <n v="13"/>
    <s v="13 runs"/>
    <s v="Runs"/>
    <n v="13"/>
    <s v="Normal"/>
    <n v="297"/>
    <x v="0"/>
    <s v="Enamul Haque"/>
    <s v="Masudur Rahman"/>
    <x v="1"/>
    <x v="6"/>
    <x v="0"/>
  </r>
  <r>
    <x v="2"/>
    <x v="2"/>
    <x v="39"/>
    <x v="1"/>
    <s v="Nov 23 2015"/>
    <x v="34"/>
    <n v="5"/>
    <x v="86"/>
    <n v="6"/>
    <x v="93"/>
    <s v="Sylhet Super Stars"/>
    <s v="field first"/>
    <s v="Vikings"/>
    <s v="Chittagong Vikings"/>
    <x v="0"/>
    <s v="Mirpur"/>
    <n v="0"/>
    <n v="0"/>
    <s v="1 run"/>
    <s v="Wickets"/>
    <n v="0"/>
    <s v="Close Match"/>
    <n v="359"/>
    <x v="0"/>
    <s v="Masudur Rahman"/>
    <s v="Sharfuddoula"/>
    <x v="0"/>
    <x v="11"/>
    <x v="1"/>
  </r>
  <r>
    <x v="2"/>
    <x v="2"/>
    <x v="39"/>
    <x v="1"/>
    <s v="Nov 23 2015"/>
    <x v="34"/>
    <n v="5"/>
    <x v="86"/>
    <n v="6"/>
    <x v="93"/>
    <s v="Sylhet Super Stars"/>
    <s v="field first"/>
    <s v="Vikings"/>
    <s v="Chittagong Vikings"/>
    <x v="0"/>
    <s v="Mirpur"/>
    <n v="0"/>
    <n v="0"/>
    <s v="1 run"/>
    <s v="Wickets"/>
    <n v="0"/>
    <s v="Close Match"/>
    <n v="359"/>
    <x v="0"/>
    <s v="Masudur Rahman"/>
    <s v="Sharfuddoula"/>
    <x v="1"/>
    <x v="10"/>
    <x v="0"/>
  </r>
  <r>
    <x v="2"/>
    <x v="2"/>
    <x v="1"/>
    <x v="1"/>
    <s v="Nov 22 2015"/>
    <x v="86"/>
    <n v="8"/>
    <x v="44"/>
    <n v="4"/>
    <x v="94"/>
    <s v="Comilla Victorians"/>
    <s v="bat first"/>
    <s v="Dynamites"/>
    <s v="Dhaka Dynamites"/>
    <x v="0"/>
    <s v="Mirpur"/>
    <n v="6"/>
    <n v="0"/>
    <s v="6 wickets"/>
    <s v="Wickets"/>
    <n v="6"/>
    <s v="Close Match"/>
    <n v="222"/>
    <x v="0"/>
    <s v="Enamul Haque"/>
    <s v="Ranmore Martinesz"/>
    <x v="0"/>
    <x v="8"/>
    <x v="0"/>
  </r>
  <r>
    <x v="2"/>
    <x v="2"/>
    <x v="1"/>
    <x v="1"/>
    <s v="Nov 22 2015"/>
    <x v="86"/>
    <n v="8"/>
    <x v="44"/>
    <n v="4"/>
    <x v="94"/>
    <s v="Comilla Victorians"/>
    <s v="bat first"/>
    <s v="Dynamites"/>
    <s v="Dhaka Dynamites"/>
    <x v="0"/>
    <s v="Mirpur"/>
    <n v="6"/>
    <n v="0"/>
    <s v="6 wickets"/>
    <s v="Wickets"/>
    <n v="6"/>
    <s v="Close Match"/>
    <n v="222"/>
    <x v="0"/>
    <s v="Enamul Haque"/>
    <s v="Ranmore Martinesz"/>
    <x v="1"/>
    <x v="9"/>
    <x v="1"/>
  </r>
  <r>
    <x v="2"/>
    <x v="2"/>
    <x v="2"/>
    <x v="1"/>
    <s v="Nov 22 2015"/>
    <x v="87"/>
    <n v="7"/>
    <x v="87"/>
    <n v="8"/>
    <x v="95"/>
    <s v="Chittagong Vikings"/>
    <s v="bat first"/>
    <s v="Riders"/>
    <s v="Rangpur Riders"/>
    <x v="0"/>
    <s v="Mirpur"/>
    <n v="2"/>
    <n v="0"/>
    <s v="2 wickets"/>
    <s v="Wickets"/>
    <n v="2"/>
    <s v="Close Match"/>
    <n v="375"/>
    <x v="0"/>
    <s v="Enamul Haque"/>
    <s v="Sharfuddoula"/>
    <x v="0"/>
    <x v="11"/>
    <x v="0"/>
  </r>
  <r>
    <x v="2"/>
    <x v="2"/>
    <x v="2"/>
    <x v="1"/>
    <s v="Nov 22 2015"/>
    <x v="87"/>
    <n v="7"/>
    <x v="87"/>
    <n v="8"/>
    <x v="95"/>
    <s v="Chittagong Vikings"/>
    <s v="bat first"/>
    <s v="Riders"/>
    <s v="Rangpur Riders"/>
    <x v="0"/>
    <s v="Mirpur"/>
    <n v="2"/>
    <n v="0"/>
    <s v="2 wickets"/>
    <s v="Wickets"/>
    <n v="2"/>
    <s v="Close Match"/>
    <n v="375"/>
    <x v="0"/>
    <s v="Enamul Haque"/>
    <s v="Sharfuddoula"/>
    <x v="1"/>
    <x v="6"/>
    <x v="1"/>
  </r>
  <r>
    <x v="3"/>
    <x v="3"/>
    <x v="42"/>
    <x v="1"/>
    <s v="Dec 1 2016"/>
    <x v="12"/>
    <n v="4"/>
    <x v="0"/>
    <n v="7"/>
    <x v="58"/>
    <s v="Rajshahi Kings"/>
    <s v="field first"/>
    <s v="Bulls"/>
    <s v="Barisal Bulls"/>
    <x v="0"/>
    <s v="Mirpur"/>
    <n v="0"/>
    <n v="17"/>
    <s v="17 runs"/>
    <s v="Runs"/>
    <n v="17"/>
    <s v="Normal"/>
    <n v="305"/>
    <x v="0"/>
    <s v="Mahfuzur Rahman"/>
    <s v="Ranmore Martinesz"/>
    <x v="0"/>
    <x v="7"/>
    <x v="1"/>
  </r>
  <r>
    <x v="3"/>
    <x v="3"/>
    <x v="42"/>
    <x v="1"/>
    <s v="Dec 1 2016"/>
    <x v="12"/>
    <n v="4"/>
    <x v="0"/>
    <n v="7"/>
    <x v="58"/>
    <s v="Rajshahi Kings"/>
    <s v="field first"/>
    <s v="Bulls"/>
    <s v="Barisal Bulls"/>
    <x v="0"/>
    <s v="Mirpur"/>
    <n v="0"/>
    <n v="17"/>
    <s v="17 runs"/>
    <s v="Runs"/>
    <n v="17"/>
    <s v="Normal"/>
    <n v="305"/>
    <x v="0"/>
    <s v="Mahfuzur Rahman"/>
    <s v="Ranmore Martinesz"/>
    <x v="1"/>
    <x v="12"/>
    <x v="0"/>
  </r>
  <r>
    <x v="3"/>
    <x v="3"/>
    <x v="43"/>
    <x v="1"/>
    <s v="Nov 30 2016"/>
    <x v="8"/>
    <n v="7"/>
    <x v="8"/>
    <n v="2"/>
    <x v="54"/>
    <s v="Rajshahi Kings"/>
    <s v="bat first"/>
    <s v="Victorians"/>
    <s v="Comilla Victorians"/>
    <x v="0"/>
    <s v="Mirpur"/>
    <n v="8"/>
    <n v="0"/>
    <s v="8 wickets"/>
    <s v="Wickets"/>
    <n v="8"/>
    <s v="Close Match"/>
    <n v="249"/>
    <x v="0"/>
    <s v="Masudur Rahman"/>
    <s v="Rashid Riaz"/>
    <x v="0"/>
    <x v="12"/>
    <x v="0"/>
  </r>
  <r>
    <x v="3"/>
    <x v="3"/>
    <x v="43"/>
    <x v="1"/>
    <s v="Nov 30 2016"/>
    <x v="8"/>
    <n v="7"/>
    <x v="8"/>
    <n v="2"/>
    <x v="54"/>
    <s v="Rajshahi Kings"/>
    <s v="bat first"/>
    <s v="Victorians"/>
    <s v="Comilla Victorians"/>
    <x v="0"/>
    <s v="Mirpur"/>
    <n v="8"/>
    <n v="0"/>
    <s v="8 wickets"/>
    <s v="Wickets"/>
    <n v="8"/>
    <s v="Close Match"/>
    <n v="249"/>
    <x v="0"/>
    <s v="Masudur Rahman"/>
    <s v="Rashid Riaz"/>
    <x v="1"/>
    <x v="8"/>
    <x v="1"/>
  </r>
  <r>
    <x v="3"/>
    <x v="3"/>
    <x v="44"/>
    <x v="1"/>
    <s v="Nov 30 2016"/>
    <x v="88"/>
    <n v="7"/>
    <x v="26"/>
    <n v="8"/>
    <x v="50"/>
    <s v="Dhaka Dynamites"/>
    <s v="bat first"/>
    <s v="Dynamites"/>
    <s v="Dhaka Dynamites"/>
    <x v="0"/>
    <s v="Mirpur"/>
    <n v="0"/>
    <n v="42"/>
    <s v="42 runs"/>
    <s v="Runs"/>
    <n v="42"/>
    <s v="Normal"/>
    <n v="334"/>
    <x v="0"/>
    <s v="Khalid Mahmood"/>
    <s v="Nadir Shah"/>
    <x v="0"/>
    <x v="9"/>
    <x v="1"/>
  </r>
  <r>
    <x v="3"/>
    <x v="3"/>
    <x v="44"/>
    <x v="1"/>
    <s v="Nov 30 2016"/>
    <x v="88"/>
    <n v="7"/>
    <x v="26"/>
    <n v="8"/>
    <x v="50"/>
    <s v="Dhaka Dynamites"/>
    <s v="bat first"/>
    <s v="Dynamites"/>
    <s v="Dhaka Dynamites"/>
    <x v="0"/>
    <s v="Mirpur"/>
    <n v="0"/>
    <n v="42"/>
    <s v="42 runs"/>
    <s v="Runs"/>
    <n v="42"/>
    <s v="Normal"/>
    <n v="334"/>
    <x v="0"/>
    <s v="Khalid Mahmood"/>
    <s v="Nadir Shah"/>
    <x v="1"/>
    <x v="6"/>
    <x v="0"/>
  </r>
  <r>
    <x v="3"/>
    <x v="3"/>
    <x v="45"/>
    <x v="1"/>
    <s v="Nov 29 2016"/>
    <x v="89"/>
    <n v="8"/>
    <x v="45"/>
    <n v="5"/>
    <x v="48"/>
    <s v="Khulna Titans"/>
    <s v="bat first"/>
    <s v="Vikings"/>
    <s v="Chittagong Vikings"/>
    <x v="0"/>
    <s v="Mirpur"/>
    <n v="5"/>
    <n v="0"/>
    <s v="5 wickets"/>
    <s v="Wickets"/>
    <n v="5"/>
    <s v="Close Match"/>
    <n v="266"/>
    <x v="0"/>
    <s v="Gazi Sohel"/>
    <s v="Ranmore Martinesz"/>
    <x v="0"/>
    <x v="13"/>
    <x v="0"/>
  </r>
  <r>
    <x v="3"/>
    <x v="3"/>
    <x v="45"/>
    <x v="1"/>
    <s v="Nov 29 2016"/>
    <x v="89"/>
    <n v="8"/>
    <x v="45"/>
    <n v="5"/>
    <x v="48"/>
    <s v="Khulna Titans"/>
    <s v="bat first"/>
    <s v="Vikings"/>
    <s v="Chittagong Vikings"/>
    <x v="0"/>
    <s v="Mirpur"/>
    <n v="5"/>
    <n v="0"/>
    <s v="5 wickets"/>
    <s v="Wickets"/>
    <n v="5"/>
    <s v="Close Match"/>
    <n v="266"/>
    <x v="0"/>
    <s v="Gazi Sohel"/>
    <s v="Ranmore Martinesz"/>
    <x v="1"/>
    <x v="11"/>
    <x v="1"/>
  </r>
  <r>
    <x v="3"/>
    <x v="3"/>
    <x v="46"/>
    <x v="1"/>
    <s v="Nov 29 2016"/>
    <x v="39"/>
    <n v="8"/>
    <x v="21"/>
    <n v="2"/>
    <x v="96"/>
    <s v="Barisal Bulls"/>
    <s v="bat first"/>
    <s v="Victorians"/>
    <s v="Comilla Victorians"/>
    <x v="0"/>
    <s v="Mirpur"/>
    <n v="8"/>
    <n v="0"/>
    <s v="8 wickets"/>
    <s v="Wickets"/>
    <n v="8"/>
    <s v="Close Match"/>
    <n v="287"/>
    <x v="0"/>
    <s v="Khalid Mahmood"/>
    <s v="Mahfuzur Rahman"/>
    <x v="0"/>
    <x v="7"/>
    <x v="0"/>
  </r>
  <r>
    <x v="3"/>
    <x v="3"/>
    <x v="46"/>
    <x v="1"/>
    <s v="Nov 29 2016"/>
    <x v="39"/>
    <n v="8"/>
    <x v="21"/>
    <n v="2"/>
    <x v="96"/>
    <s v="Barisal Bulls"/>
    <s v="bat first"/>
    <s v="Victorians"/>
    <s v="Comilla Victorians"/>
    <x v="0"/>
    <s v="Mirpur"/>
    <n v="8"/>
    <n v="0"/>
    <s v="8 wickets"/>
    <s v="Wickets"/>
    <n v="8"/>
    <s v="Close Match"/>
    <n v="287"/>
    <x v="0"/>
    <s v="Khalid Mahmood"/>
    <s v="Mahfuzur Rahman"/>
    <x v="1"/>
    <x v="8"/>
    <x v="1"/>
  </r>
  <r>
    <x v="3"/>
    <x v="3"/>
    <x v="47"/>
    <x v="1"/>
    <s v="Nov 28 2016"/>
    <x v="13"/>
    <n v="7"/>
    <x v="33"/>
    <n v="10"/>
    <x v="97"/>
    <s v="Rajshahi Kings"/>
    <s v="bat first"/>
    <s v="Kings"/>
    <s v="Rajshahi Kings"/>
    <x v="0"/>
    <s v="Mirpur"/>
    <n v="0"/>
    <n v="49"/>
    <s v="49 runs"/>
    <s v="Runs"/>
    <n v="49"/>
    <s v="Normal"/>
    <n v="207"/>
    <x v="0"/>
    <s v="Gazi Sohel"/>
    <s v="Rashid Riaz"/>
    <x v="0"/>
    <x v="12"/>
    <x v="1"/>
  </r>
  <r>
    <x v="3"/>
    <x v="3"/>
    <x v="47"/>
    <x v="1"/>
    <s v="Nov 28 2016"/>
    <x v="13"/>
    <n v="7"/>
    <x v="33"/>
    <n v="10"/>
    <x v="97"/>
    <s v="Rajshahi Kings"/>
    <s v="bat first"/>
    <s v="Kings"/>
    <s v="Rajshahi Kings"/>
    <x v="0"/>
    <s v="Mirpur"/>
    <n v="0"/>
    <n v="49"/>
    <s v="49 runs"/>
    <s v="Runs"/>
    <n v="49"/>
    <s v="Normal"/>
    <n v="207"/>
    <x v="0"/>
    <s v="Gazi Sohel"/>
    <s v="Rashid Riaz"/>
    <x v="1"/>
    <x v="6"/>
    <x v="0"/>
  </r>
  <r>
    <x v="3"/>
    <x v="3"/>
    <x v="48"/>
    <x v="1"/>
    <s v="Nov 27 2016"/>
    <x v="8"/>
    <n v="6"/>
    <x v="51"/>
    <n v="1"/>
    <x v="48"/>
    <s v="Rangpur Riders"/>
    <s v="bat first"/>
    <s v="Vikings"/>
    <s v="Chittagong Vikings"/>
    <x v="0"/>
    <s v="Mirpur"/>
    <n v="9"/>
    <n v="0"/>
    <s v="9 wickets"/>
    <s v="Wickets"/>
    <n v="9"/>
    <s v="Close Match"/>
    <n v="252"/>
    <x v="0"/>
    <s v="Nadir Shah"/>
    <s v="Ranmore Martinesz"/>
    <x v="0"/>
    <x v="6"/>
    <x v="0"/>
  </r>
  <r>
    <x v="3"/>
    <x v="3"/>
    <x v="48"/>
    <x v="1"/>
    <s v="Nov 27 2016"/>
    <x v="8"/>
    <n v="6"/>
    <x v="51"/>
    <n v="1"/>
    <x v="48"/>
    <s v="Rangpur Riders"/>
    <s v="bat first"/>
    <s v="Vikings"/>
    <s v="Chittagong Vikings"/>
    <x v="0"/>
    <s v="Mirpur"/>
    <n v="9"/>
    <n v="0"/>
    <s v="9 wickets"/>
    <s v="Wickets"/>
    <n v="9"/>
    <s v="Close Match"/>
    <n v="252"/>
    <x v="0"/>
    <s v="Nadir Shah"/>
    <s v="Ranmore Martinesz"/>
    <x v="1"/>
    <x v="11"/>
    <x v="1"/>
  </r>
  <r>
    <x v="3"/>
    <x v="3"/>
    <x v="3"/>
    <x v="1"/>
    <s v="Nov 27 2016"/>
    <x v="73"/>
    <n v="6"/>
    <x v="45"/>
    <n v="6"/>
    <x v="16"/>
    <s v="Barisal Bulls"/>
    <s v="bat first"/>
    <s v="Dynamites"/>
    <s v="Dhaka Dynamites"/>
    <x v="0"/>
    <s v="Mirpur"/>
    <n v="4"/>
    <n v="0"/>
    <s v="4 wickets"/>
    <s v="Wickets"/>
    <n v="4"/>
    <s v="Close Match"/>
    <n v="267"/>
    <x v="0"/>
    <s v="Khalid Mahmood"/>
    <s v="Masudur Rahman"/>
    <x v="0"/>
    <x v="7"/>
    <x v="0"/>
  </r>
  <r>
    <x v="3"/>
    <x v="3"/>
    <x v="3"/>
    <x v="1"/>
    <s v="Nov 27 2016"/>
    <x v="73"/>
    <n v="6"/>
    <x v="45"/>
    <n v="6"/>
    <x v="16"/>
    <s v="Barisal Bulls"/>
    <s v="bat first"/>
    <s v="Dynamites"/>
    <s v="Dhaka Dynamites"/>
    <x v="0"/>
    <s v="Mirpur"/>
    <n v="4"/>
    <n v="0"/>
    <s v="4 wickets"/>
    <s v="Wickets"/>
    <n v="4"/>
    <s v="Close Match"/>
    <n v="267"/>
    <x v="0"/>
    <s v="Khalid Mahmood"/>
    <s v="Masudur Rahman"/>
    <x v="1"/>
    <x v="9"/>
    <x v="1"/>
  </r>
  <r>
    <x v="3"/>
    <x v="3"/>
    <x v="4"/>
    <x v="1"/>
    <s v="Nov 26 2016"/>
    <x v="43"/>
    <n v="8"/>
    <x v="21"/>
    <n v="6"/>
    <x v="38"/>
    <s v="Rajshahi Kings"/>
    <s v="bat first"/>
    <s v="Kings"/>
    <s v="Rajshahi Kings"/>
    <x v="0"/>
    <s v="Mirpur"/>
    <n v="0"/>
    <n v="9"/>
    <s v="9 runs"/>
    <s v="Runs"/>
    <n v="9"/>
    <s v="Close Match"/>
    <n v="299"/>
    <x v="0"/>
    <s v="Mahfuzur Rahman"/>
    <s v="Rashid Riaz"/>
    <x v="0"/>
    <x v="12"/>
    <x v="1"/>
  </r>
  <r>
    <x v="3"/>
    <x v="3"/>
    <x v="4"/>
    <x v="1"/>
    <s v="Nov 26 2016"/>
    <x v="43"/>
    <n v="8"/>
    <x v="21"/>
    <n v="6"/>
    <x v="38"/>
    <s v="Rajshahi Kings"/>
    <s v="bat first"/>
    <s v="Kings"/>
    <s v="Rajshahi Kings"/>
    <x v="0"/>
    <s v="Mirpur"/>
    <n v="0"/>
    <n v="9"/>
    <s v="9 runs"/>
    <s v="Runs"/>
    <n v="9"/>
    <s v="Close Match"/>
    <n v="299"/>
    <x v="0"/>
    <s v="Mahfuzur Rahman"/>
    <s v="Rashid Riaz"/>
    <x v="1"/>
    <x v="13"/>
    <x v="0"/>
  </r>
  <r>
    <x v="3"/>
    <x v="3"/>
    <x v="5"/>
    <x v="1"/>
    <s v="Nov 26 2016"/>
    <x v="41"/>
    <n v="4"/>
    <x v="60"/>
    <n v="8"/>
    <x v="16"/>
    <s v="Dhaka Dynamites"/>
    <s v="bat first"/>
    <s v="Dynamites"/>
    <s v="Dhaka Dynamites"/>
    <x v="0"/>
    <s v="Mirpur"/>
    <n v="0"/>
    <n v="32"/>
    <s v="32 runs"/>
    <s v="Runs"/>
    <n v="32"/>
    <s v="Normal"/>
    <n v="308"/>
    <x v="0"/>
    <s v="Khalid Mahmood"/>
    <s v="Nadir Shah"/>
    <x v="0"/>
    <x v="9"/>
    <x v="1"/>
  </r>
  <r>
    <x v="3"/>
    <x v="3"/>
    <x v="5"/>
    <x v="1"/>
    <s v="Nov 26 2016"/>
    <x v="41"/>
    <n v="4"/>
    <x v="60"/>
    <n v="8"/>
    <x v="16"/>
    <s v="Dhaka Dynamites"/>
    <s v="bat first"/>
    <s v="Dynamites"/>
    <s v="Dhaka Dynamites"/>
    <x v="0"/>
    <s v="Mirpur"/>
    <n v="0"/>
    <n v="32"/>
    <s v="32 runs"/>
    <s v="Runs"/>
    <n v="32"/>
    <s v="Normal"/>
    <n v="308"/>
    <x v="0"/>
    <s v="Khalid Mahmood"/>
    <s v="Nadir Shah"/>
    <x v="1"/>
    <x v="8"/>
    <x v="0"/>
  </r>
  <r>
    <x v="3"/>
    <x v="3"/>
    <x v="6"/>
    <x v="1"/>
    <s v="Nov 25 2016"/>
    <x v="90"/>
    <n v="5"/>
    <x v="3"/>
    <n v="4"/>
    <x v="98"/>
    <s v="Barisal Bulls"/>
    <s v="bat first"/>
    <s v="Titans"/>
    <s v="Khulna Titans"/>
    <x v="0"/>
    <s v="Mirpur"/>
    <n v="6"/>
    <n v="0"/>
    <s v="6 wickets"/>
    <s v="Wickets"/>
    <n v="6"/>
    <s v="Close Match"/>
    <n v="239"/>
    <x v="0"/>
    <s v="Anisur Rahman"/>
    <s v="Khalid Mahmood"/>
    <x v="0"/>
    <x v="7"/>
    <x v="0"/>
  </r>
  <r>
    <x v="3"/>
    <x v="3"/>
    <x v="6"/>
    <x v="1"/>
    <s v="Nov 25 2016"/>
    <x v="90"/>
    <n v="5"/>
    <x v="3"/>
    <n v="4"/>
    <x v="98"/>
    <s v="Barisal Bulls"/>
    <s v="bat first"/>
    <s v="Titans"/>
    <s v="Khulna Titans"/>
    <x v="0"/>
    <s v="Mirpur"/>
    <n v="6"/>
    <n v="0"/>
    <s v="6 wickets"/>
    <s v="Wickets"/>
    <n v="6"/>
    <s v="Close Match"/>
    <n v="239"/>
    <x v="0"/>
    <s v="Anisur Rahman"/>
    <s v="Khalid Mahmood"/>
    <x v="1"/>
    <x v="13"/>
    <x v="1"/>
  </r>
  <r>
    <x v="3"/>
    <x v="3"/>
    <x v="7"/>
    <x v="1"/>
    <s v="Nov 25 2016"/>
    <x v="91"/>
    <n v="5"/>
    <x v="11"/>
    <n v="5"/>
    <x v="38"/>
    <s v="Rangpur Riders"/>
    <s v="field first"/>
    <s v="Kings"/>
    <s v="Rajshahi Kings"/>
    <x v="0"/>
    <s v="Mirpur"/>
    <n v="0"/>
    <n v="12"/>
    <s v="12 runs"/>
    <s v="Runs"/>
    <n v="12"/>
    <s v="Normal"/>
    <n v="312"/>
    <x v="0"/>
    <s v="Ranmore Martinesz"/>
    <s v="Sharfuddoula"/>
    <x v="0"/>
    <x v="12"/>
    <x v="1"/>
  </r>
  <r>
    <x v="3"/>
    <x v="3"/>
    <x v="7"/>
    <x v="1"/>
    <s v="Nov 25 2016"/>
    <x v="91"/>
    <n v="5"/>
    <x v="11"/>
    <n v="5"/>
    <x v="38"/>
    <s v="Rangpur Riders"/>
    <s v="field first"/>
    <s v="Kings"/>
    <s v="Rajshahi Kings"/>
    <x v="0"/>
    <s v="Mirpur"/>
    <n v="0"/>
    <n v="12"/>
    <s v="12 runs"/>
    <s v="Runs"/>
    <n v="12"/>
    <s v="Normal"/>
    <n v="312"/>
    <x v="0"/>
    <s v="Ranmore Martinesz"/>
    <s v="Sharfuddoula"/>
    <x v="1"/>
    <x v="6"/>
    <x v="0"/>
  </r>
  <r>
    <x v="3"/>
    <x v="3"/>
    <x v="8"/>
    <x v="1"/>
    <s v="Nov 22 2016"/>
    <x v="92"/>
    <n v="5"/>
    <x v="10"/>
    <n v="10"/>
    <x v="86"/>
    <s v="Chittagong Vikings"/>
    <s v="bat first"/>
    <s v="Vikings"/>
    <s v="Chittagong Vikings"/>
    <x v="1"/>
    <s v="Chattogram"/>
    <n v="0"/>
    <n v="78"/>
    <s v="78 runs"/>
    <s v="Runs"/>
    <n v="78"/>
    <s v="Normal"/>
    <n v="292"/>
    <x v="0"/>
    <s v="Gazi Sohel"/>
    <s v="Ranmore Martinesz"/>
    <x v="0"/>
    <x v="11"/>
    <x v="1"/>
  </r>
  <r>
    <x v="3"/>
    <x v="3"/>
    <x v="8"/>
    <x v="1"/>
    <s v="Nov 22 2016"/>
    <x v="92"/>
    <n v="5"/>
    <x v="10"/>
    <n v="10"/>
    <x v="86"/>
    <s v="Chittagong Vikings"/>
    <s v="bat first"/>
    <s v="Vikings"/>
    <s v="Chittagong Vikings"/>
    <x v="1"/>
    <s v="Chattogram"/>
    <n v="0"/>
    <n v="78"/>
    <s v="78 runs"/>
    <s v="Runs"/>
    <n v="78"/>
    <s v="Normal"/>
    <n v="292"/>
    <x v="0"/>
    <s v="Gazi Sohel"/>
    <s v="Ranmore Martinesz"/>
    <x v="1"/>
    <x v="7"/>
    <x v="0"/>
  </r>
  <r>
    <x v="3"/>
    <x v="3"/>
    <x v="9"/>
    <x v="1"/>
    <s v="Nov 22 2016"/>
    <x v="25"/>
    <n v="7"/>
    <x v="9"/>
    <n v="3"/>
    <x v="43"/>
    <s v="Khulna Titans"/>
    <s v="bat first"/>
    <s v="Riders"/>
    <s v="Rangpur Riders"/>
    <x v="1"/>
    <s v="Chattogram"/>
    <n v="7"/>
    <n v="0"/>
    <s v="7 wickets"/>
    <s v="Wickets"/>
    <n v="7"/>
    <s v="Close Match"/>
    <n v="254"/>
    <x v="0"/>
    <s v="Khalid Mahmood"/>
    <s v="Morshed Ali Khan"/>
    <x v="0"/>
    <x v="13"/>
    <x v="0"/>
  </r>
  <r>
    <x v="3"/>
    <x v="3"/>
    <x v="9"/>
    <x v="1"/>
    <s v="Nov 22 2016"/>
    <x v="25"/>
    <n v="7"/>
    <x v="9"/>
    <n v="3"/>
    <x v="43"/>
    <s v="Khulna Titans"/>
    <s v="bat first"/>
    <s v="Riders"/>
    <s v="Rangpur Riders"/>
    <x v="1"/>
    <s v="Chattogram"/>
    <n v="7"/>
    <n v="0"/>
    <s v="7 wickets"/>
    <s v="Wickets"/>
    <n v="7"/>
    <s v="Close Match"/>
    <n v="254"/>
    <x v="0"/>
    <s v="Khalid Mahmood"/>
    <s v="Morshed Ali Khan"/>
    <x v="1"/>
    <x v="6"/>
    <x v="1"/>
  </r>
  <r>
    <x v="3"/>
    <x v="3"/>
    <x v="11"/>
    <x v="1"/>
    <s v="Nov 21 2016"/>
    <x v="63"/>
    <n v="3"/>
    <x v="63"/>
    <n v="4"/>
    <x v="80"/>
    <s v="Comilla Victorians"/>
    <s v="bat first"/>
    <s v="Vikings"/>
    <s v="Chittagong Vikings"/>
    <x v="1"/>
    <s v="Chattogram"/>
    <n v="6"/>
    <n v="0"/>
    <s v="6 wickets"/>
    <s v="Wickets"/>
    <n v="6"/>
    <s v="Close Match"/>
    <n v="369"/>
    <x v="0"/>
    <s v="Habibur Rahman"/>
    <s v="Shohidul Islam"/>
    <x v="0"/>
    <x v="8"/>
    <x v="0"/>
  </r>
  <r>
    <x v="3"/>
    <x v="3"/>
    <x v="11"/>
    <x v="1"/>
    <s v="Nov 21 2016"/>
    <x v="63"/>
    <n v="3"/>
    <x v="63"/>
    <n v="4"/>
    <x v="80"/>
    <s v="Comilla Victorians"/>
    <s v="bat first"/>
    <s v="Vikings"/>
    <s v="Chittagong Vikings"/>
    <x v="1"/>
    <s v="Chattogram"/>
    <n v="6"/>
    <n v="0"/>
    <s v="6 wickets"/>
    <s v="Wickets"/>
    <n v="6"/>
    <s v="Close Match"/>
    <n v="369"/>
    <x v="0"/>
    <s v="Habibur Rahman"/>
    <s v="Shohidul Islam"/>
    <x v="1"/>
    <x v="11"/>
    <x v="1"/>
  </r>
  <r>
    <x v="3"/>
    <x v="3"/>
    <x v="12"/>
    <x v="1"/>
    <s v="Nov 21 2016"/>
    <x v="69"/>
    <n v="4"/>
    <x v="88"/>
    <n v="7"/>
    <x v="37"/>
    <s v="Dhaka Dynamites"/>
    <s v="bat first"/>
    <s v="Kings"/>
    <s v="Rajshahi Kings"/>
    <x v="1"/>
    <s v="Chattogram"/>
    <n v="3"/>
    <n v="0"/>
    <s v="3 wickets"/>
    <s v="Wickets"/>
    <n v="3"/>
    <s v="Close Match"/>
    <n v="366"/>
    <x v="0"/>
    <s v="Nadir Shah"/>
    <s v="Ranmore Martinesz"/>
    <x v="0"/>
    <x v="9"/>
    <x v="0"/>
  </r>
  <r>
    <x v="3"/>
    <x v="3"/>
    <x v="12"/>
    <x v="1"/>
    <s v="Nov 21 2016"/>
    <x v="69"/>
    <n v="4"/>
    <x v="88"/>
    <n v="7"/>
    <x v="37"/>
    <s v="Dhaka Dynamites"/>
    <s v="bat first"/>
    <s v="Kings"/>
    <s v="Rajshahi Kings"/>
    <x v="1"/>
    <s v="Chattogram"/>
    <n v="3"/>
    <n v="0"/>
    <s v="3 wickets"/>
    <s v="Wickets"/>
    <n v="3"/>
    <s v="Close Match"/>
    <n v="366"/>
    <x v="0"/>
    <s v="Nadir Shah"/>
    <s v="Ranmore Martinesz"/>
    <x v="1"/>
    <x v="12"/>
    <x v="1"/>
  </r>
  <r>
    <x v="3"/>
    <x v="3"/>
    <x v="14"/>
    <x v="1"/>
    <s v="Nov 20 2016"/>
    <x v="93"/>
    <n v="7"/>
    <x v="9"/>
    <n v="10"/>
    <x v="28"/>
    <s v="Barisal Bulls"/>
    <s v="field first"/>
    <s v="Titans"/>
    <s v="Khulna Titans"/>
    <x v="1"/>
    <s v="Chattogram"/>
    <n v="0"/>
    <n v="22"/>
    <s v="22 runs"/>
    <s v="Runs"/>
    <n v="22"/>
    <s v="Normal"/>
    <n v="280"/>
    <x v="0"/>
    <s v="Gazi Sohel"/>
    <s v="Ranmore Martinesz"/>
    <x v="0"/>
    <x v="13"/>
    <x v="1"/>
  </r>
  <r>
    <x v="3"/>
    <x v="3"/>
    <x v="14"/>
    <x v="1"/>
    <s v="Nov 20 2016"/>
    <x v="93"/>
    <n v="7"/>
    <x v="9"/>
    <n v="10"/>
    <x v="28"/>
    <s v="Barisal Bulls"/>
    <s v="field first"/>
    <s v="Titans"/>
    <s v="Khulna Titans"/>
    <x v="1"/>
    <s v="Chattogram"/>
    <n v="0"/>
    <n v="22"/>
    <s v="22 runs"/>
    <s v="Runs"/>
    <n v="22"/>
    <s v="Normal"/>
    <n v="280"/>
    <x v="0"/>
    <s v="Gazi Sohel"/>
    <s v="Ranmore Martinesz"/>
    <x v="1"/>
    <x v="7"/>
    <x v="0"/>
  </r>
  <r>
    <x v="3"/>
    <x v="3"/>
    <x v="16"/>
    <x v="1"/>
    <s v="Nov 19 2016"/>
    <x v="28"/>
    <n v="5"/>
    <x v="3"/>
    <n v="10"/>
    <x v="7"/>
    <s v="Rajshahi Kings"/>
    <s v="field first"/>
    <s v="Victorians"/>
    <s v="Comilla Victorians"/>
    <x v="1"/>
    <s v="Chattogram"/>
    <n v="0"/>
    <n v="32"/>
    <s v="32 runs"/>
    <s v="Runs"/>
    <n v="32"/>
    <s v="Normal"/>
    <n v="272"/>
    <x v="0"/>
    <s v="Nadir Shah"/>
    <s v="Ranmore Martinesz"/>
    <x v="0"/>
    <x v="8"/>
    <x v="1"/>
  </r>
  <r>
    <x v="3"/>
    <x v="3"/>
    <x v="16"/>
    <x v="1"/>
    <s v="Nov 19 2016"/>
    <x v="28"/>
    <n v="5"/>
    <x v="3"/>
    <n v="10"/>
    <x v="7"/>
    <s v="Rajshahi Kings"/>
    <s v="field first"/>
    <s v="Victorians"/>
    <s v="Comilla Victorians"/>
    <x v="1"/>
    <s v="Chattogram"/>
    <n v="0"/>
    <n v="32"/>
    <s v="32 runs"/>
    <s v="Runs"/>
    <n v="32"/>
    <s v="Normal"/>
    <n v="272"/>
    <x v="0"/>
    <s v="Nadir Shah"/>
    <s v="Ranmore Martinesz"/>
    <x v="1"/>
    <x v="12"/>
    <x v="0"/>
  </r>
  <r>
    <x v="3"/>
    <x v="3"/>
    <x v="18"/>
    <x v="1"/>
    <s v="Nov 19 2016"/>
    <x v="33"/>
    <n v="5"/>
    <x v="62"/>
    <n v="10"/>
    <x v="8"/>
    <s v="Khulna Titans"/>
    <s v="bat first"/>
    <s v="Titans"/>
    <s v="Khulna Titans"/>
    <x v="1"/>
    <s v="Chattogram"/>
    <n v="0"/>
    <n v="9"/>
    <s v="9 runs"/>
    <s v="Runs"/>
    <n v="9"/>
    <s v="Close Match"/>
    <n v="305"/>
    <x v="0"/>
    <s v="Khalid Mahmood"/>
    <s v="Masudur Rahman"/>
    <x v="0"/>
    <x v="13"/>
    <x v="1"/>
  </r>
  <r>
    <x v="3"/>
    <x v="3"/>
    <x v="18"/>
    <x v="1"/>
    <s v="Nov 19 2016"/>
    <x v="33"/>
    <n v="5"/>
    <x v="62"/>
    <n v="10"/>
    <x v="8"/>
    <s v="Khulna Titans"/>
    <s v="bat first"/>
    <s v="Titans"/>
    <s v="Khulna Titans"/>
    <x v="1"/>
    <s v="Chattogram"/>
    <n v="0"/>
    <n v="9"/>
    <s v="9 runs"/>
    <s v="Runs"/>
    <n v="9"/>
    <s v="Close Match"/>
    <n v="305"/>
    <x v="0"/>
    <s v="Khalid Mahmood"/>
    <s v="Masudur Rahman"/>
    <x v="1"/>
    <x v="9"/>
    <x v="0"/>
  </r>
  <r>
    <x v="3"/>
    <x v="3"/>
    <x v="20"/>
    <x v="1"/>
    <s v="Nov 18 2016"/>
    <x v="70"/>
    <n v="5"/>
    <x v="24"/>
    <n v="1"/>
    <x v="41"/>
    <s v="Rangpur Riders"/>
    <s v="field first"/>
    <s v="Riders"/>
    <s v="Rangpur Riders"/>
    <x v="1"/>
    <s v="Chattogram"/>
    <n v="9"/>
    <n v="0"/>
    <s v="9 wickets"/>
    <s v="Wickets"/>
    <n v="9"/>
    <s v="Close Match"/>
    <n v="248"/>
    <x v="0"/>
    <s v="Ranmore Martinesz"/>
    <s v="Tanvir Ahmed"/>
    <x v="0"/>
    <x v="8"/>
    <x v="0"/>
  </r>
  <r>
    <x v="3"/>
    <x v="3"/>
    <x v="20"/>
    <x v="1"/>
    <s v="Nov 18 2016"/>
    <x v="70"/>
    <n v="5"/>
    <x v="24"/>
    <n v="1"/>
    <x v="41"/>
    <s v="Rangpur Riders"/>
    <s v="field first"/>
    <s v="Riders"/>
    <s v="Rangpur Riders"/>
    <x v="1"/>
    <s v="Chattogram"/>
    <n v="9"/>
    <n v="0"/>
    <s v="9 wickets"/>
    <s v="Wickets"/>
    <n v="9"/>
    <s v="Close Match"/>
    <n v="248"/>
    <x v="0"/>
    <s v="Ranmore Martinesz"/>
    <s v="Tanvir Ahmed"/>
    <x v="1"/>
    <x v="6"/>
    <x v="1"/>
  </r>
  <r>
    <x v="3"/>
    <x v="3"/>
    <x v="22"/>
    <x v="1"/>
    <s v="Nov 18 2016"/>
    <x v="94"/>
    <n v="5"/>
    <x v="49"/>
    <n v="9"/>
    <x v="80"/>
    <s v="Rajshahi Kings"/>
    <s v="field first"/>
    <s v="Vikings"/>
    <s v="Chittagong Vikings"/>
    <x v="1"/>
    <s v="Chattogram"/>
    <n v="0"/>
    <n v="19"/>
    <s v="19 runs"/>
    <s v="Runs"/>
    <n v="19"/>
    <s v="Normal"/>
    <n v="361"/>
    <x v="0"/>
    <s v="Khalid Mahmood"/>
    <s v="Nadir Shah"/>
    <x v="0"/>
    <x v="11"/>
    <x v="1"/>
  </r>
  <r>
    <x v="3"/>
    <x v="3"/>
    <x v="22"/>
    <x v="1"/>
    <s v="Nov 18 2016"/>
    <x v="94"/>
    <n v="5"/>
    <x v="49"/>
    <n v="9"/>
    <x v="80"/>
    <s v="Rajshahi Kings"/>
    <s v="field first"/>
    <s v="Vikings"/>
    <s v="Chittagong Vikings"/>
    <x v="1"/>
    <s v="Chattogram"/>
    <n v="0"/>
    <n v="19"/>
    <s v="19 runs"/>
    <s v="Runs"/>
    <n v="19"/>
    <s v="Normal"/>
    <n v="361"/>
    <x v="0"/>
    <s v="Khalid Mahmood"/>
    <s v="Nadir Shah"/>
    <x v="1"/>
    <x v="12"/>
    <x v="0"/>
  </r>
  <r>
    <x v="3"/>
    <x v="3"/>
    <x v="23"/>
    <x v="1"/>
    <s v="Nov 17 2016"/>
    <x v="36"/>
    <n v="6"/>
    <x v="27"/>
    <n v="10"/>
    <x v="47"/>
    <s v="Barisal Bulls"/>
    <s v="field first"/>
    <s v="Riders"/>
    <s v="Rangpur Riders"/>
    <x v="1"/>
    <s v="Chattogram"/>
    <n v="0"/>
    <n v="12"/>
    <s v="12 runs"/>
    <s v="Runs"/>
    <n v="12"/>
    <s v="Normal"/>
    <n v="338"/>
    <x v="0"/>
    <s v="Khalid Mahmood"/>
    <s v="Masudur Rahman"/>
    <x v="0"/>
    <x v="6"/>
    <x v="1"/>
  </r>
  <r>
    <x v="3"/>
    <x v="3"/>
    <x v="23"/>
    <x v="1"/>
    <s v="Nov 17 2016"/>
    <x v="36"/>
    <n v="6"/>
    <x v="27"/>
    <n v="10"/>
    <x v="47"/>
    <s v="Barisal Bulls"/>
    <s v="field first"/>
    <s v="Riders"/>
    <s v="Rangpur Riders"/>
    <x v="1"/>
    <s v="Chattogram"/>
    <n v="0"/>
    <n v="12"/>
    <s v="12 runs"/>
    <s v="Runs"/>
    <n v="12"/>
    <s v="Normal"/>
    <n v="338"/>
    <x v="0"/>
    <s v="Khalid Mahmood"/>
    <s v="Masudur Rahman"/>
    <x v="1"/>
    <x v="7"/>
    <x v="0"/>
  </r>
  <r>
    <x v="3"/>
    <x v="3"/>
    <x v="25"/>
    <x v="1"/>
    <s v="Nov 17 2016"/>
    <x v="95"/>
    <n v="9"/>
    <x v="9"/>
    <n v="8"/>
    <x v="99"/>
    <s v="Chittagong Vikings"/>
    <s v="field first"/>
    <s v="Dynamites"/>
    <s v="Dhaka Dynamites"/>
    <x v="1"/>
    <s v="Chattogram"/>
    <n v="0"/>
    <n v="19"/>
    <s v="19 runs"/>
    <s v="Runs"/>
    <n v="19"/>
    <s v="Normal"/>
    <n v="277"/>
    <x v="0"/>
    <s v="Nadir Shah"/>
    <s v="Ranmore Martinesz"/>
    <x v="0"/>
    <x v="9"/>
    <x v="1"/>
  </r>
  <r>
    <x v="3"/>
    <x v="3"/>
    <x v="25"/>
    <x v="1"/>
    <s v="Nov 17 2016"/>
    <x v="95"/>
    <n v="9"/>
    <x v="9"/>
    <n v="8"/>
    <x v="99"/>
    <s v="Chittagong Vikings"/>
    <s v="field first"/>
    <s v="Dynamites"/>
    <s v="Dhaka Dynamites"/>
    <x v="1"/>
    <s v="Chattogram"/>
    <n v="0"/>
    <n v="19"/>
    <s v="19 runs"/>
    <s v="Runs"/>
    <n v="19"/>
    <s v="Normal"/>
    <n v="277"/>
    <x v="0"/>
    <s v="Nadir Shah"/>
    <s v="Ranmore Martinesz"/>
    <x v="1"/>
    <x v="11"/>
    <x v="0"/>
  </r>
  <r>
    <x v="3"/>
    <x v="3"/>
    <x v="27"/>
    <x v="1"/>
    <s v="Nov 14 2016"/>
    <x v="47"/>
    <n v="5"/>
    <x v="66"/>
    <n v="9"/>
    <x v="100"/>
    <s v="Comilla Victorians"/>
    <s v="field first"/>
    <s v="Dynamites"/>
    <s v="Dhaka Dynamites"/>
    <x v="0"/>
    <s v="Mirpur"/>
    <n v="0"/>
    <n v="33"/>
    <s v="33 runs"/>
    <s v="Runs"/>
    <n v="33"/>
    <s v="Normal"/>
    <n v="355"/>
    <x v="0"/>
    <s v="Nadir Shah"/>
    <s v="Ranmore Martinesz"/>
    <x v="0"/>
    <x v="9"/>
    <x v="1"/>
  </r>
  <r>
    <x v="3"/>
    <x v="3"/>
    <x v="27"/>
    <x v="1"/>
    <s v="Nov 14 2016"/>
    <x v="47"/>
    <n v="5"/>
    <x v="66"/>
    <n v="9"/>
    <x v="100"/>
    <s v="Comilla Victorians"/>
    <s v="field first"/>
    <s v="Dynamites"/>
    <s v="Dhaka Dynamites"/>
    <x v="0"/>
    <s v="Mirpur"/>
    <n v="0"/>
    <n v="33"/>
    <s v="33 runs"/>
    <s v="Runs"/>
    <n v="33"/>
    <s v="Normal"/>
    <n v="355"/>
    <x v="0"/>
    <s v="Nadir Shah"/>
    <s v="Ranmore Martinesz"/>
    <x v="1"/>
    <x v="8"/>
    <x v="0"/>
  </r>
  <r>
    <x v="3"/>
    <x v="3"/>
    <x v="28"/>
    <x v="1"/>
    <s v="Nov 14 2016"/>
    <x v="31"/>
    <n v="3"/>
    <x v="40"/>
    <n v="3"/>
    <x v="101"/>
    <s v="Barisal Bulls"/>
    <s v="field first"/>
    <s v="Bulls"/>
    <s v="Barisal Bulls"/>
    <x v="0"/>
    <s v="Mirpur"/>
    <n v="7"/>
    <n v="0"/>
    <s v="7 wickets"/>
    <s v="Wickets"/>
    <n v="7"/>
    <s v="Close Match"/>
    <n v="330"/>
    <x v="0"/>
    <s v="Khalid Mahmood"/>
    <s v="Tanvir Ahmed"/>
    <x v="0"/>
    <x v="11"/>
    <x v="0"/>
  </r>
  <r>
    <x v="3"/>
    <x v="3"/>
    <x v="28"/>
    <x v="1"/>
    <s v="Nov 14 2016"/>
    <x v="31"/>
    <n v="3"/>
    <x v="40"/>
    <n v="3"/>
    <x v="101"/>
    <s v="Barisal Bulls"/>
    <s v="field first"/>
    <s v="Bulls"/>
    <s v="Barisal Bulls"/>
    <x v="0"/>
    <s v="Mirpur"/>
    <n v="7"/>
    <n v="0"/>
    <s v="7 wickets"/>
    <s v="Wickets"/>
    <n v="7"/>
    <s v="Close Match"/>
    <n v="330"/>
    <x v="0"/>
    <s v="Khalid Mahmood"/>
    <s v="Tanvir Ahmed"/>
    <x v="1"/>
    <x v="7"/>
    <x v="1"/>
  </r>
  <r>
    <x v="3"/>
    <x v="3"/>
    <x v="30"/>
    <x v="1"/>
    <s v="Nov 13 2016"/>
    <x v="20"/>
    <n v="9"/>
    <x v="34"/>
    <n v="9"/>
    <x v="93"/>
    <s v="Comilla Victorians"/>
    <s v="field first"/>
    <s v="Titans"/>
    <s v="Khulna Titans"/>
    <x v="0"/>
    <s v="Mirpur"/>
    <n v="0"/>
    <n v="13"/>
    <s v="13 runs"/>
    <s v="Runs"/>
    <n v="13"/>
    <s v="Normal"/>
    <n v="275"/>
    <x v="0"/>
    <s v="Ranmore Martinesz"/>
    <s v="Sharfuddoula"/>
    <x v="0"/>
    <x v="13"/>
    <x v="1"/>
  </r>
  <r>
    <x v="3"/>
    <x v="3"/>
    <x v="30"/>
    <x v="1"/>
    <s v="Nov 13 2016"/>
    <x v="20"/>
    <n v="9"/>
    <x v="34"/>
    <n v="9"/>
    <x v="93"/>
    <s v="Comilla Victorians"/>
    <s v="field first"/>
    <s v="Titans"/>
    <s v="Khulna Titans"/>
    <x v="0"/>
    <s v="Mirpur"/>
    <n v="0"/>
    <n v="13"/>
    <s v="13 runs"/>
    <s v="Runs"/>
    <n v="13"/>
    <s v="Normal"/>
    <n v="275"/>
    <x v="0"/>
    <s v="Ranmore Martinesz"/>
    <s v="Sharfuddoula"/>
    <x v="1"/>
    <x v="8"/>
    <x v="0"/>
  </r>
  <r>
    <x v="3"/>
    <x v="3"/>
    <x v="32"/>
    <x v="1"/>
    <s v="Nov 13 2016"/>
    <x v="17"/>
    <n v="4"/>
    <x v="87"/>
    <n v="6"/>
    <x v="27"/>
    <s v="Rajshahi Kings"/>
    <s v="field first"/>
    <s v="Bulls"/>
    <s v="Barisal Bulls"/>
    <x v="0"/>
    <s v="Mirpur"/>
    <n v="0"/>
    <n v="4"/>
    <s v="4 runs"/>
    <s v="Runs"/>
    <n v="4"/>
    <s v="Close Match"/>
    <n v="380"/>
    <x v="0"/>
    <s v="Anisur Rahman"/>
    <s v="Khalid Mahmood"/>
    <x v="0"/>
    <x v="7"/>
    <x v="1"/>
  </r>
  <r>
    <x v="3"/>
    <x v="3"/>
    <x v="32"/>
    <x v="1"/>
    <s v="Nov 13 2016"/>
    <x v="17"/>
    <n v="4"/>
    <x v="87"/>
    <n v="6"/>
    <x v="27"/>
    <s v="Rajshahi Kings"/>
    <s v="field first"/>
    <s v="Bulls"/>
    <s v="Barisal Bulls"/>
    <x v="0"/>
    <s v="Mirpur"/>
    <n v="0"/>
    <n v="4"/>
    <s v="4 runs"/>
    <s v="Runs"/>
    <n v="4"/>
    <s v="Close Match"/>
    <n v="380"/>
    <x v="0"/>
    <s v="Anisur Rahman"/>
    <s v="Khalid Mahmood"/>
    <x v="1"/>
    <x v="12"/>
    <x v="0"/>
  </r>
  <r>
    <x v="3"/>
    <x v="3"/>
    <x v="33"/>
    <x v="1"/>
    <s v="Nov 12 2016"/>
    <x v="41"/>
    <n v="6"/>
    <x v="89"/>
    <n v="10"/>
    <x v="102"/>
    <s v="Rangpur Riders"/>
    <s v="field first"/>
    <s v="Dynamites"/>
    <s v="Dhaka Dynamites"/>
    <x v="0"/>
    <s v="Mirpur"/>
    <n v="0"/>
    <n v="78"/>
    <s v="78 runs"/>
    <s v="Runs"/>
    <n v="78"/>
    <s v="Normal"/>
    <n v="262"/>
    <x v="0"/>
    <s v="Khalid Mahmood"/>
    <s v="Nadir Shah"/>
    <x v="0"/>
    <x v="9"/>
    <x v="1"/>
  </r>
  <r>
    <x v="3"/>
    <x v="3"/>
    <x v="33"/>
    <x v="1"/>
    <s v="Nov 12 2016"/>
    <x v="41"/>
    <n v="6"/>
    <x v="89"/>
    <n v="10"/>
    <x v="102"/>
    <s v="Rangpur Riders"/>
    <s v="field first"/>
    <s v="Dynamites"/>
    <s v="Dhaka Dynamites"/>
    <x v="0"/>
    <s v="Mirpur"/>
    <n v="0"/>
    <n v="78"/>
    <s v="78 runs"/>
    <s v="Runs"/>
    <n v="78"/>
    <s v="Normal"/>
    <n v="262"/>
    <x v="0"/>
    <s v="Khalid Mahmood"/>
    <s v="Nadir Shah"/>
    <x v="1"/>
    <x v="6"/>
    <x v="0"/>
  </r>
  <r>
    <x v="3"/>
    <x v="3"/>
    <x v="34"/>
    <x v="1"/>
    <s v="Nov 12 2016"/>
    <x v="54"/>
    <n v="7"/>
    <x v="90"/>
    <n v="9"/>
    <x v="28"/>
    <s v="Chittagong Vikings"/>
    <s v="field first"/>
    <s v="Titans"/>
    <s v="Khulna Titans"/>
    <x v="0"/>
    <s v="Mirpur"/>
    <n v="0"/>
    <n v="4"/>
    <s v="4 runs"/>
    <s v="Runs"/>
    <n v="4"/>
    <s v="Close Match"/>
    <n v="250"/>
    <x v="0"/>
    <s v="Mahfuzur Rahman"/>
    <s v="Ranmore Martinesz"/>
    <x v="0"/>
    <x v="13"/>
    <x v="1"/>
  </r>
  <r>
    <x v="3"/>
    <x v="3"/>
    <x v="34"/>
    <x v="1"/>
    <s v="Nov 12 2016"/>
    <x v="54"/>
    <n v="7"/>
    <x v="90"/>
    <n v="9"/>
    <x v="28"/>
    <s v="Chittagong Vikings"/>
    <s v="field first"/>
    <s v="Titans"/>
    <s v="Khulna Titans"/>
    <x v="0"/>
    <s v="Mirpur"/>
    <n v="0"/>
    <n v="4"/>
    <s v="4 runs"/>
    <s v="Runs"/>
    <n v="4"/>
    <s v="Close Match"/>
    <n v="250"/>
    <x v="0"/>
    <s v="Mahfuzur Rahman"/>
    <s v="Ranmore Martinesz"/>
    <x v="1"/>
    <x v="11"/>
    <x v="0"/>
  </r>
  <r>
    <x v="3"/>
    <x v="3"/>
    <x v="35"/>
    <x v="1"/>
    <s v="Nov 11 2016"/>
    <x v="61"/>
    <n v="5"/>
    <x v="17"/>
    <n v="4"/>
    <x v="37"/>
    <s v="Rajshahi Kings"/>
    <s v="field first"/>
    <s v="Kings"/>
    <s v="Rajshahi Kings"/>
    <x v="0"/>
    <s v="Mirpur"/>
    <n v="6"/>
    <n v="0"/>
    <s v="6 wickets"/>
    <s v="Wickets"/>
    <n v="6"/>
    <s v="Close Match"/>
    <n v="277"/>
    <x v="0"/>
    <s v="Khalid Mahmood"/>
    <s v="Masudur Rahman"/>
    <x v="0"/>
    <x v="9"/>
    <x v="0"/>
  </r>
  <r>
    <x v="3"/>
    <x v="3"/>
    <x v="35"/>
    <x v="1"/>
    <s v="Nov 11 2016"/>
    <x v="61"/>
    <n v="5"/>
    <x v="17"/>
    <n v="4"/>
    <x v="37"/>
    <s v="Rajshahi Kings"/>
    <s v="field first"/>
    <s v="Kings"/>
    <s v="Rajshahi Kings"/>
    <x v="0"/>
    <s v="Mirpur"/>
    <n v="6"/>
    <n v="0"/>
    <s v="6 wickets"/>
    <s v="Wickets"/>
    <n v="6"/>
    <s v="Close Match"/>
    <n v="277"/>
    <x v="0"/>
    <s v="Khalid Mahmood"/>
    <s v="Masudur Rahman"/>
    <x v="1"/>
    <x v="12"/>
    <x v="1"/>
  </r>
  <r>
    <x v="3"/>
    <x v="3"/>
    <x v="36"/>
    <x v="1"/>
    <s v="Nov 11 2016"/>
    <x v="72"/>
    <n v="8"/>
    <x v="6"/>
    <n v="4"/>
    <x v="103"/>
    <s v="Comilla Victorians"/>
    <s v="bat first"/>
    <s v="Bulls"/>
    <s v="Barisal Bulls"/>
    <x v="0"/>
    <s v="Mirpur"/>
    <n v="6"/>
    <n v="0"/>
    <s v="6 wickets"/>
    <s v="Wickets"/>
    <n v="6"/>
    <s v="Close Match"/>
    <n v="259"/>
    <x v="0"/>
    <s v="Nadir Shah"/>
    <s v="Ranmore Martinesz"/>
    <x v="0"/>
    <x v="8"/>
    <x v="0"/>
  </r>
  <r>
    <x v="3"/>
    <x v="3"/>
    <x v="36"/>
    <x v="1"/>
    <s v="Nov 11 2016"/>
    <x v="72"/>
    <n v="8"/>
    <x v="6"/>
    <n v="4"/>
    <x v="103"/>
    <s v="Comilla Victorians"/>
    <s v="bat first"/>
    <s v="Bulls"/>
    <s v="Barisal Bulls"/>
    <x v="0"/>
    <s v="Mirpur"/>
    <n v="6"/>
    <n v="0"/>
    <s v="6 wickets"/>
    <s v="Wickets"/>
    <n v="6"/>
    <s v="Close Match"/>
    <n v="259"/>
    <x v="0"/>
    <s v="Nadir Shah"/>
    <s v="Ranmore Martinesz"/>
    <x v="1"/>
    <x v="7"/>
    <x v="1"/>
  </r>
  <r>
    <x v="3"/>
    <x v="3"/>
    <x v="37"/>
    <x v="1"/>
    <s v="Nov 10 2016"/>
    <x v="96"/>
    <n v="10"/>
    <x v="91"/>
    <n v="1"/>
    <x v="43"/>
    <s v="Rangpur Riders"/>
    <s v="field first"/>
    <s v="Riders"/>
    <s v="Rangpur Riders"/>
    <x v="0"/>
    <s v="Mirpur"/>
    <n v="9"/>
    <n v="0"/>
    <s v="9 wickets"/>
    <s v="Wickets"/>
    <n v="9"/>
    <s v="Close Match"/>
    <n v="89"/>
    <x v="1"/>
    <s v="Mahfuzur Rahman"/>
    <s v="Ranmore Martinesz"/>
    <x v="0"/>
    <x v="13"/>
    <x v="0"/>
  </r>
  <r>
    <x v="3"/>
    <x v="3"/>
    <x v="37"/>
    <x v="1"/>
    <s v="Nov 10 2016"/>
    <x v="96"/>
    <n v="10"/>
    <x v="91"/>
    <n v="1"/>
    <x v="43"/>
    <s v="Rangpur Riders"/>
    <s v="field first"/>
    <s v="Riders"/>
    <s v="Rangpur Riders"/>
    <x v="0"/>
    <s v="Mirpur"/>
    <n v="9"/>
    <n v="0"/>
    <s v="9 wickets"/>
    <s v="Wickets"/>
    <n v="9"/>
    <s v="Close Match"/>
    <n v="89"/>
    <x v="1"/>
    <s v="Mahfuzur Rahman"/>
    <s v="Ranmore Martinesz"/>
    <x v="1"/>
    <x v="6"/>
    <x v="1"/>
  </r>
  <r>
    <x v="3"/>
    <x v="3"/>
    <x v="38"/>
    <x v="1"/>
    <s v="Nov 9 2016"/>
    <x v="8"/>
    <n v="10"/>
    <x v="8"/>
    <n v="1"/>
    <x v="41"/>
    <s v="Rangpur Riders"/>
    <s v="field first"/>
    <s v="Riders"/>
    <s v="Rangpur Riders"/>
    <x v="0"/>
    <s v="Mirpur"/>
    <n v="9"/>
    <n v="0"/>
    <s v="9 wickets"/>
    <s v="Wickets"/>
    <n v="9"/>
    <s v="Close Match"/>
    <n v="249"/>
    <x v="0"/>
    <s v="Khalid Mahmood"/>
    <s v="Nadir Shah"/>
    <x v="0"/>
    <x v="11"/>
    <x v="0"/>
  </r>
  <r>
    <x v="3"/>
    <x v="3"/>
    <x v="38"/>
    <x v="1"/>
    <s v="Nov 9 2016"/>
    <x v="8"/>
    <n v="10"/>
    <x v="8"/>
    <n v="1"/>
    <x v="41"/>
    <s v="Rangpur Riders"/>
    <s v="field first"/>
    <s v="Riders"/>
    <s v="Rangpur Riders"/>
    <x v="0"/>
    <s v="Mirpur"/>
    <n v="9"/>
    <n v="0"/>
    <s v="9 wickets"/>
    <s v="Wickets"/>
    <n v="9"/>
    <s v="Close Match"/>
    <n v="249"/>
    <x v="0"/>
    <s v="Khalid Mahmood"/>
    <s v="Nadir Shah"/>
    <x v="1"/>
    <x v="6"/>
    <x v="1"/>
  </r>
  <r>
    <x v="3"/>
    <x v="3"/>
    <x v="39"/>
    <x v="1"/>
    <s v="Nov 9 2016"/>
    <x v="97"/>
    <n v="8"/>
    <x v="6"/>
    <n v="10"/>
    <x v="28"/>
    <s v="Khulna Titans"/>
    <s v="bat first"/>
    <s v="Titans"/>
    <s v="Khulna Titans"/>
    <x v="0"/>
    <s v="Mirpur"/>
    <n v="0"/>
    <n v="3"/>
    <s v="3 runs"/>
    <s v="Runs"/>
    <n v="3"/>
    <s v="Close Match"/>
    <n v="263"/>
    <x v="0"/>
    <s v="Abdul Mazid"/>
    <s v="Mehidy Hasan Miraz"/>
    <x v="0"/>
    <x v="13"/>
    <x v="1"/>
  </r>
  <r>
    <x v="3"/>
    <x v="3"/>
    <x v="39"/>
    <x v="1"/>
    <s v="Nov 9 2016"/>
    <x v="97"/>
    <n v="8"/>
    <x v="6"/>
    <n v="10"/>
    <x v="28"/>
    <s v="Khulna Titans"/>
    <s v="bat first"/>
    <s v="Titans"/>
    <s v="Khulna Titans"/>
    <x v="0"/>
    <s v="Mirpur"/>
    <n v="0"/>
    <n v="3"/>
    <s v="3 runs"/>
    <s v="Runs"/>
    <n v="3"/>
    <s v="Close Match"/>
    <n v="263"/>
    <x v="0"/>
    <s v="Abdul Mazid"/>
    <s v="Mehidy Hasan Miraz"/>
    <x v="1"/>
    <x v="12"/>
    <x v="0"/>
  </r>
  <r>
    <x v="3"/>
    <x v="3"/>
    <x v="1"/>
    <x v="1"/>
    <s v="Nov 8 2016"/>
    <x v="95"/>
    <n v="6"/>
    <x v="47"/>
    <n v="2"/>
    <x v="100"/>
    <s v="Dhaka Dynamites"/>
    <s v="field first"/>
    <s v="Dynamites"/>
    <s v="Dhaka Dynamites"/>
    <x v="0"/>
    <s v="Mirpur"/>
    <n v="8"/>
    <n v="0"/>
    <s v="8 wickets"/>
    <s v="Wickets"/>
    <n v="8"/>
    <s v="Close Match"/>
    <n v="297"/>
    <x v="0"/>
    <s v="Khalid Mahmood"/>
    <s v="Nadir Shah"/>
    <x v="0"/>
    <x v="7"/>
    <x v="0"/>
  </r>
  <r>
    <x v="3"/>
    <x v="3"/>
    <x v="1"/>
    <x v="1"/>
    <s v="Nov 8 2016"/>
    <x v="95"/>
    <n v="6"/>
    <x v="47"/>
    <n v="2"/>
    <x v="100"/>
    <s v="Dhaka Dynamites"/>
    <s v="field first"/>
    <s v="Dynamites"/>
    <s v="Dhaka Dynamites"/>
    <x v="0"/>
    <s v="Mirpur"/>
    <n v="8"/>
    <n v="0"/>
    <s v="8 wickets"/>
    <s v="Wickets"/>
    <n v="8"/>
    <s v="Close Match"/>
    <n v="297"/>
    <x v="0"/>
    <s v="Khalid Mahmood"/>
    <s v="Nadir Shah"/>
    <x v="1"/>
    <x v="9"/>
    <x v="1"/>
  </r>
  <r>
    <x v="3"/>
    <x v="3"/>
    <x v="2"/>
    <x v="1"/>
    <s v="Nov 8 2016"/>
    <x v="12"/>
    <n v="3"/>
    <x v="13"/>
    <n v="8"/>
    <x v="80"/>
    <s v="Comilla Victorians"/>
    <s v="field first"/>
    <s v="Vikings"/>
    <s v="Chittagong Vikings"/>
    <x v="0"/>
    <s v="Mirpur"/>
    <n v="0"/>
    <n v="29"/>
    <s v="29 runs"/>
    <s v="Runs"/>
    <n v="29"/>
    <s v="Normal"/>
    <n v="293"/>
    <x v="0"/>
    <s v="Nahidul Islam"/>
    <s v="Najmul Hossain Shanto"/>
    <x v="0"/>
    <x v="11"/>
    <x v="1"/>
  </r>
  <r>
    <x v="3"/>
    <x v="3"/>
    <x v="2"/>
    <x v="1"/>
    <s v="Nov 8 2016"/>
    <x v="12"/>
    <n v="3"/>
    <x v="13"/>
    <n v="8"/>
    <x v="80"/>
    <s v="Comilla Victorians"/>
    <s v="field first"/>
    <s v="Vikings"/>
    <s v="Chittagong Vikings"/>
    <x v="0"/>
    <s v="Mirpur"/>
    <n v="0"/>
    <n v="29"/>
    <s v="29 runs"/>
    <s v="Runs"/>
    <n v="29"/>
    <s v="Normal"/>
    <n v="293"/>
    <x v="0"/>
    <s v="Nahidul Islam"/>
    <s v="Najmul Hossain Shanto"/>
    <x v="1"/>
    <x v="8"/>
    <x v="0"/>
  </r>
  <r>
    <x v="4"/>
    <x v="4"/>
    <x v="42"/>
    <x v="1"/>
    <s v="Dec 2 2017"/>
    <x v="57"/>
    <n v="5"/>
    <x v="81"/>
    <n v="10"/>
    <x v="51"/>
    <s v="Dhaka Dynamites"/>
    <s v="bat first"/>
    <s v="Dynamites"/>
    <s v="Dhaka Dynamites"/>
    <x v="0"/>
    <s v="Mirpur"/>
    <n v="0"/>
    <n v="99"/>
    <s v="99 runs"/>
    <s v="Runs"/>
    <n v="99"/>
    <s v="Normal"/>
    <n v="311"/>
    <x v="0"/>
    <s v="Masudur Rahman"/>
    <s v="Riazuddin"/>
    <x v="0"/>
    <x v="9"/>
    <x v="1"/>
  </r>
  <r>
    <x v="4"/>
    <x v="4"/>
    <x v="42"/>
    <x v="1"/>
    <s v="Dec 2 2017"/>
    <x v="57"/>
    <n v="5"/>
    <x v="81"/>
    <n v="10"/>
    <x v="51"/>
    <s v="Dhaka Dynamites"/>
    <s v="bat first"/>
    <s v="Dynamites"/>
    <s v="Dhaka Dynamites"/>
    <x v="0"/>
    <s v="Mirpur"/>
    <n v="0"/>
    <n v="99"/>
    <s v="99 runs"/>
    <s v="Runs"/>
    <n v="99"/>
    <s v="Normal"/>
    <n v="311"/>
    <x v="0"/>
    <s v="Masudur Rahman"/>
    <s v="Riazuddin"/>
    <x v="1"/>
    <x v="12"/>
    <x v="0"/>
  </r>
  <r>
    <x v="4"/>
    <x v="4"/>
    <x v="43"/>
    <x v="1"/>
    <s v="Dec 2 2017"/>
    <x v="98"/>
    <n v="10"/>
    <x v="92"/>
    <n v="6"/>
    <x v="104"/>
    <s v="Comilla Victorians"/>
    <s v="field first"/>
    <s v="Victorians"/>
    <s v="Comilla Victorians"/>
    <x v="0"/>
    <s v="Mirpur"/>
    <n v="4"/>
    <n v="0"/>
    <s v="4 wickets"/>
    <s v="Wickets"/>
    <n v="4"/>
    <s v="Close Match"/>
    <n v="197"/>
    <x v="0"/>
    <s v="Nadir Shah"/>
    <s v="Ranmore Martinesz"/>
    <x v="0"/>
    <x v="6"/>
    <x v="0"/>
  </r>
  <r>
    <x v="4"/>
    <x v="4"/>
    <x v="43"/>
    <x v="1"/>
    <s v="Dec 2 2017"/>
    <x v="98"/>
    <n v="10"/>
    <x v="92"/>
    <n v="6"/>
    <x v="104"/>
    <s v="Comilla Victorians"/>
    <s v="field first"/>
    <s v="Victorians"/>
    <s v="Comilla Victorians"/>
    <x v="0"/>
    <s v="Mirpur"/>
    <n v="4"/>
    <n v="0"/>
    <s v="4 wickets"/>
    <s v="Wickets"/>
    <n v="4"/>
    <s v="Close Match"/>
    <n v="197"/>
    <x v="0"/>
    <s v="Nadir Shah"/>
    <s v="Ranmore Martinesz"/>
    <x v="1"/>
    <x v="8"/>
    <x v="1"/>
  </r>
  <r>
    <x v="4"/>
    <x v="4"/>
    <x v="44"/>
    <x v="1"/>
    <s v="Nov 29 2017"/>
    <x v="46"/>
    <n v="6"/>
    <x v="31"/>
    <n v="8"/>
    <x v="9"/>
    <s v="Dhaka Dynamites"/>
    <s v="field first"/>
    <s v="Victorians"/>
    <s v="Comilla Victorians"/>
    <x v="1"/>
    <s v="Chattogram"/>
    <n v="0"/>
    <n v="12"/>
    <s v="12 runs"/>
    <s v="Runs"/>
    <n v="12"/>
    <s v="Normal"/>
    <n v="322"/>
    <x v="0"/>
    <s v="Nadir Shah"/>
    <s v="Riazuddin"/>
    <x v="0"/>
    <x v="8"/>
    <x v="1"/>
  </r>
  <r>
    <x v="4"/>
    <x v="4"/>
    <x v="44"/>
    <x v="1"/>
    <s v="Nov 29 2017"/>
    <x v="46"/>
    <n v="6"/>
    <x v="31"/>
    <n v="8"/>
    <x v="9"/>
    <s v="Dhaka Dynamites"/>
    <s v="field first"/>
    <s v="Victorians"/>
    <s v="Comilla Victorians"/>
    <x v="1"/>
    <s v="Chattogram"/>
    <n v="0"/>
    <n v="12"/>
    <s v="12 runs"/>
    <s v="Runs"/>
    <n v="12"/>
    <s v="Normal"/>
    <n v="322"/>
    <x v="0"/>
    <s v="Nadir Shah"/>
    <s v="Riazuddin"/>
    <x v="1"/>
    <x v="9"/>
    <x v="0"/>
  </r>
  <r>
    <x v="4"/>
    <x v="4"/>
    <x v="45"/>
    <x v="1"/>
    <s v="Nov 29 2017"/>
    <x v="33"/>
    <n v="6"/>
    <x v="56"/>
    <n v="10"/>
    <x v="38"/>
    <s v="Rajshahi Kings"/>
    <s v="bat first"/>
    <s v="Kings"/>
    <s v="Rajshahi Kings"/>
    <x v="1"/>
    <s v="Chattogram"/>
    <n v="0"/>
    <n v="33"/>
    <s v="33 runs"/>
    <s v="Runs"/>
    <n v="33"/>
    <s v="Normal"/>
    <n v="281"/>
    <x v="0"/>
    <s v="Nayeem Hasan"/>
    <s v="Qazi Onik"/>
    <x v="0"/>
    <x v="12"/>
    <x v="1"/>
  </r>
  <r>
    <x v="4"/>
    <x v="4"/>
    <x v="45"/>
    <x v="1"/>
    <s v="Nov 29 2017"/>
    <x v="33"/>
    <n v="6"/>
    <x v="56"/>
    <n v="10"/>
    <x v="38"/>
    <s v="Rajshahi Kings"/>
    <s v="bat first"/>
    <s v="Kings"/>
    <s v="Rajshahi Kings"/>
    <x v="1"/>
    <s v="Chattogram"/>
    <n v="0"/>
    <n v="33"/>
    <s v="33 runs"/>
    <s v="Runs"/>
    <n v="33"/>
    <s v="Normal"/>
    <n v="281"/>
    <x v="0"/>
    <s v="Nayeem Hasan"/>
    <s v="Qazi Onik"/>
    <x v="1"/>
    <x v="11"/>
    <x v="0"/>
  </r>
  <r>
    <x v="4"/>
    <x v="4"/>
    <x v="46"/>
    <x v="1"/>
    <s v="Nov 28 2017"/>
    <x v="42"/>
    <n v="10"/>
    <x v="44"/>
    <n v="1"/>
    <x v="86"/>
    <s v="Khulna Titans"/>
    <s v="bat first"/>
    <s v="Victorians"/>
    <s v="Comilla Victorians"/>
    <x v="1"/>
    <s v="Chattogram"/>
    <n v="9"/>
    <n v="0"/>
    <s v="9 wickets"/>
    <s v="Wickets"/>
    <n v="9"/>
    <s v="Close Match"/>
    <n v="223"/>
    <x v="0"/>
    <s v="Nadir Shah"/>
    <s v="Riazuddin"/>
    <x v="0"/>
    <x v="13"/>
    <x v="0"/>
  </r>
  <r>
    <x v="4"/>
    <x v="4"/>
    <x v="46"/>
    <x v="1"/>
    <s v="Nov 28 2017"/>
    <x v="42"/>
    <n v="10"/>
    <x v="44"/>
    <n v="1"/>
    <x v="86"/>
    <s v="Khulna Titans"/>
    <s v="bat first"/>
    <s v="Victorians"/>
    <s v="Comilla Victorians"/>
    <x v="1"/>
    <s v="Chattogram"/>
    <n v="9"/>
    <n v="0"/>
    <s v="9 wickets"/>
    <s v="Wickets"/>
    <n v="9"/>
    <s v="Close Match"/>
    <n v="223"/>
    <x v="0"/>
    <s v="Nadir Shah"/>
    <s v="Riazuddin"/>
    <x v="1"/>
    <x v="8"/>
    <x v="1"/>
  </r>
  <r>
    <x v="4"/>
    <x v="4"/>
    <x v="47"/>
    <x v="1"/>
    <s v="Nov 28 2017"/>
    <x v="99"/>
    <n v="5"/>
    <x v="85"/>
    <n v="6"/>
    <x v="105"/>
    <s v="Rangpur Riders"/>
    <s v="field first"/>
    <s v="Riders"/>
    <s v="Rangpur Riders"/>
    <x v="1"/>
    <s v="Chattogram"/>
    <n v="4"/>
    <n v="0"/>
    <s v="4 wickets"/>
    <s v="Wickets"/>
    <n v="4"/>
    <s v="Close Match"/>
    <n v="350"/>
    <x v="0"/>
    <s v="Mahfuzur Rahman"/>
    <s v="Ranmore Martinesz"/>
    <x v="0"/>
    <x v="14"/>
    <x v="0"/>
  </r>
  <r>
    <x v="4"/>
    <x v="4"/>
    <x v="47"/>
    <x v="1"/>
    <s v="Nov 28 2017"/>
    <x v="99"/>
    <n v="5"/>
    <x v="85"/>
    <n v="6"/>
    <x v="105"/>
    <s v="Rangpur Riders"/>
    <s v="field first"/>
    <s v="Riders"/>
    <s v="Rangpur Riders"/>
    <x v="1"/>
    <s v="Chattogram"/>
    <n v="4"/>
    <n v="0"/>
    <s v="4 wickets"/>
    <s v="Wickets"/>
    <n v="4"/>
    <s v="Close Match"/>
    <n v="350"/>
    <x v="0"/>
    <s v="Mahfuzur Rahman"/>
    <s v="Ranmore Martinesz"/>
    <x v="1"/>
    <x v="6"/>
    <x v="1"/>
  </r>
  <r>
    <x v="4"/>
    <x v="4"/>
    <x v="48"/>
    <x v="1"/>
    <s v="Nov 27 2017"/>
    <x v="71"/>
    <n v="5"/>
    <x v="21"/>
    <n v="10"/>
    <x v="106"/>
    <s v="Rajshahi Kings"/>
    <s v="field first"/>
    <s v="Titans"/>
    <s v="Khulna Titans"/>
    <x v="1"/>
    <s v="Chattogram"/>
    <n v="0"/>
    <n v="68"/>
    <s v="68 runs"/>
    <s v="Runs"/>
    <n v="68"/>
    <s v="Normal"/>
    <n v="358"/>
    <x v="0"/>
    <s v="Gazi Sohel"/>
    <s v="Mahfuzur Rahman"/>
    <x v="0"/>
    <x v="13"/>
    <x v="1"/>
  </r>
  <r>
    <x v="4"/>
    <x v="4"/>
    <x v="48"/>
    <x v="1"/>
    <s v="Nov 27 2017"/>
    <x v="71"/>
    <n v="5"/>
    <x v="21"/>
    <n v="10"/>
    <x v="106"/>
    <s v="Rajshahi Kings"/>
    <s v="field first"/>
    <s v="Titans"/>
    <s v="Khulna Titans"/>
    <x v="1"/>
    <s v="Chattogram"/>
    <n v="0"/>
    <n v="68"/>
    <s v="68 runs"/>
    <s v="Runs"/>
    <n v="68"/>
    <s v="Normal"/>
    <n v="358"/>
    <x v="0"/>
    <s v="Gazi Sohel"/>
    <s v="Mahfuzur Rahman"/>
    <x v="1"/>
    <x v="12"/>
    <x v="0"/>
  </r>
  <r>
    <x v="4"/>
    <x v="4"/>
    <x v="3"/>
    <x v="1"/>
    <s v="Nov 27 2017"/>
    <x v="87"/>
    <n v="5"/>
    <x v="93"/>
    <n v="3"/>
    <x v="50"/>
    <s v="Chittagong Vikings"/>
    <s v="bat first"/>
    <s v="Dynamites"/>
    <s v="Dhaka Dynamites"/>
    <x v="1"/>
    <s v="Chattogram"/>
    <n v="7"/>
    <n v="0"/>
    <s v="7 wickets"/>
    <s v="Wickets"/>
    <n v="7"/>
    <s v="Close Match"/>
    <n v="378"/>
    <x v="0"/>
    <s v="Nadir Shah"/>
    <s v="Riazuddin"/>
    <x v="0"/>
    <x v="11"/>
    <x v="0"/>
  </r>
  <r>
    <x v="4"/>
    <x v="4"/>
    <x v="3"/>
    <x v="1"/>
    <s v="Nov 27 2017"/>
    <x v="87"/>
    <n v="5"/>
    <x v="93"/>
    <n v="3"/>
    <x v="50"/>
    <s v="Chittagong Vikings"/>
    <s v="bat first"/>
    <s v="Dynamites"/>
    <s v="Dhaka Dynamites"/>
    <x v="1"/>
    <s v="Chattogram"/>
    <n v="7"/>
    <n v="0"/>
    <s v="7 wickets"/>
    <s v="Wickets"/>
    <n v="7"/>
    <s v="Close Match"/>
    <n v="378"/>
    <x v="0"/>
    <s v="Nadir Shah"/>
    <s v="Riazuddin"/>
    <x v="1"/>
    <x v="9"/>
    <x v="1"/>
  </r>
  <r>
    <x v="4"/>
    <x v="4"/>
    <x v="4"/>
    <x v="1"/>
    <s v="Nov 25 2017"/>
    <x v="66"/>
    <n v="7"/>
    <x v="64"/>
    <n v="7"/>
    <x v="92"/>
    <s v="Rangpur Riders"/>
    <s v="field first"/>
    <s v="Riders"/>
    <s v="Rangpur Riders"/>
    <x v="1"/>
    <s v="Chattogram"/>
    <n v="3"/>
    <n v="0"/>
    <s v="3 wickets"/>
    <s v="Wickets"/>
    <n v="3"/>
    <s v="Close Match"/>
    <n v="356"/>
    <x v="0"/>
    <s v="Riazuddin"/>
    <s v="Tanvir Ahmed"/>
    <x v="0"/>
    <x v="11"/>
    <x v="0"/>
  </r>
  <r>
    <x v="4"/>
    <x v="4"/>
    <x v="4"/>
    <x v="1"/>
    <s v="Nov 25 2017"/>
    <x v="66"/>
    <n v="7"/>
    <x v="64"/>
    <n v="7"/>
    <x v="92"/>
    <s v="Rangpur Riders"/>
    <s v="field first"/>
    <s v="Riders"/>
    <s v="Rangpur Riders"/>
    <x v="1"/>
    <s v="Chattogram"/>
    <n v="3"/>
    <n v="0"/>
    <s v="3 wickets"/>
    <s v="Wickets"/>
    <n v="3"/>
    <s v="Close Match"/>
    <n v="356"/>
    <x v="0"/>
    <s v="Riazuddin"/>
    <s v="Tanvir Ahmed"/>
    <x v="1"/>
    <x v="6"/>
    <x v="1"/>
  </r>
  <r>
    <x v="4"/>
    <x v="4"/>
    <x v="5"/>
    <x v="1"/>
    <s v="Nov 25 2017"/>
    <x v="92"/>
    <n v="7"/>
    <x v="31"/>
    <n v="10"/>
    <x v="38"/>
    <s v="Rajshahi Kings"/>
    <s v="bat first"/>
    <s v="Kings"/>
    <s v="Rajshahi Kings"/>
    <x v="1"/>
    <s v="Chattogram"/>
    <n v="0"/>
    <n v="30"/>
    <s v="30 runs"/>
    <s v="Runs"/>
    <n v="30"/>
    <s v="Normal"/>
    <n v="340"/>
    <x v="0"/>
    <s v="Anisur Rahman"/>
    <s v="Morshed Ali Khan"/>
    <x v="0"/>
    <x v="12"/>
    <x v="1"/>
  </r>
  <r>
    <x v="4"/>
    <x v="4"/>
    <x v="5"/>
    <x v="1"/>
    <s v="Nov 25 2017"/>
    <x v="92"/>
    <n v="7"/>
    <x v="31"/>
    <n v="10"/>
    <x v="38"/>
    <s v="Rajshahi Kings"/>
    <s v="bat first"/>
    <s v="Kings"/>
    <s v="Rajshahi Kings"/>
    <x v="1"/>
    <s v="Chattogram"/>
    <n v="0"/>
    <n v="30"/>
    <s v="30 runs"/>
    <s v="Runs"/>
    <n v="30"/>
    <s v="Normal"/>
    <n v="340"/>
    <x v="0"/>
    <s v="Anisur Rahman"/>
    <s v="Morshed Ali Khan"/>
    <x v="1"/>
    <x v="8"/>
    <x v="0"/>
  </r>
  <r>
    <x v="4"/>
    <x v="4"/>
    <x v="6"/>
    <x v="1"/>
    <s v="Nov 24 2017"/>
    <x v="100"/>
    <n v="5"/>
    <x v="49"/>
    <n v="8"/>
    <x v="107"/>
    <s v="Sylhet Sixers"/>
    <s v="field first"/>
    <s v="Vikings"/>
    <s v="Chittagong Vikings"/>
    <x v="1"/>
    <s v="Chattogram"/>
    <n v="0"/>
    <n v="40"/>
    <s v="40 runs"/>
    <s v="Runs"/>
    <n v="40"/>
    <s v="Normal"/>
    <n v="382"/>
    <x v="0"/>
    <s v="Anisur Rahman"/>
    <s v="Tanvir Ahmed"/>
    <x v="0"/>
    <x v="11"/>
    <x v="1"/>
  </r>
  <r>
    <x v="4"/>
    <x v="4"/>
    <x v="6"/>
    <x v="1"/>
    <s v="Nov 24 2017"/>
    <x v="100"/>
    <n v="5"/>
    <x v="49"/>
    <n v="8"/>
    <x v="107"/>
    <s v="Sylhet Sixers"/>
    <s v="field first"/>
    <s v="Vikings"/>
    <s v="Chittagong Vikings"/>
    <x v="1"/>
    <s v="Chattogram"/>
    <n v="0"/>
    <n v="40"/>
    <s v="40 runs"/>
    <s v="Runs"/>
    <n v="40"/>
    <s v="Normal"/>
    <n v="382"/>
    <x v="0"/>
    <s v="Anisur Rahman"/>
    <s v="Tanvir Ahmed"/>
    <x v="1"/>
    <x v="14"/>
    <x v="0"/>
  </r>
  <r>
    <x v="4"/>
    <x v="4"/>
    <x v="7"/>
    <x v="1"/>
    <s v="Nov 24 2017"/>
    <x v="40"/>
    <n v="8"/>
    <x v="47"/>
    <n v="6"/>
    <x v="28"/>
    <s v="Rangpur Riders"/>
    <s v="field first"/>
    <s v="Titans"/>
    <s v="Khulna Titans"/>
    <x v="1"/>
    <s v="Chattogram"/>
    <n v="0"/>
    <n v="9"/>
    <s v="9 runs"/>
    <s v="Runs"/>
    <n v="9"/>
    <s v="Close Match"/>
    <n v="307"/>
    <x v="0"/>
    <s v="Morshed Ali Khan"/>
    <s v="Riazuddin"/>
    <x v="0"/>
    <x v="13"/>
    <x v="1"/>
  </r>
  <r>
    <x v="4"/>
    <x v="4"/>
    <x v="7"/>
    <x v="1"/>
    <s v="Nov 24 2017"/>
    <x v="40"/>
    <n v="8"/>
    <x v="47"/>
    <n v="6"/>
    <x v="28"/>
    <s v="Rangpur Riders"/>
    <s v="field first"/>
    <s v="Titans"/>
    <s v="Khulna Titans"/>
    <x v="1"/>
    <s v="Chattogram"/>
    <n v="0"/>
    <n v="9"/>
    <s v="9 runs"/>
    <s v="Runs"/>
    <n v="9"/>
    <s v="Close Match"/>
    <n v="307"/>
    <x v="0"/>
    <s v="Morshed Ali Khan"/>
    <s v="Riazuddin"/>
    <x v="1"/>
    <x v="6"/>
    <x v="0"/>
  </r>
  <r>
    <x v="4"/>
    <x v="4"/>
    <x v="8"/>
    <x v="1"/>
    <s v="Nov 21 2017"/>
    <x v="39"/>
    <n v="10"/>
    <x v="17"/>
    <n v="10"/>
    <x v="14"/>
    <s v="Dhaka Dynamites"/>
    <s v="field first"/>
    <s v="Riders"/>
    <s v="Rangpur Riders"/>
    <x v="0"/>
    <s v="Mirpur"/>
    <n v="0"/>
    <n v="3"/>
    <s v="3 runs"/>
    <s v="Runs"/>
    <n v="3"/>
    <s v="Close Match"/>
    <n v="281"/>
    <x v="0"/>
    <s v="Anisur Rahman"/>
    <s v="Riazuddin"/>
    <x v="0"/>
    <x v="6"/>
    <x v="1"/>
  </r>
  <r>
    <x v="4"/>
    <x v="4"/>
    <x v="8"/>
    <x v="1"/>
    <s v="Nov 21 2017"/>
    <x v="39"/>
    <n v="10"/>
    <x v="17"/>
    <n v="10"/>
    <x v="14"/>
    <s v="Dhaka Dynamites"/>
    <s v="field first"/>
    <s v="Riders"/>
    <s v="Rangpur Riders"/>
    <x v="0"/>
    <s v="Mirpur"/>
    <n v="0"/>
    <n v="3"/>
    <s v="3 runs"/>
    <s v="Runs"/>
    <n v="3"/>
    <s v="Close Match"/>
    <n v="281"/>
    <x v="0"/>
    <s v="Anisur Rahman"/>
    <s v="Riazuddin"/>
    <x v="1"/>
    <x v="9"/>
    <x v="0"/>
  </r>
  <r>
    <x v="4"/>
    <x v="4"/>
    <x v="9"/>
    <x v="1"/>
    <s v="Nov 21 2017"/>
    <x v="80"/>
    <n v="8"/>
    <x v="72"/>
    <n v="8"/>
    <x v="46"/>
    <s v="Khulna Titans"/>
    <s v="field first"/>
    <s v="Titans"/>
    <s v="Khulna Titans"/>
    <x v="0"/>
    <s v="Mirpur"/>
    <n v="2"/>
    <n v="0"/>
    <s v="2 wickets"/>
    <s v="Wickets"/>
    <n v="2"/>
    <s v="Close Match"/>
    <n v="334"/>
    <x v="0"/>
    <s v="Nadir Shah"/>
    <s v="Sharfuddoula"/>
    <x v="0"/>
    <x v="12"/>
    <x v="0"/>
  </r>
  <r>
    <x v="4"/>
    <x v="4"/>
    <x v="9"/>
    <x v="1"/>
    <s v="Nov 21 2017"/>
    <x v="80"/>
    <n v="8"/>
    <x v="72"/>
    <n v="8"/>
    <x v="46"/>
    <s v="Khulna Titans"/>
    <s v="field first"/>
    <s v="Titans"/>
    <s v="Khulna Titans"/>
    <x v="0"/>
    <s v="Mirpur"/>
    <n v="2"/>
    <n v="0"/>
    <s v="2 wickets"/>
    <s v="Wickets"/>
    <n v="2"/>
    <s v="Close Match"/>
    <n v="334"/>
    <x v="0"/>
    <s v="Nadir Shah"/>
    <s v="Sharfuddoula"/>
    <x v="1"/>
    <x v="13"/>
    <x v="1"/>
  </r>
  <r>
    <x v="4"/>
    <x v="4"/>
    <x v="11"/>
    <x v="1"/>
    <s v="Nov 20 2017"/>
    <x v="101"/>
    <n v="7"/>
    <x v="12"/>
    <n v="4"/>
    <x v="14"/>
    <s v="Sylhet Sixers"/>
    <s v="field first"/>
    <s v="Riders"/>
    <s v="Rangpur Riders"/>
    <x v="0"/>
    <s v="Mirpur"/>
    <n v="0"/>
    <n v="7"/>
    <s v="7 runs"/>
    <s v="Runs"/>
    <n v="7"/>
    <s v="Close Match"/>
    <n v="331"/>
    <x v="0"/>
    <s v="Anisur Rahman"/>
    <s v="Riazuddin"/>
    <x v="0"/>
    <x v="6"/>
    <x v="1"/>
  </r>
  <r>
    <x v="4"/>
    <x v="4"/>
    <x v="11"/>
    <x v="1"/>
    <s v="Nov 20 2017"/>
    <x v="101"/>
    <n v="7"/>
    <x v="12"/>
    <n v="4"/>
    <x v="14"/>
    <s v="Sylhet Sixers"/>
    <s v="field first"/>
    <s v="Riders"/>
    <s v="Rangpur Riders"/>
    <x v="0"/>
    <s v="Mirpur"/>
    <n v="0"/>
    <n v="7"/>
    <s v="7 runs"/>
    <s v="Runs"/>
    <n v="7"/>
    <s v="Close Match"/>
    <n v="331"/>
    <x v="0"/>
    <s v="Anisur Rahman"/>
    <s v="Riazuddin"/>
    <x v="1"/>
    <x v="14"/>
    <x v="0"/>
  </r>
  <r>
    <x v="4"/>
    <x v="4"/>
    <x v="12"/>
    <x v="1"/>
    <s v="Nov 20 2017"/>
    <x v="13"/>
    <n v="10"/>
    <x v="9"/>
    <n v="6"/>
    <x v="108"/>
    <s v="Dhaka Dynamites"/>
    <s v="bat first"/>
    <s v="Victorians"/>
    <s v="Comilla Victorians"/>
    <x v="0"/>
    <s v="Mirpur"/>
    <n v="4"/>
    <n v="0"/>
    <s v="4 wickets"/>
    <s v="Wickets"/>
    <n v="4"/>
    <s v="Close Match"/>
    <n v="257"/>
    <x v="0"/>
    <s v="Masudur Rahman"/>
    <s v="Ranmore Martinesz"/>
    <x v="0"/>
    <x v="9"/>
    <x v="0"/>
  </r>
  <r>
    <x v="4"/>
    <x v="4"/>
    <x v="12"/>
    <x v="1"/>
    <s v="Nov 20 2017"/>
    <x v="13"/>
    <n v="10"/>
    <x v="9"/>
    <n v="6"/>
    <x v="108"/>
    <s v="Dhaka Dynamites"/>
    <s v="bat first"/>
    <s v="Victorians"/>
    <s v="Comilla Victorians"/>
    <x v="0"/>
    <s v="Mirpur"/>
    <n v="4"/>
    <n v="0"/>
    <s v="4 wickets"/>
    <s v="Wickets"/>
    <n v="4"/>
    <s v="Close Match"/>
    <n v="257"/>
    <x v="0"/>
    <s v="Masudur Rahman"/>
    <s v="Ranmore Martinesz"/>
    <x v="1"/>
    <x v="8"/>
    <x v="1"/>
  </r>
  <r>
    <x v="4"/>
    <x v="4"/>
    <x v="14"/>
    <x v="1"/>
    <s v="Nov 18 2017"/>
    <x v="32"/>
    <n v="6"/>
    <x v="17"/>
    <n v="7"/>
    <x v="104"/>
    <s v="Rangpur Riders"/>
    <s v="field first"/>
    <s v="Victorians"/>
    <s v="Comilla Victorians"/>
    <x v="0"/>
    <s v="Mirpur"/>
    <n v="0"/>
    <n v="14"/>
    <s v="14 runs"/>
    <s v="Runs"/>
    <n v="14"/>
    <s v="Normal"/>
    <n v="292"/>
    <x v="0"/>
    <s v="Mahfuzur Rahman"/>
    <s v="Ranmore Martinesz"/>
    <x v="0"/>
    <x v="8"/>
    <x v="1"/>
  </r>
  <r>
    <x v="4"/>
    <x v="4"/>
    <x v="14"/>
    <x v="1"/>
    <s v="Nov 18 2017"/>
    <x v="32"/>
    <n v="6"/>
    <x v="17"/>
    <n v="7"/>
    <x v="104"/>
    <s v="Rangpur Riders"/>
    <s v="field first"/>
    <s v="Victorians"/>
    <s v="Comilla Victorians"/>
    <x v="0"/>
    <s v="Mirpur"/>
    <n v="0"/>
    <n v="14"/>
    <s v="14 runs"/>
    <s v="Runs"/>
    <n v="14"/>
    <s v="Normal"/>
    <n v="292"/>
    <x v="0"/>
    <s v="Mahfuzur Rahman"/>
    <s v="Ranmore Martinesz"/>
    <x v="1"/>
    <x v="6"/>
    <x v="0"/>
  </r>
  <r>
    <x v="4"/>
    <x v="4"/>
    <x v="16"/>
    <x v="1"/>
    <s v="Nov 18 2017"/>
    <x v="102"/>
    <n v="7"/>
    <x v="94"/>
    <n v="10"/>
    <x v="50"/>
    <s v="Rajshahi Kings"/>
    <s v="field first"/>
    <s v="Dynamites"/>
    <s v="Dhaka Dynamites"/>
    <x v="0"/>
    <s v="Mirpur"/>
    <n v="0"/>
    <n v="68"/>
    <s v="68 runs"/>
    <s v="Runs"/>
    <n v="68"/>
    <s v="Normal"/>
    <n v="334"/>
    <x v="0"/>
    <s v="Nadir Shah"/>
    <s v="Riazuddin"/>
    <x v="0"/>
    <x v="9"/>
    <x v="1"/>
  </r>
  <r>
    <x v="4"/>
    <x v="4"/>
    <x v="16"/>
    <x v="1"/>
    <s v="Nov 18 2017"/>
    <x v="102"/>
    <n v="7"/>
    <x v="94"/>
    <n v="10"/>
    <x v="50"/>
    <s v="Rajshahi Kings"/>
    <s v="field first"/>
    <s v="Dynamites"/>
    <s v="Dhaka Dynamites"/>
    <x v="0"/>
    <s v="Mirpur"/>
    <n v="0"/>
    <n v="68"/>
    <s v="68 runs"/>
    <s v="Runs"/>
    <n v="68"/>
    <s v="Normal"/>
    <n v="334"/>
    <x v="0"/>
    <s v="Nadir Shah"/>
    <s v="Riazuddin"/>
    <x v="1"/>
    <x v="12"/>
    <x v="0"/>
  </r>
  <r>
    <x v="4"/>
    <x v="4"/>
    <x v="18"/>
    <x v="1"/>
    <s v="Nov 17 2017"/>
    <x v="27"/>
    <n v="5"/>
    <x v="95"/>
    <n v="5"/>
    <x v="109"/>
    <s v="Khulna Titans"/>
    <s v="field first"/>
    <s v="Titans"/>
    <s v="Khulna Titans"/>
    <x v="0"/>
    <s v="Mirpur"/>
    <n v="5"/>
    <n v="0"/>
    <s v="5 wickets"/>
    <s v="Wickets"/>
    <n v="5"/>
    <s v="Close Match"/>
    <n v="324"/>
    <x v="0"/>
    <s v="Nadir Shah"/>
    <s v="Riazuddin"/>
    <x v="0"/>
    <x v="11"/>
    <x v="0"/>
  </r>
  <r>
    <x v="4"/>
    <x v="4"/>
    <x v="18"/>
    <x v="1"/>
    <s v="Nov 17 2017"/>
    <x v="27"/>
    <n v="5"/>
    <x v="95"/>
    <n v="5"/>
    <x v="109"/>
    <s v="Khulna Titans"/>
    <s v="field first"/>
    <s v="Titans"/>
    <s v="Khulna Titans"/>
    <x v="0"/>
    <s v="Mirpur"/>
    <n v="5"/>
    <n v="0"/>
    <s v="5 wickets"/>
    <s v="Wickets"/>
    <n v="5"/>
    <s v="Close Match"/>
    <n v="324"/>
    <x v="0"/>
    <s v="Nadir Shah"/>
    <s v="Riazuddin"/>
    <x v="1"/>
    <x v="13"/>
    <x v="1"/>
  </r>
  <r>
    <x v="4"/>
    <x v="4"/>
    <x v="20"/>
    <x v="1"/>
    <s v="Nov 17 2017"/>
    <x v="103"/>
    <n v="6"/>
    <x v="11"/>
    <n v="3"/>
    <x v="110"/>
    <s v="Rajshahi Kings"/>
    <s v="field first"/>
    <s v="Kings"/>
    <s v="Rajshahi Kings"/>
    <x v="0"/>
    <s v="Mirpur"/>
    <n v="7"/>
    <n v="0"/>
    <s v="7 wickets"/>
    <s v="Wickets"/>
    <n v="7"/>
    <s v="Close Match"/>
    <n v="296"/>
    <x v="0"/>
    <s v="Mahfuzur Rahman"/>
    <s v="Ranmore Martinesz"/>
    <x v="0"/>
    <x v="14"/>
    <x v="0"/>
  </r>
  <r>
    <x v="4"/>
    <x v="4"/>
    <x v="20"/>
    <x v="1"/>
    <s v="Nov 17 2017"/>
    <x v="103"/>
    <n v="6"/>
    <x v="11"/>
    <n v="3"/>
    <x v="110"/>
    <s v="Rajshahi Kings"/>
    <s v="field first"/>
    <s v="Kings"/>
    <s v="Rajshahi Kings"/>
    <x v="0"/>
    <s v="Mirpur"/>
    <n v="7"/>
    <n v="0"/>
    <s v="7 wickets"/>
    <s v="Wickets"/>
    <n v="7"/>
    <s v="Close Match"/>
    <n v="296"/>
    <x v="0"/>
    <s v="Mahfuzur Rahman"/>
    <s v="Ranmore Martinesz"/>
    <x v="1"/>
    <x v="12"/>
    <x v="1"/>
  </r>
  <r>
    <x v="4"/>
    <x v="4"/>
    <x v="25"/>
    <x v="1"/>
    <s v="Nov 14 2017"/>
    <x v="19"/>
    <n v="4"/>
    <x v="68"/>
    <n v="4"/>
    <x v="111"/>
    <s v="Comilla Victorians"/>
    <s v="field first"/>
    <s v="Victorians"/>
    <s v="Comilla Victorians"/>
    <x v="0"/>
    <s v="Mirpur"/>
    <n v="6"/>
    <n v="0"/>
    <s v="6 wickets"/>
    <s v="Wickets"/>
    <n v="6"/>
    <s v="Close Match"/>
    <n v="279"/>
    <x v="0"/>
    <s v="Riazuddin"/>
    <s v="Sharfuddoula"/>
    <x v="0"/>
    <x v="11"/>
    <x v="0"/>
  </r>
  <r>
    <x v="4"/>
    <x v="4"/>
    <x v="25"/>
    <x v="1"/>
    <s v="Nov 14 2017"/>
    <x v="19"/>
    <n v="4"/>
    <x v="68"/>
    <n v="4"/>
    <x v="111"/>
    <s v="Comilla Victorians"/>
    <s v="field first"/>
    <s v="Victorians"/>
    <s v="Comilla Victorians"/>
    <x v="0"/>
    <s v="Mirpur"/>
    <n v="6"/>
    <n v="0"/>
    <s v="6 wickets"/>
    <s v="Wickets"/>
    <n v="6"/>
    <s v="Close Match"/>
    <n v="279"/>
    <x v="0"/>
    <s v="Riazuddin"/>
    <s v="Sharfuddoula"/>
    <x v="1"/>
    <x v="8"/>
    <x v="1"/>
  </r>
  <r>
    <x v="4"/>
    <x v="4"/>
    <x v="27"/>
    <x v="1"/>
    <s v="Nov 14 2017"/>
    <x v="7"/>
    <n v="5"/>
    <x v="25"/>
    <n v="6"/>
    <x v="35"/>
    <s v="Dhaka Dynamites"/>
    <s v="field first"/>
    <s v="Dynamites"/>
    <s v="Dhaka Dynamites"/>
    <x v="0"/>
    <s v="Mirpur"/>
    <n v="4"/>
    <n v="0"/>
    <s v="4 wickets"/>
    <s v="Wickets"/>
    <n v="4"/>
    <s v="Close Match"/>
    <n v="313"/>
    <x v="0"/>
    <s v="Mahfuzur Rahman"/>
    <s v="Ranmore Martinesz"/>
    <x v="0"/>
    <x v="13"/>
    <x v="0"/>
  </r>
  <r>
    <x v="4"/>
    <x v="4"/>
    <x v="27"/>
    <x v="1"/>
    <s v="Nov 14 2017"/>
    <x v="7"/>
    <n v="5"/>
    <x v="25"/>
    <n v="6"/>
    <x v="35"/>
    <s v="Dhaka Dynamites"/>
    <s v="field first"/>
    <s v="Dynamites"/>
    <s v="Dhaka Dynamites"/>
    <x v="0"/>
    <s v="Mirpur"/>
    <n v="4"/>
    <n v="0"/>
    <s v="4 wickets"/>
    <s v="Wickets"/>
    <n v="4"/>
    <s v="Close Match"/>
    <n v="313"/>
    <x v="0"/>
    <s v="Mahfuzur Rahman"/>
    <s v="Ranmore Martinesz"/>
    <x v="1"/>
    <x v="9"/>
    <x v="1"/>
  </r>
  <r>
    <x v="4"/>
    <x v="4"/>
    <x v="28"/>
    <x v="1"/>
    <s v="Nov 12 2017"/>
    <x v="104"/>
    <n v="7"/>
    <x v="3"/>
    <n v="1"/>
    <x v="39"/>
    <s v="Comilla Victorians"/>
    <s v="field first"/>
    <s v="Victorians"/>
    <s v="Comilla Victorians"/>
    <x v="0"/>
    <s v="Mirpur"/>
    <n v="9"/>
    <n v="0"/>
    <s v="9 wickets"/>
    <s v="Wickets"/>
    <n v="9"/>
    <s v="Close Match"/>
    <n v="235"/>
    <x v="0"/>
    <s v="Masudur Rahman"/>
    <s v="Riazuddin"/>
    <x v="0"/>
    <x v="12"/>
    <x v="0"/>
  </r>
  <r>
    <x v="4"/>
    <x v="4"/>
    <x v="28"/>
    <x v="1"/>
    <s v="Nov 12 2017"/>
    <x v="104"/>
    <n v="7"/>
    <x v="3"/>
    <n v="1"/>
    <x v="39"/>
    <s v="Comilla Victorians"/>
    <s v="field first"/>
    <s v="Victorians"/>
    <s v="Comilla Victorians"/>
    <x v="0"/>
    <s v="Mirpur"/>
    <n v="9"/>
    <n v="0"/>
    <s v="9 wickets"/>
    <s v="Wickets"/>
    <n v="9"/>
    <s v="Close Match"/>
    <n v="235"/>
    <x v="0"/>
    <s v="Masudur Rahman"/>
    <s v="Riazuddin"/>
    <x v="1"/>
    <x v="8"/>
    <x v="1"/>
  </r>
  <r>
    <x v="4"/>
    <x v="4"/>
    <x v="30"/>
    <x v="1"/>
    <s v="Nov 12 2017"/>
    <x v="41"/>
    <n v="7"/>
    <x v="71"/>
    <n v="7"/>
    <x v="112"/>
    <s v="Chittagong Vikings"/>
    <s v="field first"/>
    <s v="Titans"/>
    <s v="Khulna Titans"/>
    <x v="0"/>
    <s v="Mirpur"/>
    <n v="0"/>
    <n v="18"/>
    <s v="18 runs"/>
    <s v="Runs"/>
    <n v="18"/>
    <s v="Normal"/>
    <n v="322"/>
    <x v="0"/>
    <s v="Mahfuzur Rahman"/>
    <s v="Ranmore Martinesz"/>
    <x v="0"/>
    <x v="13"/>
    <x v="1"/>
  </r>
  <r>
    <x v="4"/>
    <x v="4"/>
    <x v="30"/>
    <x v="1"/>
    <s v="Nov 12 2017"/>
    <x v="41"/>
    <n v="7"/>
    <x v="71"/>
    <n v="7"/>
    <x v="112"/>
    <s v="Chittagong Vikings"/>
    <s v="field first"/>
    <s v="Titans"/>
    <s v="Khulna Titans"/>
    <x v="0"/>
    <s v="Mirpur"/>
    <n v="0"/>
    <n v="18"/>
    <s v="18 runs"/>
    <s v="Runs"/>
    <n v="18"/>
    <s v="Normal"/>
    <n v="322"/>
    <x v="0"/>
    <s v="Mahfuzur Rahman"/>
    <s v="Ranmore Martinesz"/>
    <x v="1"/>
    <x v="11"/>
    <x v="0"/>
  </r>
  <r>
    <x v="4"/>
    <x v="4"/>
    <x v="32"/>
    <x v="1"/>
    <s v="Nov 11 2017"/>
    <x v="105"/>
    <n v="9"/>
    <x v="81"/>
    <n v="2"/>
    <x v="43"/>
    <s v="Dhaka Dynamites"/>
    <s v="field first"/>
    <s v="Dynamites"/>
    <s v="Dhaka Dynamites"/>
    <x v="0"/>
    <s v="Mirpur"/>
    <n v="8"/>
    <n v="0"/>
    <s v="8 wickets"/>
    <s v="Wickets"/>
    <n v="8"/>
    <s v="Close Match"/>
    <n v="207"/>
    <x v="0"/>
    <s v="Nadir Shah"/>
    <s v="Ranmore Martinesz"/>
    <x v="0"/>
    <x v="14"/>
    <x v="0"/>
  </r>
  <r>
    <x v="4"/>
    <x v="4"/>
    <x v="32"/>
    <x v="1"/>
    <s v="Nov 11 2017"/>
    <x v="105"/>
    <n v="9"/>
    <x v="81"/>
    <n v="2"/>
    <x v="43"/>
    <s v="Dhaka Dynamites"/>
    <s v="field first"/>
    <s v="Dynamites"/>
    <s v="Dhaka Dynamites"/>
    <x v="0"/>
    <s v="Mirpur"/>
    <n v="8"/>
    <n v="0"/>
    <s v="8 wickets"/>
    <s v="Wickets"/>
    <n v="8"/>
    <s v="Close Match"/>
    <n v="207"/>
    <x v="0"/>
    <s v="Nadir Shah"/>
    <s v="Ranmore Martinesz"/>
    <x v="1"/>
    <x v="9"/>
    <x v="1"/>
  </r>
  <r>
    <x v="4"/>
    <x v="4"/>
    <x v="33"/>
    <x v="1"/>
    <s v="Nov 11 2017"/>
    <x v="44"/>
    <n v="5"/>
    <x v="60"/>
    <n v="2"/>
    <x v="11"/>
    <s v="Rangpur Riders"/>
    <s v="bat first"/>
    <s v="Kings"/>
    <s v="Rajshahi Kings"/>
    <x v="0"/>
    <s v="Mirpur"/>
    <n v="8"/>
    <n v="0"/>
    <s v="8 wickets"/>
    <s v="Wickets"/>
    <n v="8"/>
    <s v="Close Match"/>
    <n v="272"/>
    <x v="0"/>
    <s v="Anisur Rahman"/>
    <s v="Riazuddin"/>
    <x v="0"/>
    <x v="6"/>
    <x v="0"/>
  </r>
  <r>
    <x v="4"/>
    <x v="4"/>
    <x v="33"/>
    <x v="1"/>
    <s v="Nov 11 2017"/>
    <x v="44"/>
    <n v="5"/>
    <x v="60"/>
    <n v="2"/>
    <x v="11"/>
    <s v="Rangpur Riders"/>
    <s v="bat first"/>
    <s v="Kings"/>
    <s v="Rajshahi Kings"/>
    <x v="0"/>
    <s v="Mirpur"/>
    <n v="8"/>
    <n v="0"/>
    <s v="8 wickets"/>
    <s v="Wickets"/>
    <n v="8"/>
    <s v="Close Match"/>
    <n v="272"/>
    <x v="0"/>
    <s v="Anisur Rahman"/>
    <s v="Riazuddin"/>
    <x v="1"/>
    <x v="12"/>
    <x v="1"/>
  </r>
  <r>
    <x v="4"/>
    <x v="4"/>
    <x v="34"/>
    <x v="1"/>
    <s v="Nov 8 2017"/>
    <x v="29"/>
    <n v="5"/>
    <x v="60"/>
    <n v="4"/>
    <x v="28"/>
    <s v="Khulna Titans"/>
    <s v="field first"/>
    <s v="Titans"/>
    <s v="Khulna Titans"/>
    <x v="4"/>
    <s v="Sylhet"/>
    <n v="6"/>
    <n v="0"/>
    <s v="6 wickets"/>
    <s v="Wickets"/>
    <n v="6"/>
    <s v="Close Match"/>
    <n v="273"/>
    <x v="0"/>
    <s v="Anisur Rahman"/>
    <s v="Masudur Rahman"/>
    <x v="0"/>
    <x v="14"/>
    <x v="0"/>
  </r>
  <r>
    <x v="4"/>
    <x v="4"/>
    <x v="34"/>
    <x v="1"/>
    <s v="Nov 8 2017"/>
    <x v="29"/>
    <n v="5"/>
    <x v="60"/>
    <n v="4"/>
    <x v="28"/>
    <s v="Khulna Titans"/>
    <s v="field first"/>
    <s v="Titans"/>
    <s v="Khulna Titans"/>
    <x v="4"/>
    <s v="Sylhet"/>
    <n v="6"/>
    <n v="0"/>
    <s v="6 wickets"/>
    <s v="Wickets"/>
    <n v="6"/>
    <s v="Close Match"/>
    <n v="273"/>
    <x v="0"/>
    <s v="Anisur Rahman"/>
    <s v="Masudur Rahman"/>
    <x v="1"/>
    <x v="13"/>
    <x v="1"/>
  </r>
  <r>
    <x v="4"/>
    <x v="4"/>
    <x v="35"/>
    <x v="1"/>
    <s v="Nov 8 2017"/>
    <x v="80"/>
    <n v="4"/>
    <x v="31"/>
    <n v="8"/>
    <x v="12"/>
    <s v="Rangpur Riders"/>
    <s v="field first"/>
    <s v="Vikings"/>
    <s v="Chittagong Vikings"/>
    <x v="4"/>
    <s v="Sylhet"/>
    <n v="0"/>
    <n v="11"/>
    <s v="11 runs"/>
    <s v="Runs"/>
    <n v="11"/>
    <s v="Normal"/>
    <n v="321"/>
    <x v="0"/>
    <s v="Riazuddin"/>
    <s v="Sharfuddoula"/>
    <x v="0"/>
    <x v="11"/>
    <x v="1"/>
  </r>
  <r>
    <x v="4"/>
    <x v="4"/>
    <x v="35"/>
    <x v="1"/>
    <s v="Nov 8 2017"/>
    <x v="80"/>
    <n v="4"/>
    <x v="31"/>
    <n v="8"/>
    <x v="12"/>
    <s v="Rangpur Riders"/>
    <s v="field first"/>
    <s v="Vikings"/>
    <s v="Chittagong Vikings"/>
    <x v="4"/>
    <s v="Sylhet"/>
    <n v="0"/>
    <n v="11"/>
    <s v="11 runs"/>
    <s v="Runs"/>
    <n v="11"/>
    <s v="Normal"/>
    <n v="321"/>
    <x v="0"/>
    <s v="Riazuddin"/>
    <s v="Sharfuddoula"/>
    <x v="1"/>
    <x v="6"/>
    <x v="0"/>
  </r>
  <r>
    <x v="4"/>
    <x v="4"/>
    <x v="36"/>
    <x v="1"/>
    <s v="Nov 7 2017"/>
    <x v="57"/>
    <n v="6"/>
    <x v="96"/>
    <n v="8"/>
    <x v="113"/>
    <s v="Rajshahi Kings"/>
    <s v="field first"/>
    <s v="Sixers"/>
    <s v="Sylhet Sixers"/>
    <x v="4"/>
    <s v="Sylhet"/>
    <n v="0"/>
    <n v="33"/>
    <s v="33 runs"/>
    <s v="Runs"/>
    <n v="33"/>
    <s v="Normal"/>
    <n v="377"/>
    <x v="0"/>
    <s v="Anisur Rahman"/>
    <s v="Riazuddin"/>
    <x v="0"/>
    <x v="14"/>
    <x v="1"/>
  </r>
  <r>
    <x v="4"/>
    <x v="4"/>
    <x v="36"/>
    <x v="1"/>
    <s v="Nov 7 2017"/>
    <x v="57"/>
    <n v="6"/>
    <x v="96"/>
    <n v="8"/>
    <x v="113"/>
    <s v="Rajshahi Kings"/>
    <s v="field first"/>
    <s v="Sixers"/>
    <s v="Sylhet Sixers"/>
    <x v="4"/>
    <s v="Sylhet"/>
    <n v="0"/>
    <n v="33"/>
    <s v="33 runs"/>
    <s v="Runs"/>
    <n v="33"/>
    <s v="Normal"/>
    <n v="377"/>
    <x v="0"/>
    <s v="Anisur Rahman"/>
    <s v="Riazuddin"/>
    <x v="1"/>
    <x v="12"/>
    <x v="0"/>
  </r>
  <r>
    <x v="4"/>
    <x v="4"/>
    <x v="37"/>
    <x v="1"/>
    <s v="Nov 7 2017"/>
    <x v="106"/>
    <n v="7"/>
    <x v="0"/>
    <n v="2"/>
    <x v="54"/>
    <s v="Comilla Victorians"/>
    <s v="field first"/>
    <s v="Victorians"/>
    <s v="Comilla Victorians"/>
    <x v="4"/>
    <s v="Sylhet"/>
    <n v="8"/>
    <n v="0"/>
    <s v="8 wickets"/>
    <s v="Wickets"/>
    <n v="8"/>
    <s v="Close Match"/>
    <n v="287"/>
    <x v="0"/>
    <s v="Masudur Rahman"/>
    <s v="Sharfuddoula"/>
    <x v="0"/>
    <x v="11"/>
    <x v="0"/>
  </r>
  <r>
    <x v="4"/>
    <x v="4"/>
    <x v="37"/>
    <x v="1"/>
    <s v="Nov 7 2017"/>
    <x v="106"/>
    <n v="7"/>
    <x v="0"/>
    <n v="2"/>
    <x v="54"/>
    <s v="Comilla Victorians"/>
    <s v="field first"/>
    <s v="Victorians"/>
    <s v="Comilla Victorians"/>
    <x v="4"/>
    <s v="Sylhet"/>
    <n v="8"/>
    <n v="0"/>
    <s v="8 wickets"/>
    <s v="Wickets"/>
    <n v="8"/>
    <s v="Close Match"/>
    <n v="287"/>
    <x v="0"/>
    <s v="Masudur Rahman"/>
    <s v="Sharfuddoula"/>
    <x v="1"/>
    <x v="8"/>
    <x v="1"/>
  </r>
  <r>
    <x v="4"/>
    <x v="4"/>
    <x v="38"/>
    <x v="1"/>
    <s v="Nov 5 2017"/>
    <x v="64"/>
    <n v="7"/>
    <x v="74"/>
    <n v="10"/>
    <x v="56"/>
    <s v="Khulna Titans"/>
    <s v="field first"/>
    <s v="Dynamites"/>
    <s v="Dhaka Dynamites"/>
    <x v="4"/>
    <s v="Sylhet"/>
    <n v="0"/>
    <n v="65"/>
    <s v="65 runs"/>
    <s v="Runs"/>
    <n v="65"/>
    <s v="Normal"/>
    <n v="339"/>
    <x v="0"/>
    <s v="Akteruzzaman"/>
    <s v="Riazuddin"/>
    <x v="0"/>
    <x v="9"/>
    <x v="1"/>
  </r>
  <r>
    <x v="4"/>
    <x v="4"/>
    <x v="38"/>
    <x v="1"/>
    <s v="Nov 5 2017"/>
    <x v="64"/>
    <n v="7"/>
    <x v="74"/>
    <n v="10"/>
    <x v="56"/>
    <s v="Khulna Titans"/>
    <s v="field first"/>
    <s v="Dynamites"/>
    <s v="Dhaka Dynamites"/>
    <x v="4"/>
    <s v="Sylhet"/>
    <n v="0"/>
    <n v="65"/>
    <s v="65 runs"/>
    <s v="Runs"/>
    <n v="65"/>
    <s v="Normal"/>
    <n v="339"/>
    <x v="0"/>
    <s v="Akteruzzaman"/>
    <s v="Riazuddin"/>
    <x v="1"/>
    <x v="13"/>
    <x v="0"/>
  </r>
  <r>
    <x v="4"/>
    <x v="4"/>
    <x v="39"/>
    <x v="1"/>
    <s v="Nov 5 2017"/>
    <x v="26"/>
    <n v="6"/>
    <x v="62"/>
    <n v="6"/>
    <x v="52"/>
    <s v="Sylhet Sixers"/>
    <s v="field first"/>
    <s v="Sixers"/>
    <s v="Sylhet Sixers"/>
    <x v="4"/>
    <s v="Sylhet"/>
    <n v="4"/>
    <n v="0"/>
    <s v="4 wickets"/>
    <s v="Wickets"/>
    <n v="4"/>
    <s v="Close Match"/>
    <n v="293"/>
    <x v="0"/>
    <s v="Mahfuzur Rahman"/>
    <s v="Masudur Rahman"/>
    <x v="0"/>
    <x v="8"/>
    <x v="0"/>
  </r>
  <r>
    <x v="4"/>
    <x v="4"/>
    <x v="39"/>
    <x v="1"/>
    <s v="Nov 5 2017"/>
    <x v="26"/>
    <n v="6"/>
    <x v="62"/>
    <n v="6"/>
    <x v="52"/>
    <s v="Sylhet Sixers"/>
    <s v="field first"/>
    <s v="Sixers"/>
    <s v="Sylhet Sixers"/>
    <x v="4"/>
    <s v="Sylhet"/>
    <n v="4"/>
    <n v="0"/>
    <s v="4 wickets"/>
    <s v="Wickets"/>
    <n v="4"/>
    <s v="Close Match"/>
    <n v="293"/>
    <x v="0"/>
    <s v="Mahfuzur Rahman"/>
    <s v="Masudur Rahman"/>
    <x v="1"/>
    <x v="14"/>
    <x v="1"/>
  </r>
  <r>
    <x v="4"/>
    <x v="4"/>
    <x v="1"/>
    <x v="1"/>
    <s v="Nov 4 2017"/>
    <x v="43"/>
    <n v="8"/>
    <x v="31"/>
    <n v="4"/>
    <x v="34"/>
    <s v="Rangpur Riders"/>
    <s v="field first"/>
    <s v="Riders"/>
    <s v="Rangpur Riders"/>
    <x v="4"/>
    <s v="Sylhet"/>
    <n v="6"/>
    <n v="0"/>
    <s v="6 wickets"/>
    <s v="Wickets"/>
    <n v="6"/>
    <s v="Close Match"/>
    <n v="309"/>
    <x v="0"/>
    <s v="Mahfuzur Rahman"/>
    <s v="Tanvir Ahmed"/>
    <x v="0"/>
    <x v="12"/>
    <x v="0"/>
  </r>
  <r>
    <x v="4"/>
    <x v="4"/>
    <x v="1"/>
    <x v="1"/>
    <s v="Nov 4 2017"/>
    <x v="43"/>
    <n v="8"/>
    <x v="31"/>
    <n v="4"/>
    <x v="34"/>
    <s v="Rangpur Riders"/>
    <s v="field first"/>
    <s v="Riders"/>
    <s v="Rangpur Riders"/>
    <x v="4"/>
    <s v="Sylhet"/>
    <n v="6"/>
    <n v="0"/>
    <s v="6 wickets"/>
    <s v="Wickets"/>
    <n v="6"/>
    <s v="Close Match"/>
    <n v="309"/>
    <x v="0"/>
    <s v="Mahfuzur Rahman"/>
    <s v="Tanvir Ahmed"/>
    <x v="1"/>
    <x v="6"/>
    <x v="1"/>
  </r>
  <r>
    <x v="4"/>
    <x v="4"/>
    <x v="2"/>
    <x v="1"/>
    <s v="Nov 4 2017"/>
    <x v="68"/>
    <n v="7"/>
    <x v="74"/>
    <n v="1"/>
    <x v="52"/>
    <s v="Sylhet Sixers"/>
    <s v="field first"/>
    <s v="Sixers"/>
    <s v="Sylhet Sixers"/>
    <x v="4"/>
    <s v="Sylhet"/>
    <n v="9"/>
    <n v="0"/>
    <s v="9 wickets"/>
    <s v="Wickets"/>
    <n v="9"/>
    <s v="Close Match"/>
    <n v="273"/>
    <x v="0"/>
    <s v="Masudur Rahman"/>
    <s v="Riazuddin"/>
    <x v="0"/>
    <x v="9"/>
    <x v="0"/>
  </r>
  <r>
    <x v="4"/>
    <x v="4"/>
    <x v="2"/>
    <x v="1"/>
    <s v="Nov 4 2017"/>
    <x v="68"/>
    <n v="7"/>
    <x v="74"/>
    <n v="1"/>
    <x v="52"/>
    <s v="Sylhet Sixers"/>
    <s v="field first"/>
    <s v="Sixers"/>
    <s v="Sylhet Sixers"/>
    <x v="4"/>
    <s v="Sylhet"/>
    <n v="9"/>
    <n v="0"/>
    <s v="9 wickets"/>
    <s v="Wickets"/>
    <n v="9"/>
    <s v="Close Match"/>
    <n v="273"/>
    <x v="0"/>
    <s v="Masudur Rahman"/>
    <s v="Riazuddin"/>
    <x v="1"/>
    <x v="14"/>
    <x v="1"/>
  </r>
  <r>
    <x v="5"/>
    <x v="5"/>
    <x v="42"/>
    <x v="1"/>
    <s v="Jan 29 2019"/>
    <x v="45"/>
    <n v="8"/>
    <x v="21"/>
    <n v="4"/>
    <x v="114"/>
    <s v="Rajshahi Kings"/>
    <s v="bat first"/>
    <s v="Riders"/>
    <s v="Rangpur Riders"/>
    <x v="1"/>
    <s v="Chattogram"/>
    <n v="6"/>
    <n v="0"/>
    <s v="6 wickets"/>
    <s v="Wickets"/>
    <n v="6"/>
    <s v="Close Match"/>
    <n v="286"/>
    <x v="0"/>
    <s v="Alex Wharf"/>
    <s v="Masudur Rahman"/>
    <x v="0"/>
    <x v="12"/>
    <x v="0"/>
  </r>
  <r>
    <x v="5"/>
    <x v="5"/>
    <x v="42"/>
    <x v="1"/>
    <s v="Jan 29 2019"/>
    <x v="45"/>
    <n v="8"/>
    <x v="21"/>
    <n v="4"/>
    <x v="114"/>
    <s v="Rajshahi Kings"/>
    <s v="bat first"/>
    <s v="Riders"/>
    <s v="Rangpur Riders"/>
    <x v="1"/>
    <s v="Chattogram"/>
    <n v="6"/>
    <n v="0"/>
    <s v="6 wickets"/>
    <s v="Wickets"/>
    <n v="6"/>
    <s v="Close Match"/>
    <n v="286"/>
    <x v="0"/>
    <s v="Alex Wharf"/>
    <s v="Masudur Rahman"/>
    <x v="1"/>
    <x v="6"/>
    <x v="1"/>
  </r>
  <r>
    <x v="5"/>
    <x v="5"/>
    <x v="43"/>
    <x v="1"/>
    <s v="Jan 29 2019"/>
    <x v="3"/>
    <n v="8"/>
    <x v="22"/>
    <n v="3"/>
    <x v="43"/>
    <s v="Chittagong Vikings"/>
    <s v="bat first"/>
    <s v="Victorians"/>
    <s v="Comilla Victorians"/>
    <x v="1"/>
    <s v="Chattogram"/>
    <n v="7"/>
    <n v="0"/>
    <s v="7 wickets"/>
    <s v="Wickets"/>
    <n v="7"/>
    <s v="Close Match"/>
    <n v="233"/>
    <x v="0"/>
    <s v="Mahfuzur Rahman"/>
    <s v="Ranmore Martinesz"/>
    <x v="0"/>
    <x v="11"/>
    <x v="0"/>
  </r>
  <r>
    <x v="5"/>
    <x v="5"/>
    <x v="43"/>
    <x v="1"/>
    <s v="Jan 29 2019"/>
    <x v="3"/>
    <n v="8"/>
    <x v="22"/>
    <n v="3"/>
    <x v="43"/>
    <s v="Chittagong Vikings"/>
    <s v="bat first"/>
    <s v="Victorians"/>
    <s v="Comilla Victorians"/>
    <x v="1"/>
    <s v="Chattogram"/>
    <n v="7"/>
    <n v="0"/>
    <s v="7 wickets"/>
    <s v="Wickets"/>
    <n v="7"/>
    <s v="Close Match"/>
    <n v="233"/>
    <x v="0"/>
    <s v="Mahfuzur Rahman"/>
    <s v="Ranmore Martinesz"/>
    <x v="1"/>
    <x v="8"/>
    <x v="1"/>
  </r>
  <r>
    <x v="5"/>
    <x v="5"/>
    <x v="44"/>
    <x v="1"/>
    <s v="Jan 28 2019"/>
    <x v="107"/>
    <n v="6"/>
    <x v="2"/>
    <n v="2"/>
    <x v="115"/>
    <s v="Dhaka Dynamites"/>
    <s v="bat first"/>
    <s v="Riders"/>
    <s v="Rangpur Riders"/>
    <x v="1"/>
    <s v="Chattogram"/>
    <n v="8"/>
    <n v="0"/>
    <s v="8 wickets"/>
    <s v="Wickets"/>
    <n v="8"/>
    <s v="Close Match"/>
    <n v="375"/>
    <x v="0"/>
    <s v="Masudur Rahman"/>
    <s v="Ranmore Martinesz"/>
    <x v="0"/>
    <x v="9"/>
    <x v="0"/>
  </r>
  <r>
    <x v="5"/>
    <x v="5"/>
    <x v="44"/>
    <x v="1"/>
    <s v="Jan 28 2019"/>
    <x v="107"/>
    <n v="6"/>
    <x v="2"/>
    <n v="2"/>
    <x v="115"/>
    <s v="Dhaka Dynamites"/>
    <s v="bat first"/>
    <s v="Riders"/>
    <s v="Rangpur Riders"/>
    <x v="1"/>
    <s v="Chattogram"/>
    <n v="8"/>
    <n v="0"/>
    <s v="8 wickets"/>
    <s v="Wickets"/>
    <n v="8"/>
    <s v="Close Match"/>
    <n v="375"/>
    <x v="0"/>
    <s v="Masudur Rahman"/>
    <s v="Ranmore Martinesz"/>
    <x v="1"/>
    <x v="6"/>
    <x v="1"/>
  </r>
  <r>
    <x v="5"/>
    <x v="5"/>
    <x v="45"/>
    <x v="1"/>
    <s v="Jan 28 2019"/>
    <x v="108"/>
    <n v="5"/>
    <x v="25"/>
    <n v="10"/>
    <x v="50"/>
    <s v="Khulna Titans"/>
    <s v="field first"/>
    <s v="Victorians"/>
    <s v="Comilla Victorians"/>
    <x v="1"/>
    <s v="Chattogram"/>
    <n v="0"/>
    <n v="80"/>
    <s v="80 runs"/>
    <s v="Runs"/>
    <n v="80"/>
    <s v="Normal"/>
    <n v="394"/>
    <x v="0"/>
    <s v="Shozab Raza"/>
    <s v="Tanvir Ahmed"/>
    <x v="0"/>
    <x v="8"/>
    <x v="1"/>
  </r>
  <r>
    <x v="5"/>
    <x v="5"/>
    <x v="45"/>
    <x v="1"/>
    <s v="Jan 28 2019"/>
    <x v="108"/>
    <n v="5"/>
    <x v="25"/>
    <n v="10"/>
    <x v="50"/>
    <s v="Khulna Titans"/>
    <s v="field first"/>
    <s v="Victorians"/>
    <s v="Comilla Victorians"/>
    <x v="1"/>
    <s v="Chattogram"/>
    <n v="0"/>
    <n v="80"/>
    <s v="80 runs"/>
    <s v="Runs"/>
    <n v="80"/>
    <s v="Normal"/>
    <n v="394"/>
    <x v="0"/>
    <s v="Shozab Raza"/>
    <s v="Tanvir Ahmed"/>
    <x v="1"/>
    <x v="13"/>
    <x v="0"/>
  </r>
  <r>
    <x v="5"/>
    <x v="5"/>
    <x v="46"/>
    <x v="1"/>
    <s v="Jan 26 2019"/>
    <x v="109"/>
    <n v="5"/>
    <x v="93"/>
    <n v="8"/>
    <x v="63"/>
    <s v="Chittagong Vikings"/>
    <s v="field first"/>
    <s v="Kings"/>
    <s v="Rajshahi Kings"/>
    <x v="1"/>
    <s v="Chattogram"/>
    <n v="0"/>
    <n v="7"/>
    <s v="7 runs"/>
    <s v="Runs"/>
    <n v="7"/>
    <s v="Close Match"/>
    <n v="389"/>
    <x v="0"/>
    <s v="Sharfuddoula"/>
    <s v="Shozab Raza"/>
    <x v="0"/>
    <x v="12"/>
    <x v="1"/>
  </r>
  <r>
    <x v="5"/>
    <x v="5"/>
    <x v="46"/>
    <x v="1"/>
    <s v="Jan 26 2019"/>
    <x v="109"/>
    <n v="5"/>
    <x v="93"/>
    <n v="8"/>
    <x v="63"/>
    <s v="Chittagong Vikings"/>
    <s v="field first"/>
    <s v="Kings"/>
    <s v="Rajshahi Kings"/>
    <x v="1"/>
    <s v="Chattogram"/>
    <n v="0"/>
    <n v="7"/>
    <s v="7 runs"/>
    <s v="Runs"/>
    <n v="7"/>
    <s v="Close Match"/>
    <n v="389"/>
    <x v="0"/>
    <s v="Sharfuddoula"/>
    <s v="Shozab Raza"/>
    <x v="1"/>
    <x v="11"/>
    <x v="0"/>
  </r>
  <r>
    <x v="5"/>
    <x v="5"/>
    <x v="47"/>
    <x v="1"/>
    <s v="Jan 26 2019"/>
    <x v="110"/>
    <n v="4"/>
    <x v="74"/>
    <n v="10"/>
    <x v="116"/>
    <s v="Sylhet Sixers"/>
    <s v="bat first"/>
    <s v="Sixers"/>
    <s v="Sylhet Sixers"/>
    <x v="1"/>
    <s v="Chattogram"/>
    <n v="0"/>
    <n v="58"/>
    <s v="58 runs"/>
    <s v="Runs"/>
    <n v="58"/>
    <s v="Normal"/>
    <n v="332"/>
    <x v="0"/>
    <s v="Alex Wharf"/>
    <s v="Gazi Sohel"/>
    <x v="0"/>
    <x v="14"/>
    <x v="1"/>
  </r>
  <r>
    <x v="5"/>
    <x v="5"/>
    <x v="47"/>
    <x v="1"/>
    <s v="Jan 26 2019"/>
    <x v="110"/>
    <n v="4"/>
    <x v="74"/>
    <n v="10"/>
    <x v="116"/>
    <s v="Sylhet Sixers"/>
    <s v="bat first"/>
    <s v="Sixers"/>
    <s v="Sylhet Sixers"/>
    <x v="1"/>
    <s v="Chattogram"/>
    <n v="0"/>
    <n v="58"/>
    <s v="58 runs"/>
    <s v="Runs"/>
    <n v="58"/>
    <s v="Normal"/>
    <n v="332"/>
    <x v="0"/>
    <s v="Alex Wharf"/>
    <s v="Gazi Sohel"/>
    <x v="1"/>
    <x v="13"/>
    <x v="0"/>
  </r>
  <r>
    <x v="5"/>
    <x v="5"/>
    <x v="48"/>
    <x v="1"/>
    <s v="Jan 25 2019"/>
    <x v="111"/>
    <n v="4"/>
    <x v="40"/>
    <n v="8"/>
    <x v="117"/>
    <s v="Chittagong Vikings"/>
    <s v="field first"/>
    <s v="Riders"/>
    <s v="Rangpur Riders"/>
    <x v="1"/>
    <s v="Chattogram"/>
    <n v="0"/>
    <n v="72"/>
    <s v="72 runs"/>
    <s v="Runs"/>
    <n v="72"/>
    <s v="Normal"/>
    <n v="406"/>
    <x v="0"/>
    <s v="Alex Wharf"/>
    <s v="Sharfuddoula"/>
    <x v="0"/>
    <x v="6"/>
    <x v="1"/>
  </r>
  <r>
    <x v="5"/>
    <x v="5"/>
    <x v="48"/>
    <x v="1"/>
    <s v="Jan 25 2019"/>
    <x v="111"/>
    <n v="4"/>
    <x v="40"/>
    <n v="8"/>
    <x v="117"/>
    <s v="Chittagong Vikings"/>
    <s v="field first"/>
    <s v="Riders"/>
    <s v="Rangpur Riders"/>
    <x v="1"/>
    <s v="Chattogram"/>
    <n v="0"/>
    <n v="72"/>
    <s v="72 runs"/>
    <s v="Runs"/>
    <n v="72"/>
    <s v="Normal"/>
    <n v="406"/>
    <x v="0"/>
    <s v="Alex Wharf"/>
    <s v="Sharfuddoula"/>
    <x v="1"/>
    <x v="11"/>
    <x v="0"/>
  </r>
  <r>
    <x v="5"/>
    <x v="5"/>
    <x v="3"/>
    <x v="1"/>
    <s v="Jan 25 2019"/>
    <x v="34"/>
    <n v="6"/>
    <x v="97"/>
    <n v="10"/>
    <x v="7"/>
    <s v="Rajshahi Kings"/>
    <s v="field first"/>
    <s v="Sixers"/>
    <s v="Sylhet Sixers"/>
    <x v="1"/>
    <s v="Chattogram"/>
    <n v="0"/>
    <n v="76"/>
    <s v="76 runs"/>
    <s v="Runs"/>
    <n v="76"/>
    <s v="Normal"/>
    <n v="284"/>
    <x v="0"/>
    <s v="Morshed Ali Khan"/>
    <s v="Shozab Raza"/>
    <x v="0"/>
    <x v="14"/>
    <x v="1"/>
  </r>
  <r>
    <x v="5"/>
    <x v="5"/>
    <x v="3"/>
    <x v="1"/>
    <s v="Jan 25 2019"/>
    <x v="34"/>
    <n v="6"/>
    <x v="97"/>
    <n v="10"/>
    <x v="7"/>
    <s v="Rajshahi Kings"/>
    <s v="field first"/>
    <s v="Sixers"/>
    <s v="Sylhet Sixers"/>
    <x v="1"/>
    <s v="Chattogram"/>
    <n v="0"/>
    <n v="76"/>
    <s v="76 runs"/>
    <s v="Runs"/>
    <n v="76"/>
    <s v="Normal"/>
    <n v="284"/>
    <x v="0"/>
    <s v="Morshed Ali Khan"/>
    <s v="Shozab Raza"/>
    <x v="1"/>
    <x v="12"/>
    <x v="0"/>
  </r>
  <r>
    <x v="5"/>
    <x v="5"/>
    <x v="4"/>
    <x v="1"/>
    <s v="Jan 23 2019"/>
    <x v="41"/>
    <n v="9"/>
    <x v="47"/>
    <n v="7"/>
    <x v="118"/>
    <s v="Sylhet Sixers"/>
    <s v="field first"/>
    <s v="Titans"/>
    <s v="Khulna Titans"/>
    <x v="0"/>
    <s v="Mirpur"/>
    <n v="0"/>
    <n v="21"/>
    <s v="21 runs"/>
    <s v="Runs"/>
    <n v="21"/>
    <s v="Normal"/>
    <n v="319"/>
    <x v="0"/>
    <s v="Alex Wharf"/>
    <s v="Morshed Ali Khan"/>
    <x v="0"/>
    <x v="13"/>
    <x v="1"/>
  </r>
  <r>
    <x v="5"/>
    <x v="5"/>
    <x v="4"/>
    <x v="1"/>
    <s v="Jan 23 2019"/>
    <x v="41"/>
    <n v="9"/>
    <x v="47"/>
    <n v="7"/>
    <x v="118"/>
    <s v="Sylhet Sixers"/>
    <s v="field first"/>
    <s v="Titans"/>
    <s v="Khulna Titans"/>
    <x v="0"/>
    <s v="Mirpur"/>
    <n v="0"/>
    <n v="21"/>
    <s v="21 runs"/>
    <s v="Runs"/>
    <n v="21"/>
    <s v="Normal"/>
    <n v="319"/>
    <x v="0"/>
    <s v="Alex Wharf"/>
    <s v="Morshed Ali Khan"/>
    <x v="1"/>
    <x v="14"/>
    <x v="0"/>
  </r>
  <r>
    <x v="5"/>
    <x v="5"/>
    <x v="5"/>
    <x v="1"/>
    <s v="Jan 23 2019"/>
    <x v="33"/>
    <n v="5"/>
    <x v="43"/>
    <n v="4"/>
    <x v="26"/>
    <s v="Chittagong Vikings"/>
    <s v="field first"/>
    <s v="Vikings"/>
    <s v="Chittagong Vikings"/>
    <x v="0"/>
    <s v="Mirpur"/>
    <n v="6"/>
    <n v="0"/>
    <s v="6 wickets"/>
    <s v="Wickets"/>
    <n v="6"/>
    <s v="Close Match"/>
    <n v="316"/>
    <x v="0"/>
    <s v="Nadir Shah"/>
    <s v="Ranmore Martinesz"/>
    <x v="0"/>
    <x v="12"/>
    <x v="0"/>
  </r>
  <r>
    <x v="5"/>
    <x v="5"/>
    <x v="5"/>
    <x v="1"/>
    <s v="Jan 23 2019"/>
    <x v="33"/>
    <n v="5"/>
    <x v="43"/>
    <n v="4"/>
    <x v="26"/>
    <s v="Chittagong Vikings"/>
    <s v="field first"/>
    <s v="Vikings"/>
    <s v="Chittagong Vikings"/>
    <x v="0"/>
    <s v="Mirpur"/>
    <n v="6"/>
    <n v="0"/>
    <s v="6 wickets"/>
    <s v="Wickets"/>
    <n v="6"/>
    <s v="Close Match"/>
    <n v="316"/>
    <x v="0"/>
    <s v="Nadir Shah"/>
    <s v="Ranmore Martinesz"/>
    <x v="1"/>
    <x v="11"/>
    <x v="1"/>
  </r>
  <r>
    <x v="5"/>
    <x v="5"/>
    <x v="6"/>
    <x v="1"/>
    <s v="Jan 22 2019"/>
    <x v="32"/>
    <n v="8"/>
    <x v="26"/>
    <n v="9"/>
    <x v="103"/>
    <s v="Dhaka Dynamites"/>
    <s v="field first"/>
    <s v="Victorians"/>
    <s v="Comilla Victorians"/>
    <x v="0"/>
    <s v="Mirpur"/>
    <n v="0"/>
    <n v="7"/>
    <s v="7 runs"/>
    <s v="Runs"/>
    <n v="7"/>
    <s v="Close Match"/>
    <n v="299"/>
    <x v="0"/>
    <s v="Mahfuzur Rahman"/>
    <s v="Ranmore Martinesz"/>
    <x v="0"/>
    <x v="8"/>
    <x v="1"/>
  </r>
  <r>
    <x v="5"/>
    <x v="5"/>
    <x v="6"/>
    <x v="1"/>
    <s v="Jan 22 2019"/>
    <x v="32"/>
    <n v="8"/>
    <x v="26"/>
    <n v="9"/>
    <x v="103"/>
    <s v="Dhaka Dynamites"/>
    <s v="field first"/>
    <s v="Victorians"/>
    <s v="Comilla Victorians"/>
    <x v="0"/>
    <s v="Mirpur"/>
    <n v="0"/>
    <n v="7"/>
    <s v="7 runs"/>
    <s v="Runs"/>
    <n v="7"/>
    <s v="Close Match"/>
    <n v="299"/>
    <x v="0"/>
    <s v="Mahfuzur Rahman"/>
    <s v="Ranmore Martinesz"/>
    <x v="1"/>
    <x v="9"/>
    <x v="0"/>
  </r>
  <r>
    <x v="5"/>
    <x v="5"/>
    <x v="7"/>
    <x v="1"/>
    <s v="Jan 22 2019"/>
    <x v="62"/>
    <n v="6"/>
    <x v="98"/>
    <n v="4"/>
    <x v="114"/>
    <s v="Rangpur Riders"/>
    <s v="field first"/>
    <s v="Riders"/>
    <s v="Rangpur Riders"/>
    <x v="0"/>
    <s v="Mirpur"/>
    <n v="6"/>
    <n v="0"/>
    <s v="6 wickets"/>
    <s v="Wickets"/>
    <n v="6"/>
    <s v="Close Match"/>
    <n v="364"/>
    <x v="0"/>
    <s v="Sharfuddoula"/>
    <s v="Shozab Raza"/>
    <x v="0"/>
    <x v="13"/>
    <x v="0"/>
  </r>
  <r>
    <x v="5"/>
    <x v="5"/>
    <x v="7"/>
    <x v="1"/>
    <s v="Jan 22 2019"/>
    <x v="62"/>
    <n v="6"/>
    <x v="98"/>
    <n v="4"/>
    <x v="114"/>
    <s v="Rangpur Riders"/>
    <s v="field first"/>
    <s v="Riders"/>
    <s v="Rangpur Riders"/>
    <x v="0"/>
    <s v="Mirpur"/>
    <n v="6"/>
    <n v="0"/>
    <s v="6 wickets"/>
    <s v="Wickets"/>
    <n v="6"/>
    <s v="Close Match"/>
    <n v="364"/>
    <x v="0"/>
    <s v="Sharfuddoula"/>
    <s v="Shozab Raza"/>
    <x v="1"/>
    <x v="6"/>
    <x v="1"/>
  </r>
  <r>
    <x v="5"/>
    <x v="5"/>
    <x v="8"/>
    <x v="1"/>
    <s v="Jan 21 2019"/>
    <x v="19"/>
    <n v="9"/>
    <x v="21"/>
    <n v="7"/>
    <x v="62"/>
    <s v="Dhaka Dynamites"/>
    <s v="bat first"/>
    <s v="Vikings"/>
    <s v="Chittagong Vikings"/>
    <x v="0"/>
    <s v="Mirpur"/>
    <n v="3"/>
    <n v="0"/>
    <s v="3 wickets"/>
    <s v="Wickets"/>
    <n v="3"/>
    <s v="Close Match"/>
    <n v="284"/>
    <x v="0"/>
    <s v="Nadir Shah"/>
    <s v="Ranmore Martinesz"/>
    <x v="0"/>
    <x v="9"/>
    <x v="0"/>
  </r>
  <r>
    <x v="5"/>
    <x v="5"/>
    <x v="8"/>
    <x v="1"/>
    <s v="Jan 21 2019"/>
    <x v="19"/>
    <n v="9"/>
    <x v="21"/>
    <n v="7"/>
    <x v="62"/>
    <s v="Dhaka Dynamites"/>
    <s v="bat first"/>
    <s v="Vikings"/>
    <s v="Chittagong Vikings"/>
    <x v="0"/>
    <s v="Mirpur"/>
    <n v="3"/>
    <n v="0"/>
    <s v="3 wickets"/>
    <s v="Wickets"/>
    <n v="3"/>
    <s v="Close Match"/>
    <n v="284"/>
    <x v="0"/>
    <s v="Nadir Shah"/>
    <s v="Ranmore Martinesz"/>
    <x v="1"/>
    <x v="11"/>
    <x v="1"/>
  </r>
  <r>
    <x v="5"/>
    <x v="5"/>
    <x v="9"/>
    <x v="1"/>
    <s v="Jan 21 2019"/>
    <x v="66"/>
    <n v="3"/>
    <x v="60"/>
    <n v="10"/>
    <x v="55"/>
    <s v="Comilla Victorians"/>
    <s v="field first"/>
    <s v="Kings"/>
    <s v="Rajshahi Kings"/>
    <x v="0"/>
    <s v="Mirpur"/>
    <n v="0"/>
    <n v="38"/>
    <s v="38 runs"/>
    <s v="Runs"/>
    <n v="38"/>
    <s v="Normal"/>
    <n v="314"/>
    <x v="0"/>
    <s v="Sharfuddoula"/>
    <s v="Shozab Raza"/>
    <x v="0"/>
    <x v="12"/>
    <x v="1"/>
  </r>
  <r>
    <x v="5"/>
    <x v="5"/>
    <x v="9"/>
    <x v="1"/>
    <s v="Jan 21 2019"/>
    <x v="66"/>
    <n v="3"/>
    <x v="60"/>
    <n v="10"/>
    <x v="55"/>
    <s v="Comilla Victorians"/>
    <s v="field first"/>
    <s v="Kings"/>
    <s v="Rajshahi Kings"/>
    <x v="0"/>
    <s v="Mirpur"/>
    <n v="0"/>
    <n v="38"/>
    <s v="38 runs"/>
    <s v="Runs"/>
    <n v="38"/>
    <s v="Normal"/>
    <n v="314"/>
    <x v="0"/>
    <s v="Sharfuddoula"/>
    <s v="Shozab Raza"/>
    <x v="1"/>
    <x v="8"/>
    <x v="0"/>
  </r>
  <r>
    <x v="5"/>
    <x v="5"/>
    <x v="11"/>
    <x v="1"/>
    <s v="Jan 19 2019"/>
    <x v="112"/>
    <n v="4"/>
    <x v="87"/>
    <n v="8"/>
    <x v="26"/>
    <s v="Khulna Titans"/>
    <s v="field first"/>
    <s v="Vikings"/>
    <s v="Chittagong Vikings"/>
    <x v="4"/>
    <s v="Sylhet"/>
    <n v="0"/>
    <n v="26"/>
    <s v="26 runs"/>
    <s v="Runs"/>
    <n v="26"/>
    <s v="Normal"/>
    <n v="402"/>
    <x v="0"/>
    <s v="Ranmore Martinesz"/>
    <s v="Tanvir Ahmed"/>
    <x v="0"/>
    <x v="11"/>
    <x v="1"/>
  </r>
  <r>
    <x v="5"/>
    <x v="5"/>
    <x v="11"/>
    <x v="1"/>
    <s v="Jan 19 2019"/>
    <x v="112"/>
    <n v="4"/>
    <x v="87"/>
    <n v="8"/>
    <x v="26"/>
    <s v="Khulna Titans"/>
    <s v="field first"/>
    <s v="Vikings"/>
    <s v="Chittagong Vikings"/>
    <x v="4"/>
    <s v="Sylhet"/>
    <n v="0"/>
    <n v="26"/>
    <s v="26 runs"/>
    <s v="Runs"/>
    <n v="26"/>
    <s v="Normal"/>
    <n v="402"/>
    <x v="0"/>
    <s v="Ranmore Martinesz"/>
    <s v="Tanvir Ahmed"/>
    <x v="1"/>
    <x v="13"/>
    <x v="0"/>
  </r>
  <r>
    <x v="5"/>
    <x v="5"/>
    <x v="12"/>
    <x v="1"/>
    <s v="Jan 19 2019"/>
    <x v="47"/>
    <n v="4"/>
    <x v="99"/>
    <n v="6"/>
    <x v="109"/>
    <s v="Rangpur Riders"/>
    <s v="field first"/>
    <s v="Riders"/>
    <s v="Rangpur Riders"/>
    <x v="4"/>
    <s v="Sylhet"/>
    <n v="4"/>
    <n v="0"/>
    <s v="4 wickets"/>
    <s v="Wickets"/>
    <n v="4"/>
    <s v="Close Match"/>
    <n v="389"/>
    <x v="0"/>
    <s v="Alex Wharf"/>
    <s v="Gazi Sohel"/>
    <x v="0"/>
    <x v="14"/>
    <x v="0"/>
  </r>
  <r>
    <x v="5"/>
    <x v="5"/>
    <x v="12"/>
    <x v="1"/>
    <s v="Jan 19 2019"/>
    <x v="47"/>
    <n v="4"/>
    <x v="99"/>
    <n v="6"/>
    <x v="109"/>
    <s v="Rangpur Riders"/>
    <s v="field first"/>
    <s v="Riders"/>
    <s v="Rangpur Riders"/>
    <x v="4"/>
    <s v="Sylhet"/>
    <n v="4"/>
    <n v="0"/>
    <s v="4 wickets"/>
    <s v="Wickets"/>
    <n v="4"/>
    <s v="Close Match"/>
    <n v="389"/>
    <x v="0"/>
    <s v="Alex Wharf"/>
    <s v="Gazi Sohel"/>
    <x v="1"/>
    <x v="6"/>
    <x v="1"/>
  </r>
  <r>
    <x v="5"/>
    <x v="5"/>
    <x v="14"/>
    <x v="1"/>
    <s v="Jan 18 2019"/>
    <x v="62"/>
    <n v="7"/>
    <x v="63"/>
    <n v="7"/>
    <x v="48"/>
    <s v="Comilla Victorians"/>
    <s v="field first"/>
    <s v="Victorians"/>
    <s v="Comilla Victorians"/>
    <x v="4"/>
    <s v="Sylhet"/>
    <n v="3"/>
    <n v="0"/>
    <s v="3 wickets"/>
    <s v="Wickets"/>
    <n v="3"/>
    <s v="Close Match"/>
    <n v="367"/>
    <x v="0"/>
    <s v="Alex Wharf"/>
    <s v="Gazi Sohel"/>
    <x v="0"/>
    <x v="13"/>
    <x v="0"/>
  </r>
  <r>
    <x v="5"/>
    <x v="5"/>
    <x v="14"/>
    <x v="1"/>
    <s v="Jan 18 2019"/>
    <x v="62"/>
    <n v="7"/>
    <x v="63"/>
    <n v="7"/>
    <x v="48"/>
    <s v="Comilla Victorians"/>
    <s v="field first"/>
    <s v="Victorians"/>
    <s v="Comilla Victorians"/>
    <x v="4"/>
    <s v="Sylhet"/>
    <n v="3"/>
    <n v="0"/>
    <s v="3 wickets"/>
    <s v="Wickets"/>
    <n v="3"/>
    <s v="Close Match"/>
    <n v="367"/>
    <x v="0"/>
    <s v="Alex Wharf"/>
    <s v="Gazi Sohel"/>
    <x v="1"/>
    <x v="8"/>
    <x v="1"/>
  </r>
  <r>
    <x v="5"/>
    <x v="5"/>
    <x v="16"/>
    <x v="1"/>
    <s v="Jan 18 2019"/>
    <x v="40"/>
    <n v="8"/>
    <x v="27"/>
    <n v="4"/>
    <x v="16"/>
    <s v="Sylhet Sixers"/>
    <s v="bat first"/>
    <s v="Dynamites"/>
    <s v="Dhaka Dynamites"/>
    <x v="4"/>
    <s v="Sylhet"/>
    <n v="6"/>
    <n v="0"/>
    <s v="6 wickets"/>
    <s v="Wickets"/>
    <n v="6"/>
    <s v="Close Match"/>
    <n v="321"/>
    <x v="0"/>
    <s v="Masudur Rahman"/>
    <s v="Ranmore Martinesz"/>
    <x v="0"/>
    <x v="14"/>
    <x v="0"/>
  </r>
  <r>
    <x v="5"/>
    <x v="5"/>
    <x v="16"/>
    <x v="1"/>
    <s v="Jan 18 2019"/>
    <x v="40"/>
    <n v="8"/>
    <x v="27"/>
    <n v="4"/>
    <x v="16"/>
    <s v="Sylhet Sixers"/>
    <s v="bat first"/>
    <s v="Dynamites"/>
    <s v="Dhaka Dynamites"/>
    <x v="4"/>
    <s v="Sylhet"/>
    <n v="6"/>
    <n v="0"/>
    <s v="6 wickets"/>
    <s v="Wickets"/>
    <n v="6"/>
    <s v="Close Match"/>
    <n v="321"/>
    <x v="0"/>
    <s v="Masudur Rahman"/>
    <s v="Ranmore Martinesz"/>
    <x v="1"/>
    <x v="9"/>
    <x v="1"/>
  </r>
  <r>
    <x v="5"/>
    <x v="5"/>
    <x v="18"/>
    <x v="1"/>
    <s v="Jan 16 2019"/>
    <x v="87"/>
    <n v="5"/>
    <x v="7"/>
    <n v="6"/>
    <x v="44"/>
    <s v="Rangpur Riders"/>
    <s v="field first"/>
    <s v="Sixers"/>
    <s v="Sylhet Sixers"/>
    <x v="4"/>
    <s v="Sylhet"/>
    <n v="0"/>
    <n v="27"/>
    <s v="27 runs"/>
    <s v="Runs"/>
    <n v="27"/>
    <s v="Normal"/>
    <n v="347"/>
    <x v="0"/>
    <s v="Masudur Rahman"/>
    <s v="Ranmore Martinesz"/>
    <x v="0"/>
    <x v="14"/>
    <x v="1"/>
  </r>
  <r>
    <x v="5"/>
    <x v="5"/>
    <x v="18"/>
    <x v="1"/>
    <s v="Jan 16 2019"/>
    <x v="87"/>
    <n v="5"/>
    <x v="7"/>
    <n v="6"/>
    <x v="44"/>
    <s v="Rangpur Riders"/>
    <s v="field first"/>
    <s v="Sixers"/>
    <s v="Sylhet Sixers"/>
    <x v="4"/>
    <s v="Sylhet"/>
    <n v="0"/>
    <n v="27"/>
    <s v="27 runs"/>
    <s v="Runs"/>
    <n v="27"/>
    <s v="Normal"/>
    <n v="347"/>
    <x v="0"/>
    <s v="Masudur Rahman"/>
    <s v="Ranmore Martinesz"/>
    <x v="1"/>
    <x v="6"/>
    <x v="0"/>
  </r>
  <r>
    <x v="5"/>
    <x v="5"/>
    <x v="20"/>
    <x v="1"/>
    <s v="Jan 16 2019"/>
    <x v="68"/>
    <n v="6"/>
    <x v="100"/>
    <n v="9"/>
    <x v="85"/>
    <s v="Rajshahi Kings"/>
    <s v="bat first"/>
    <s v="Kings"/>
    <s v="Rajshahi Kings"/>
    <x v="4"/>
    <s v="Sylhet"/>
    <n v="0"/>
    <n v="20"/>
    <s v="20 runs"/>
    <s v="Runs"/>
    <n v="20"/>
    <s v="Normal"/>
    <n v="252"/>
    <x v="0"/>
    <s v="Alex Wharf"/>
    <s v="Mahfuzur Rahman"/>
    <x v="0"/>
    <x v="12"/>
    <x v="1"/>
  </r>
  <r>
    <x v="5"/>
    <x v="5"/>
    <x v="20"/>
    <x v="1"/>
    <s v="Jan 16 2019"/>
    <x v="68"/>
    <n v="6"/>
    <x v="100"/>
    <n v="9"/>
    <x v="85"/>
    <s v="Rajshahi Kings"/>
    <s v="bat first"/>
    <s v="Kings"/>
    <s v="Rajshahi Kings"/>
    <x v="4"/>
    <s v="Sylhet"/>
    <n v="0"/>
    <n v="20"/>
    <s v="20 runs"/>
    <s v="Runs"/>
    <n v="20"/>
    <s v="Normal"/>
    <n v="252"/>
    <x v="0"/>
    <s v="Alex Wharf"/>
    <s v="Mahfuzur Rahman"/>
    <x v="1"/>
    <x v="9"/>
    <x v="0"/>
  </r>
  <r>
    <x v="5"/>
    <x v="5"/>
    <x v="22"/>
    <x v="1"/>
    <s v="Jan 15 2019"/>
    <x v="113"/>
    <n v="10"/>
    <x v="101"/>
    <n v="2"/>
    <x v="104"/>
    <s v="Comilla Victorians"/>
    <s v="field first"/>
    <s v="Victorians"/>
    <s v="Comilla Victorians"/>
    <x v="4"/>
    <s v="Sylhet"/>
    <n v="8"/>
    <n v="0"/>
    <s v="8 wickets"/>
    <s v="Wickets"/>
    <n v="8"/>
    <s v="Close Match"/>
    <n v="137"/>
    <x v="1"/>
    <s v="Masudur Rahman"/>
    <s v="Ranmore Martinesz"/>
    <x v="0"/>
    <x v="14"/>
    <x v="0"/>
  </r>
  <r>
    <x v="5"/>
    <x v="5"/>
    <x v="22"/>
    <x v="1"/>
    <s v="Jan 15 2019"/>
    <x v="113"/>
    <n v="10"/>
    <x v="101"/>
    <n v="2"/>
    <x v="104"/>
    <s v="Comilla Victorians"/>
    <s v="field first"/>
    <s v="Victorians"/>
    <s v="Comilla Victorians"/>
    <x v="4"/>
    <s v="Sylhet"/>
    <n v="8"/>
    <n v="0"/>
    <s v="8 wickets"/>
    <s v="Wickets"/>
    <n v="8"/>
    <s v="Close Match"/>
    <n v="137"/>
    <x v="1"/>
    <s v="Masudur Rahman"/>
    <s v="Ranmore Martinesz"/>
    <x v="1"/>
    <x v="8"/>
    <x v="1"/>
  </r>
  <r>
    <x v="5"/>
    <x v="5"/>
    <x v="23"/>
    <x v="1"/>
    <s v="Jan 15 2019"/>
    <x v="13"/>
    <n v="9"/>
    <x v="38"/>
    <n v="10"/>
    <x v="119"/>
    <s v="Khulna Titans"/>
    <s v="bat first"/>
    <s v="Titans"/>
    <s v="Khulna Titans"/>
    <x v="4"/>
    <s v="Sylhet"/>
    <n v="0"/>
    <n v="25"/>
    <s v="25 runs"/>
    <s v="Runs"/>
    <n v="25"/>
    <s v="Normal"/>
    <n v="231"/>
    <x v="0"/>
    <s v="Alex Wharf"/>
    <s v="Tanvir Ahmed"/>
    <x v="0"/>
    <x v="13"/>
    <x v="1"/>
  </r>
  <r>
    <x v="5"/>
    <x v="5"/>
    <x v="23"/>
    <x v="1"/>
    <s v="Jan 15 2019"/>
    <x v="13"/>
    <n v="9"/>
    <x v="38"/>
    <n v="10"/>
    <x v="119"/>
    <s v="Khulna Titans"/>
    <s v="bat first"/>
    <s v="Titans"/>
    <s v="Khulna Titans"/>
    <x v="4"/>
    <s v="Sylhet"/>
    <n v="0"/>
    <n v="25"/>
    <s v="25 runs"/>
    <s v="Runs"/>
    <n v="25"/>
    <s v="Normal"/>
    <n v="231"/>
    <x v="0"/>
    <s v="Alex Wharf"/>
    <s v="Tanvir Ahmed"/>
    <x v="1"/>
    <x v="12"/>
    <x v="0"/>
  </r>
  <r>
    <x v="5"/>
    <x v="5"/>
    <x v="25"/>
    <x v="1"/>
    <s v="Jan 13 2019"/>
    <x v="2"/>
    <n v="5"/>
    <x v="63"/>
    <n v="6"/>
    <x v="26"/>
    <s v="Chittagong Vikings"/>
    <s v="field first"/>
    <s v="Vikings"/>
    <s v="Chittagong Vikings"/>
    <x v="0"/>
    <s v="Mirpur"/>
    <n v="4"/>
    <n v="0"/>
    <s v="4 wickets"/>
    <s v="Wickets"/>
    <n v="4"/>
    <s v="Close Match"/>
    <n v="370"/>
    <x v="0"/>
    <s v="Alex Wharf"/>
    <s v="Nadir Shah"/>
    <x v="0"/>
    <x v="8"/>
    <x v="0"/>
  </r>
  <r>
    <x v="5"/>
    <x v="5"/>
    <x v="25"/>
    <x v="1"/>
    <s v="Jan 13 2019"/>
    <x v="2"/>
    <n v="5"/>
    <x v="63"/>
    <n v="6"/>
    <x v="26"/>
    <s v="Chittagong Vikings"/>
    <s v="field first"/>
    <s v="Vikings"/>
    <s v="Chittagong Vikings"/>
    <x v="0"/>
    <s v="Mirpur"/>
    <n v="4"/>
    <n v="0"/>
    <s v="4 wickets"/>
    <s v="Wickets"/>
    <n v="4"/>
    <s v="Close Match"/>
    <n v="370"/>
    <x v="0"/>
    <s v="Alex Wharf"/>
    <s v="Nadir Shah"/>
    <x v="1"/>
    <x v="11"/>
    <x v="1"/>
  </r>
  <r>
    <x v="5"/>
    <x v="5"/>
    <x v="27"/>
    <x v="1"/>
    <s v="Jan 13 2019"/>
    <x v="29"/>
    <n v="8"/>
    <x v="6"/>
    <n v="6"/>
    <x v="110"/>
    <s v="Rangpur Riders"/>
    <s v="field first"/>
    <s v="Kings"/>
    <s v="Rajshahi Kings"/>
    <x v="0"/>
    <s v="Mirpur"/>
    <n v="0"/>
    <n v="5"/>
    <s v="5 runs"/>
    <s v="Runs"/>
    <n v="5"/>
    <s v="Close Match"/>
    <n v="265"/>
    <x v="0"/>
    <s v="Ranmore Martinesz"/>
    <s v="Sharfuddoula"/>
    <x v="0"/>
    <x v="12"/>
    <x v="1"/>
  </r>
  <r>
    <x v="5"/>
    <x v="5"/>
    <x v="27"/>
    <x v="1"/>
    <s v="Jan 13 2019"/>
    <x v="29"/>
    <n v="8"/>
    <x v="6"/>
    <n v="6"/>
    <x v="110"/>
    <s v="Rangpur Riders"/>
    <s v="field first"/>
    <s v="Kings"/>
    <s v="Rajshahi Kings"/>
    <x v="0"/>
    <s v="Mirpur"/>
    <n v="0"/>
    <n v="5"/>
    <s v="5 runs"/>
    <s v="Runs"/>
    <n v="5"/>
    <s v="Close Match"/>
    <n v="265"/>
    <x v="0"/>
    <s v="Ranmore Martinesz"/>
    <s v="Sharfuddoula"/>
    <x v="1"/>
    <x v="6"/>
    <x v="0"/>
  </r>
  <r>
    <x v="5"/>
    <x v="5"/>
    <x v="28"/>
    <x v="1"/>
    <s v="Jan 12 2019"/>
    <x v="99"/>
    <n v="7"/>
    <x v="20"/>
    <n v="9"/>
    <x v="120"/>
    <s v="Dhaka Dynamites"/>
    <s v="bat first"/>
    <s v="Dynamites"/>
    <s v="Dhaka Dynamites"/>
    <x v="0"/>
    <s v="Mirpur"/>
    <n v="0"/>
    <n v="32"/>
    <s v="32 runs"/>
    <s v="Runs"/>
    <n v="32"/>
    <s v="Normal"/>
    <n v="314"/>
    <x v="0"/>
    <s v="Alex Wharf"/>
    <s v="Mahfuzur Rahman"/>
    <x v="0"/>
    <x v="9"/>
    <x v="1"/>
  </r>
  <r>
    <x v="5"/>
    <x v="5"/>
    <x v="28"/>
    <x v="1"/>
    <s v="Jan 12 2019"/>
    <x v="99"/>
    <n v="7"/>
    <x v="20"/>
    <n v="9"/>
    <x v="120"/>
    <s v="Dhaka Dynamites"/>
    <s v="bat first"/>
    <s v="Dynamites"/>
    <s v="Dhaka Dynamites"/>
    <x v="0"/>
    <s v="Mirpur"/>
    <n v="0"/>
    <n v="32"/>
    <s v="32 runs"/>
    <s v="Runs"/>
    <n v="32"/>
    <s v="Normal"/>
    <n v="314"/>
    <x v="0"/>
    <s v="Alex Wharf"/>
    <s v="Mahfuzur Rahman"/>
    <x v="1"/>
    <x v="14"/>
    <x v="0"/>
  </r>
  <r>
    <x v="5"/>
    <x v="5"/>
    <x v="30"/>
    <x v="1"/>
    <s v="Jan 12 2019"/>
    <x v="93"/>
    <n v="6"/>
    <x v="4"/>
    <n v="8"/>
    <x v="62"/>
    <s v="Chittagong Vikings"/>
    <s v="field first"/>
    <s v="Match"/>
    <s v="Chittagong Vikings"/>
    <x v="0"/>
    <s v="Mirpur"/>
    <n v="0"/>
    <n v="0"/>
    <s v="won the"/>
    <s v="Wickets"/>
    <n v="0"/>
    <s v="Close Match"/>
    <n v="302"/>
    <x v="0"/>
    <s v="Morshed Ali Khan"/>
    <s v="Ranmore Martinesz"/>
    <x v="0"/>
    <x v="13"/>
    <x v="0"/>
  </r>
  <r>
    <x v="5"/>
    <x v="5"/>
    <x v="30"/>
    <x v="1"/>
    <s v="Jan 12 2019"/>
    <x v="93"/>
    <n v="6"/>
    <x v="4"/>
    <n v="8"/>
    <x v="62"/>
    <s v="Chittagong Vikings"/>
    <s v="field first"/>
    <s v="Match"/>
    <s v="Chittagong Vikings"/>
    <x v="0"/>
    <s v="Mirpur"/>
    <n v="0"/>
    <n v="0"/>
    <s v="won the"/>
    <s v="Wickets"/>
    <n v="0"/>
    <s v="Close Match"/>
    <n v="302"/>
    <x v="0"/>
    <s v="Morshed Ali Khan"/>
    <s v="Ranmore Martinesz"/>
    <x v="1"/>
    <x v="11"/>
    <x v="1"/>
  </r>
  <r>
    <x v="5"/>
    <x v="5"/>
    <x v="32"/>
    <x v="1"/>
    <s v="Jan 11 2019"/>
    <x v="8"/>
    <n v="10"/>
    <x v="6"/>
    <n v="5"/>
    <x v="43"/>
    <s v="Comilla Victorians"/>
    <s v="field first"/>
    <s v="Victorians"/>
    <s v="Comilla Victorians"/>
    <x v="0"/>
    <s v="Mirpur"/>
    <n v="5"/>
    <n v="0"/>
    <s v="5 wickets"/>
    <s v="Wickets"/>
    <n v="5"/>
    <s v="Close Match"/>
    <n v="254"/>
    <x v="0"/>
    <s v="Alex Wharf"/>
    <s v="Morshed Ali Khan"/>
    <x v="0"/>
    <x v="12"/>
    <x v="0"/>
  </r>
  <r>
    <x v="5"/>
    <x v="5"/>
    <x v="32"/>
    <x v="1"/>
    <s v="Jan 11 2019"/>
    <x v="8"/>
    <n v="10"/>
    <x v="6"/>
    <n v="5"/>
    <x v="43"/>
    <s v="Comilla Victorians"/>
    <s v="field first"/>
    <s v="Victorians"/>
    <s v="Comilla Victorians"/>
    <x v="0"/>
    <s v="Mirpur"/>
    <n v="5"/>
    <n v="0"/>
    <s v="5 wickets"/>
    <s v="Wickets"/>
    <n v="5"/>
    <s v="Close Match"/>
    <n v="254"/>
    <x v="0"/>
    <s v="Alex Wharf"/>
    <s v="Morshed Ali Khan"/>
    <x v="1"/>
    <x v="8"/>
    <x v="1"/>
  </r>
  <r>
    <x v="5"/>
    <x v="5"/>
    <x v="33"/>
    <x v="1"/>
    <s v="Jan 11 2019"/>
    <x v="63"/>
    <n v="9"/>
    <x v="102"/>
    <n v="9"/>
    <x v="121"/>
    <s v="Rangpur Riders"/>
    <s v="field first"/>
    <s v="Dynamites"/>
    <s v="Dhaka Dynamites"/>
    <x v="0"/>
    <s v="Mirpur"/>
    <n v="0"/>
    <n v="2"/>
    <s v="2 runs"/>
    <s v="Runs"/>
    <n v="2"/>
    <s v="Close Match"/>
    <n v="364"/>
    <x v="0"/>
    <s v="Masudur Rahman"/>
    <s v="Ranmore Martinesz"/>
    <x v="0"/>
    <x v="9"/>
    <x v="1"/>
  </r>
  <r>
    <x v="5"/>
    <x v="5"/>
    <x v="33"/>
    <x v="1"/>
    <s v="Jan 11 2019"/>
    <x v="63"/>
    <n v="9"/>
    <x v="102"/>
    <n v="9"/>
    <x v="121"/>
    <s v="Rangpur Riders"/>
    <s v="field first"/>
    <s v="Dynamites"/>
    <s v="Dhaka Dynamites"/>
    <x v="0"/>
    <s v="Mirpur"/>
    <n v="0"/>
    <n v="2"/>
    <s v="2 runs"/>
    <s v="Runs"/>
    <n v="2"/>
    <s v="Close Match"/>
    <n v="364"/>
    <x v="0"/>
    <s v="Masudur Rahman"/>
    <s v="Ranmore Martinesz"/>
    <x v="1"/>
    <x v="6"/>
    <x v="0"/>
  </r>
  <r>
    <x v="5"/>
    <x v="5"/>
    <x v="34"/>
    <x v="1"/>
    <s v="Jan 9 2019"/>
    <x v="114"/>
    <n v="9"/>
    <x v="103"/>
    <n v="3"/>
    <x v="122"/>
    <s v="Khulna Titans"/>
    <s v="bat first"/>
    <s v="Kings"/>
    <s v="Rajshahi Kings"/>
    <x v="0"/>
    <s v="Mirpur"/>
    <n v="7"/>
    <n v="0"/>
    <s v="7 wickets"/>
    <s v="Wickets"/>
    <n v="7"/>
    <s v="Close Match"/>
    <n v="235"/>
    <x v="0"/>
    <s v="Alex Wharf"/>
    <s v="Nadir Shah"/>
    <x v="0"/>
    <x v="13"/>
    <x v="0"/>
  </r>
  <r>
    <x v="5"/>
    <x v="5"/>
    <x v="34"/>
    <x v="1"/>
    <s v="Jan 9 2019"/>
    <x v="114"/>
    <n v="9"/>
    <x v="103"/>
    <n v="3"/>
    <x v="122"/>
    <s v="Khulna Titans"/>
    <s v="bat first"/>
    <s v="Kings"/>
    <s v="Rajshahi Kings"/>
    <x v="0"/>
    <s v="Mirpur"/>
    <n v="7"/>
    <n v="0"/>
    <s v="7 wickets"/>
    <s v="Wickets"/>
    <n v="7"/>
    <s v="Close Match"/>
    <n v="235"/>
    <x v="0"/>
    <s v="Alex Wharf"/>
    <s v="Nadir Shah"/>
    <x v="1"/>
    <x v="12"/>
    <x v="1"/>
  </r>
  <r>
    <x v="5"/>
    <x v="5"/>
    <x v="35"/>
    <x v="1"/>
    <s v="Jan 9 2019"/>
    <x v="18"/>
    <n v="5"/>
    <x v="27"/>
    <n v="7"/>
    <x v="106"/>
    <s v="Sylhet Sixers"/>
    <s v="bat first"/>
    <s v="Sixers"/>
    <s v="Sylhet Sixers"/>
    <x v="0"/>
    <s v="Mirpur"/>
    <n v="0"/>
    <n v="5"/>
    <s v="5 runs"/>
    <s v="Runs"/>
    <n v="5"/>
    <s v="Close Match"/>
    <n v="331"/>
    <x v="0"/>
    <s v="Mahfuzur Rahman"/>
    <s v="Ranmore Martinesz"/>
    <x v="0"/>
    <x v="14"/>
    <x v="1"/>
  </r>
  <r>
    <x v="5"/>
    <x v="5"/>
    <x v="35"/>
    <x v="1"/>
    <s v="Jan 9 2019"/>
    <x v="18"/>
    <n v="5"/>
    <x v="27"/>
    <n v="7"/>
    <x v="106"/>
    <s v="Sylhet Sixers"/>
    <s v="bat first"/>
    <s v="Sixers"/>
    <s v="Sylhet Sixers"/>
    <x v="0"/>
    <s v="Mirpur"/>
    <n v="0"/>
    <n v="5"/>
    <s v="5 runs"/>
    <s v="Runs"/>
    <n v="5"/>
    <s v="Close Match"/>
    <n v="331"/>
    <x v="0"/>
    <s v="Mahfuzur Rahman"/>
    <s v="Ranmore Martinesz"/>
    <x v="1"/>
    <x v="11"/>
    <x v="0"/>
  </r>
  <r>
    <x v="5"/>
    <x v="5"/>
    <x v="36"/>
    <x v="1"/>
    <s v="Jan 8 2019"/>
    <x v="115"/>
    <n v="10"/>
    <x v="70"/>
    <n v="1"/>
    <x v="92"/>
    <s v="Rangpur Riders"/>
    <s v="field first"/>
    <s v="Riders"/>
    <s v="Rangpur Riders"/>
    <x v="0"/>
    <s v="Mirpur"/>
    <n v="9"/>
    <n v="0"/>
    <s v="9 wickets"/>
    <s v="Wickets"/>
    <n v="9"/>
    <s v="Close Match"/>
    <n v="130"/>
    <x v="1"/>
    <s v="Mahfuzur Rahman"/>
    <s v="Ranmore Martinesz"/>
    <x v="0"/>
    <x v="8"/>
    <x v="0"/>
  </r>
  <r>
    <x v="5"/>
    <x v="5"/>
    <x v="36"/>
    <x v="1"/>
    <s v="Jan 8 2019"/>
    <x v="115"/>
    <n v="10"/>
    <x v="70"/>
    <n v="1"/>
    <x v="92"/>
    <s v="Rangpur Riders"/>
    <s v="field first"/>
    <s v="Riders"/>
    <s v="Rangpur Riders"/>
    <x v="0"/>
    <s v="Mirpur"/>
    <n v="9"/>
    <n v="0"/>
    <s v="9 wickets"/>
    <s v="Wickets"/>
    <n v="9"/>
    <s v="Close Match"/>
    <n v="130"/>
    <x v="1"/>
    <s v="Mahfuzur Rahman"/>
    <s v="Ranmore Martinesz"/>
    <x v="1"/>
    <x v="6"/>
    <x v="1"/>
  </r>
  <r>
    <x v="5"/>
    <x v="5"/>
    <x v="37"/>
    <x v="1"/>
    <s v="Jan 8 2019"/>
    <x v="17"/>
    <n v="6"/>
    <x v="104"/>
    <n v="10"/>
    <x v="123"/>
    <s v="Khulna Titans"/>
    <s v="field first"/>
    <s v="Dynamites"/>
    <s v="Dhaka Dynamites"/>
    <x v="0"/>
    <s v="Mirpur"/>
    <n v="0"/>
    <n v="105"/>
    <s v="105 runs"/>
    <s v="Runs"/>
    <n v="105"/>
    <s v="Normal"/>
    <n v="279"/>
    <x v="0"/>
    <s v="Alex Wharf"/>
    <s v="Nadir Shah"/>
    <x v="0"/>
    <x v="9"/>
    <x v="1"/>
  </r>
  <r>
    <x v="5"/>
    <x v="5"/>
    <x v="37"/>
    <x v="1"/>
    <s v="Jan 8 2019"/>
    <x v="17"/>
    <n v="6"/>
    <x v="104"/>
    <n v="10"/>
    <x v="123"/>
    <s v="Khulna Titans"/>
    <s v="field first"/>
    <s v="Dynamites"/>
    <s v="Dhaka Dynamites"/>
    <x v="0"/>
    <s v="Mirpur"/>
    <n v="0"/>
    <n v="105"/>
    <s v="105 runs"/>
    <s v="Runs"/>
    <n v="105"/>
    <s v="Normal"/>
    <n v="279"/>
    <x v="0"/>
    <s v="Alex Wharf"/>
    <s v="Nadir Shah"/>
    <x v="1"/>
    <x v="13"/>
    <x v="0"/>
  </r>
  <r>
    <x v="5"/>
    <x v="5"/>
    <x v="38"/>
    <x v="1"/>
    <s v="Jan 6 2019"/>
    <x v="101"/>
    <n v="3"/>
    <x v="66"/>
    <n v="5"/>
    <x v="109"/>
    <s v="Khulna Titans"/>
    <s v="field first"/>
    <s v="Riders"/>
    <s v="Rangpur Riders"/>
    <x v="0"/>
    <s v="Mirpur"/>
    <n v="0"/>
    <n v="8"/>
    <s v="8 runs"/>
    <s v="Runs"/>
    <n v="8"/>
    <s v="Close Match"/>
    <n v="330"/>
    <x v="0"/>
    <s v="Alex Wharf"/>
    <s v="Sharfuddoula"/>
    <x v="0"/>
    <x v="6"/>
    <x v="1"/>
  </r>
  <r>
    <x v="5"/>
    <x v="5"/>
    <x v="38"/>
    <x v="1"/>
    <s v="Jan 6 2019"/>
    <x v="101"/>
    <n v="3"/>
    <x v="66"/>
    <n v="5"/>
    <x v="109"/>
    <s v="Khulna Titans"/>
    <s v="field first"/>
    <s v="Riders"/>
    <s v="Rangpur Riders"/>
    <x v="0"/>
    <s v="Mirpur"/>
    <n v="0"/>
    <n v="8"/>
    <s v="8 runs"/>
    <s v="Runs"/>
    <n v="8"/>
    <s v="Close Match"/>
    <n v="330"/>
    <x v="0"/>
    <s v="Alex Wharf"/>
    <s v="Sharfuddoula"/>
    <x v="1"/>
    <x v="13"/>
    <x v="0"/>
  </r>
  <r>
    <x v="5"/>
    <x v="5"/>
    <x v="39"/>
    <x v="1"/>
    <s v="Jan 6 2019"/>
    <x v="54"/>
    <n v="8"/>
    <x v="6"/>
    <n v="6"/>
    <x v="43"/>
    <s v="Comilla Victorians"/>
    <s v="field first"/>
    <s v="Victorians"/>
    <s v="Comilla Victorians"/>
    <x v="0"/>
    <s v="Mirpur"/>
    <n v="4"/>
    <n v="0"/>
    <s v="4 wickets"/>
    <s v="Wickets"/>
    <n v="4"/>
    <s v="Close Match"/>
    <n v="257"/>
    <x v="0"/>
    <s v="Masudur Rahman"/>
    <s v="Ranmore Martinesz"/>
    <x v="0"/>
    <x v="14"/>
    <x v="0"/>
  </r>
  <r>
    <x v="5"/>
    <x v="5"/>
    <x v="39"/>
    <x v="1"/>
    <s v="Jan 6 2019"/>
    <x v="54"/>
    <n v="8"/>
    <x v="6"/>
    <n v="6"/>
    <x v="43"/>
    <s v="Comilla Victorians"/>
    <s v="field first"/>
    <s v="Victorians"/>
    <s v="Comilla Victorians"/>
    <x v="0"/>
    <s v="Mirpur"/>
    <n v="4"/>
    <n v="0"/>
    <s v="4 wickets"/>
    <s v="Wickets"/>
    <n v="4"/>
    <s v="Close Match"/>
    <n v="257"/>
    <x v="0"/>
    <s v="Masudur Rahman"/>
    <s v="Ranmore Martinesz"/>
    <x v="1"/>
    <x v="8"/>
    <x v="1"/>
  </r>
  <r>
    <x v="5"/>
    <x v="5"/>
    <x v="1"/>
    <x v="1"/>
    <s v="Jan 5 2019"/>
    <x v="55"/>
    <n v="5"/>
    <x v="81"/>
    <n v="10"/>
    <x v="123"/>
    <s v="Rajshahi Kings"/>
    <s v="field first"/>
    <s v="Dynamites"/>
    <s v="Dhaka Dynamites"/>
    <x v="0"/>
    <s v="Mirpur"/>
    <n v="0"/>
    <n v="83"/>
    <s v="83 runs"/>
    <s v="Runs"/>
    <n v="83"/>
    <s v="Normal"/>
    <n v="295"/>
    <x v="0"/>
    <s v="Masudur Rahman"/>
    <s v="Ranmore Martinesz"/>
    <x v="0"/>
    <x v="9"/>
    <x v="1"/>
  </r>
  <r>
    <x v="5"/>
    <x v="5"/>
    <x v="1"/>
    <x v="1"/>
    <s v="Jan 5 2019"/>
    <x v="55"/>
    <n v="5"/>
    <x v="81"/>
    <n v="10"/>
    <x v="123"/>
    <s v="Rajshahi Kings"/>
    <s v="field first"/>
    <s v="Dynamites"/>
    <s v="Dhaka Dynamites"/>
    <x v="0"/>
    <s v="Mirpur"/>
    <n v="0"/>
    <n v="83"/>
    <s v="83 runs"/>
    <s v="Runs"/>
    <n v="83"/>
    <s v="Normal"/>
    <n v="295"/>
    <x v="0"/>
    <s v="Masudur Rahman"/>
    <s v="Ranmore Martinesz"/>
    <x v="1"/>
    <x v="12"/>
    <x v="0"/>
  </r>
  <r>
    <x v="5"/>
    <x v="5"/>
    <x v="2"/>
    <x v="1"/>
    <s v="Jan 5 2019"/>
    <x v="116"/>
    <n v="10"/>
    <x v="105"/>
    <n v="7"/>
    <x v="62"/>
    <s v="Chittagong Vikings"/>
    <s v="field first"/>
    <s v="Vikings"/>
    <s v="Chittagong Vikings"/>
    <x v="0"/>
    <s v="Mirpur"/>
    <n v="3"/>
    <n v="0"/>
    <s v="3 wickets"/>
    <s v="Wickets"/>
    <n v="3"/>
    <s v="Close Match"/>
    <n v="199"/>
    <x v="0"/>
    <s v="Alex Wharf"/>
    <s v="Sharfuddoula"/>
    <x v="0"/>
    <x v="6"/>
    <x v="0"/>
  </r>
  <r>
    <x v="5"/>
    <x v="5"/>
    <x v="2"/>
    <x v="1"/>
    <s v="Jan 5 2019"/>
    <x v="116"/>
    <n v="10"/>
    <x v="105"/>
    <n v="7"/>
    <x v="62"/>
    <s v="Chittagong Vikings"/>
    <s v="field first"/>
    <s v="Vikings"/>
    <s v="Chittagong Vikings"/>
    <x v="0"/>
    <s v="Mirpur"/>
    <n v="3"/>
    <n v="0"/>
    <s v="3 wickets"/>
    <s v="Wickets"/>
    <n v="3"/>
    <s v="Close Match"/>
    <n v="199"/>
    <x v="0"/>
    <s v="Alex Wharf"/>
    <s v="Sharfuddoula"/>
    <x v="1"/>
    <x v="11"/>
    <x v="1"/>
  </r>
  <r>
    <x v="6"/>
    <x v="6"/>
    <x v="42"/>
    <x v="1"/>
    <s v="Jan 7 2020"/>
    <x v="80"/>
    <n v="8"/>
    <x v="106"/>
    <n v="3"/>
    <x v="111"/>
    <s v="Chattogram Challengers"/>
    <s v="field first"/>
    <s v="Challengers"/>
    <s v="Chattogram Challengers"/>
    <x v="0"/>
    <s v="Mirpur"/>
    <n v="7"/>
    <n v="0"/>
    <s v="7 wickets"/>
    <s v="Wickets"/>
    <n v="7"/>
    <s v="Close Match"/>
    <n v="336"/>
    <x v="0"/>
    <s v="David Millns"/>
    <s v="Morshed Ali Khan"/>
    <x v="0"/>
    <x v="15"/>
    <x v="0"/>
  </r>
  <r>
    <x v="6"/>
    <x v="6"/>
    <x v="42"/>
    <x v="1"/>
    <s v="Jan 7 2020"/>
    <x v="80"/>
    <n v="8"/>
    <x v="106"/>
    <n v="3"/>
    <x v="111"/>
    <s v="Chattogram Challengers"/>
    <s v="field first"/>
    <s v="Challengers"/>
    <s v="Chattogram Challengers"/>
    <x v="0"/>
    <s v="Mirpur"/>
    <n v="7"/>
    <n v="0"/>
    <s v="7 wickets"/>
    <s v="Wickets"/>
    <n v="7"/>
    <s v="Close Match"/>
    <n v="336"/>
    <x v="0"/>
    <s v="David Millns"/>
    <s v="Morshed Ali Khan"/>
    <x v="1"/>
    <x v="17"/>
    <x v="1"/>
  </r>
  <r>
    <x v="6"/>
    <x v="6"/>
    <x v="43"/>
    <x v="1"/>
    <s v="Jan 7 2020"/>
    <x v="45"/>
    <n v="5"/>
    <x v="46"/>
    <n v="5"/>
    <x v="101"/>
    <s v="Cumilla Warriors"/>
    <s v="field first"/>
    <s v="Warriors"/>
    <s v="Cumilla Warriors"/>
    <x v="0"/>
    <s v="Mirpur"/>
    <n v="5"/>
    <n v="0"/>
    <s v="5 wickets"/>
    <s v="Wickets"/>
    <n v="5"/>
    <s v="Close Match"/>
    <n v="283"/>
    <x v="0"/>
    <s v="Gazi Sohel"/>
    <s v="Prageeth Rambukwella"/>
    <x v="0"/>
    <x v="24"/>
    <x v="0"/>
  </r>
  <r>
    <x v="6"/>
    <x v="6"/>
    <x v="43"/>
    <x v="1"/>
    <s v="Jan 7 2020"/>
    <x v="45"/>
    <n v="5"/>
    <x v="46"/>
    <n v="5"/>
    <x v="101"/>
    <s v="Cumilla Warriors"/>
    <s v="field first"/>
    <s v="Warriors"/>
    <s v="Cumilla Warriors"/>
    <x v="0"/>
    <s v="Mirpur"/>
    <n v="5"/>
    <n v="0"/>
    <s v="5 wickets"/>
    <s v="Wickets"/>
    <n v="5"/>
    <s v="Close Match"/>
    <n v="283"/>
    <x v="0"/>
    <s v="Gazi Sohel"/>
    <s v="Prageeth Rambukwella"/>
    <x v="1"/>
    <x v="19"/>
    <x v="1"/>
  </r>
  <r>
    <x v="6"/>
    <x v="6"/>
    <x v="44"/>
    <x v="1"/>
    <s v="Jan 4 2020"/>
    <x v="106"/>
    <n v="6"/>
    <x v="21"/>
    <n v="4"/>
    <x v="40"/>
    <s v="Sylhet Thunder"/>
    <s v="bat first"/>
    <s v="Royals"/>
    <s v="Rajshahi Royals"/>
    <x v="4"/>
    <s v="Sylhet"/>
    <n v="6"/>
    <n v="0"/>
    <s v="6 wickets"/>
    <s v="Wickets"/>
    <n v="6"/>
    <s v="Close Match"/>
    <n v="288"/>
    <x v="0"/>
    <s v="Prageeth Rambukwella"/>
    <s v="Tanvir Ahmed"/>
    <x v="0"/>
    <x v="24"/>
    <x v="0"/>
  </r>
  <r>
    <x v="6"/>
    <x v="6"/>
    <x v="44"/>
    <x v="1"/>
    <s v="Jan 4 2020"/>
    <x v="106"/>
    <n v="6"/>
    <x v="21"/>
    <n v="4"/>
    <x v="40"/>
    <s v="Sylhet Thunder"/>
    <s v="bat first"/>
    <s v="Royals"/>
    <s v="Rajshahi Royals"/>
    <x v="4"/>
    <s v="Sylhet"/>
    <n v="6"/>
    <n v="0"/>
    <s v="6 wickets"/>
    <s v="Wickets"/>
    <n v="6"/>
    <s v="Close Match"/>
    <n v="288"/>
    <x v="0"/>
    <s v="Prageeth Rambukwella"/>
    <s v="Tanvir Ahmed"/>
    <x v="1"/>
    <x v="15"/>
    <x v="1"/>
  </r>
  <r>
    <x v="6"/>
    <x v="6"/>
    <x v="45"/>
    <x v="1"/>
    <s v="Jan 4 2020"/>
    <x v="35"/>
    <n v="10"/>
    <x v="56"/>
    <n v="4"/>
    <x v="67"/>
    <s v="Chattogram Challengers"/>
    <s v="field first"/>
    <s v="Challengers"/>
    <s v="Chattogram Challengers"/>
    <x v="4"/>
    <s v="Sylhet"/>
    <n v="6"/>
    <n v="0"/>
    <s v="6 wickets"/>
    <s v="Wickets"/>
    <n v="6"/>
    <s v="Close Match"/>
    <n v="245"/>
    <x v="0"/>
    <s v="David Millns"/>
    <s v="Mahfuzur Rahman"/>
    <x v="0"/>
    <x v="16"/>
    <x v="0"/>
  </r>
  <r>
    <x v="6"/>
    <x v="6"/>
    <x v="45"/>
    <x v="1"/>
    <s v="Jan 4 2020"/>
    <x v="35"/>
    <n v="10"/>
    <x v="56"/>
    <n v="4"/>
    <x v="67"/>
    <s v="Chattogram Challengers"/>
    <s v="field first"/>
    <s v="Challengers"/>
    <s v="Chattogram Challengers"/>
    <x v="4"/>
    <s v="Sylhet"/>
    <n v="6"/>
    <n v="0"/>
    <s v="6 wickets"/>
    <s v="Wickets"/>
    <n v="6"/>
    <s v="Close Match"/>
    <n v="245"/>
    <x v="0"/>
    <s v="David Millns"/>
    <s v="Mahfuzur Rahman"/>
    <x v="1"/>
    <x v="17"/>
    <x v="1"/>
  </r>
  <r>
    <x v="6"/>
    <x v="6"/>
    <x v="46"/>
    <x v="1"/>
    <s v="Jan 3 2020"/>
    <x v="51"/>
    <n v="5"/>
    <x v="66"/>
    <n v="10"/>
    <x v="124"/>
    <s v="Sylhet Thunder"/>
    <s v="field first"/>
    <s v="Rangers"/>
    <s v="Rangpur Rangers"/>
    <x v="4"/>
    <s v="Sylhet"/>
    <n v="0"/>
    <n v="38"/>
    <s v="38 runs"/>
    <s v="Runs"/>
    <n v="38"/>
    <s v="Normal"/>
    <n v="360"/>
    <x v="0"/>
    <s v="David Millns"/>
    <s v="Gazi Sohel"/>
    <x v="0"/>
    <x v="20"/>
    <x v="1"/>
  </r>
  <r>
    <x v="6"/>
    <x v="6"/>
    <x v="46"/>
    <x v="1"/>
    <s v="Jan 3 2020"/>
    <x v="51"/>
    <n v="5"/>
    <x v="66"/>
    <n v="10"/>
    <x v="124"/>
    <s v="Sylhet Thunder"/>
    <s v="field first"/>
    <s v="Rangers"/>
    <s v="Rangpur Rangers"/>
    <x v="4"/>
    <s v="Sylhet"/>
    <n v="0"/>
    <n v="38"/>
    <s v="38 runs"/>
    <s v="Runs"/>
    <n v="38"/>
    <s v="Normal"/>
    <n v="360"/>
    <x v="0"/>
    <s v="David Millns"/>
    <s v="Gazi Sohel"/>
    <x v="1"/>
    <x v="24"/>
    <x v="0"/>
  </r>
  <r>
    <x v="6"/>
    <x v="6"/>
    <x v="47"/>
    <x v="1"/>
    <s v="Jan 3 2020"/>
    <x v="9"/>
    <n v="4"/>
    <x v="7"/>
    <n v="8"/>
    <x v="125"/>
    <s v="Khulna Tigers"/>
    <s v="field first"/>
    <s v="Platoon"/>
    <s v="Dhaka Platoon"/>
    <x v="4"/>
    <s v="Sylhet"/>
    <n v="0"/>
    <n v="12"/>
    <s v="12 runs"/>
    <s v="Runs"/>
    <n v="12"/>
    <s v="Normal"/>
    <n v="332"/>
    <x v="0"/>
    <s v="Prageeth Rambukwella"/>
    <s v="Tanvir Ahmed"/>
    <x v="0"/>
    <x v="18"/>
    <x v="1"/>
  </r>
  <r>
    <x v="6"/>
    <x v="6"/>
    <x v="47"/>
    <x v="1"/>
    <s v="Jan 3 2020"/>
    <x v="9"/>
    <n v="4"/>
    <x v="7"/>
    <n v="8"/>
    <x v="125"/>
    <s v="Khulna Tigers"/>
    <s v="field first"/>
    <s v="Platoon"/>
    <s v="Dhaka Platoon"/>
    <x v="4"/>
    <s v="Sylhet"/>
    <n v="0"/>
    <n v="12"/>
    <s v="12 runs"/>
    <s v="Runs"/>
    <n v="12"/>
    <s v="Normal"/>
    <n v="332"/>
    <x v="0"/>
    <s v="Prageeth Rambukwella"/>
    <s v="Tanvir Ahmed"/>
    <x v="1"/>
    <x v="16"/>
    <x v="0"/>
  </r>
  <r>
    <x v="6"/>
    <x v="6"/>
    <x v="48"/>
    <x v="1"/>
    <s v="Jan 2 2020"/>
    <x v="0"/>
    <n v="9"/>
    <x v="68"/>
    <n v="10"/>
    <x v="126"/>
    <s v="Sylhet Thunder"/>
    <s v="field first"/>
    <s v="Match"/>
    <s v="Sylhet Thunder"/>
    <x v="4"/>
    <s v="Sylhet"/>
    <n v="0"/>
    <n v="0"/>
    <s v="won the"/>
    <s v="Wickets"/>
    <n v="0"/>
    <s v="Close Match"/>
    <n v="280"/>
    <x v="0"/>
    <s v="Masudur Rahman"/>
    <s v="Prageeth Rambukwella"/>
    <x v="0"/>
    <x v="19"/>
    <x v="0"/>
  </r>
  <r>
    <x v="6"/>
    <x v="6"/>
    <x v="48"/>
    <x v="1"/>
    <s v="Jan 2 2020"/>
    <x v="0"/>
    <n v="9"/>
    <x v="68"/>
    <n v="10"/>
    <x v="126"/>
    <s v="Sylhet Thunder"/>
    <s v="field first"/>
    <s v="Match"/>
    <s v="Sylhet Thunder"/>
    <x v="4"/>
    <s v="Sylhet"/>
    <n v="0"/>
    <n v="0"/>
    <s v="won the"/>
    <s v="Wickets"/>
    <n v="0"/>
    <s v="Close Match"/>
    <n v="280"/>
    <x v="0"/>
    <s v="Masudur Rahman"/>
    <s v="Prageeth Rambukwella"/>
    <x v="1"/>
    <x v="24"/>
    <x v="1"/>
  </r>
  <r>
    <x v="6"/>
    <x v="6"/>
    <x v="3"/>
    <x v="1"/>
    <s v="Jan 2 2020"/>
    <x v="60"/>
    <n v="4"/>
    <x v="47"/>
    <n v="7"/>
    <x v="34"/>
    <s v="Rangpur Rangers"/>
    <s v="field first"/>
    <s v="Royals"/>
    <s v="Rajshahi Royals"/>
    <x v="4"/>
    <s v="Sylhet"/>
    <n v="0"/>
    <n v="30"/>
    <s v="30 runs"/>
    <s v="Runs"/>
    <n v="30"/>
    <s v="Normal"/>
    <n v="328"/>
    <x v="0"/>
    <s v="David Millns"/>
    <s v="Mahfuzur Rahman"/>
    <x v="0"/>
    <x v="15"/>
    <x v="1"/>
  </r>
  <r>
    <x v="6"/>
    <x v="6"/>
    <x v="3"/>
    <x v="1"/>
    <s v="Jan 2 2020"/>
    <x v="60"/>
    <n v="4"/>
    <x v="47"/>
    <n v="7"/>
    <x v="34"/>
    <s v="Rangpur Rangers"/>
    <s v="field first"/>
    <s v="Royals"/>
    <s v="Rajshahi Royals"/>
    <x v="4"/>
    <s v="Sylhet"/>
    <n v="0"/>
    <n v="30"/>
    <s v="30 runs"/>
    <s v="Runs"/>
    <n v="30"/>
    <s v="Normal"/>
    <n v="328"/>
    <x v="0"/>
    <s v="David Millns"/>
    <s v="Mahfuzur Rahman"/>
    <x v="1"/>
    <x v="20"/>
    <x v="0"/>
  </r>
  <r>
    <x v="6"/>
    <x v="6"/>
    <x v="4"/>
    <x v="1"/>
    <s v="Dec 31 2019"/>
    <x v="69"/>
    <n v="6"/>
    <x v="45"/>
    <n v="8"/>
    <x v="60"/>
    <s v="Rajshahi Royals"/>
    <s v="field first"/>
    <s v="Rangers"/>
    <s v="Rangpur Rangers"/>
    <x v="0"/>
    <s v="Mirpur"/>
    <n v="0"/>
    <n v="47"/>
    <s v="47 runs"/>
    <s v="Runs"/>
    <n v="47"/>
    <s v="Normal"/>
    <n v="317"/>
    <x v="0"/>
    <s v="David Millns"/>
    <s v="Tanvir Ahmed"/>
    <x v="0"/>
    <x v="20"/>
    <x v="1"/>
  </r>
  <r>
    <x v="6"/>
    <x v="6"/>
    <x v="4"/>
    <x v="1"/>
    <s v="Dec 31 2019"/>
    <x v="69"/>
    <n v="6"/>
    <x v="45"/>
    <n v="8"/>
    <x v="60"/>
    <s v="Rajshahi Royals"/>
    <s v="field first"/>
    <s v="Rangers"/>
    <s v="Rangpur Rangers"/>
    <x v="0"/>
    <s v="Mirpur"/>
    <n v="0"/>
    <n v="47"/>
    <s v="47 runs"/>
    <s v="Runs"/>
    <n v="47"/>
    <s v="Normal"/>
    <n v="317"/>
    <x v="0"/>
    <s v="David Millns"/>
    <s v="Tanvir Ahmed"/>
    <x v="1"/>
    <x v="15"/>
    <x v="0"/>
  </r>
  <r>
    <x v="6"/>
    <x v="6"/>
    <x v="5"/>
    <x v="1"/>
    <s v="Dec 31 2019"/>
    <x v="37"/>
    <n v="6"/>
    <x v="66"/>
    <n v="8"/>
    <x v="101"/>
    <s v="Cumilla Warriors"/>
    <s v="field first"/>
    <s v="Warriors"/>
    <s v="Cumilla Warriors"/>
    <x v="0"/>
    <s v="Mirpur"/>
    <n v="2"/>
    <n v="0"/>
    <s v="2 wickets"/>
    <s v="Wickets"/>
    <n v="2"/>
    <s v="Close Match"/>
    <n v="320"/>
    <x v="0"/>
    <s v="Masudur Rahman"/>
    <s v="Prageeth Rambukwella"/>
    <x v="0"/>
    <x v="17"/>
    <x v="0"/>
  </r>
  <r>
    <x v="6"/>
    <x v="6"/>
    <x v="5"/>
    <x v="1"/>
    <s v="Dec 31 2019"/>
    <x v="37"/>
    <n v="6"/>
    <x v="66"/>
    <n v="8"/>
    <x v="101"/>
    <s v="Cumilla Warriors"/>
    <s v="field first"/>
    <s v="Warriors"/>
    <s v="Cumilla Warriors"/>
    <x v="0"/>
    <s v="Mirpur"/>
    <n v="2"/>
    <n v="0"/>
    <s v="2 wickets"/>
    <s v="Wickets"/>
    <n v="2"/>
    <s v="Close Match"/>
    <n v="320"/>
    <x v="0"/>
    <s v="Masudur Rahman"/>
    <s v="Prageeth Rambukwella"/>
    <x v="1"/>
    <x v="19"/>
    <x v="1"/>
  </r>
  <r>
    <x v="6"/>
    <x v="6"/>
    <x v="6"/>
    <x v="1"/>
    <s v="Dec 30 2019"/>
    <x v="48"/>
    <n v="5"/>
    <x v="92"/>
    <n v="10"/>
    <x v="127"/>
    <s v="Rajshahi Royals"/>
    <s v="field first"/>
    <s v="Platoon"/>
    <s v="Dhaka Platoon"/>
    <x v="0"/>
    <s v="Mirpur"/>
    <n v="0"/>
    <n v="74"/>
    <s v="74 runs"/>
    <s v="Runs"/>
    <n v="74"/>
    <s v="Normal"/>
    <n v="274"/>
    <x v="0"/>
    <s v="D Milns"/>
    <s v="Tanvir Ahmed"/>
    <x v="0"/>
    <x v="18"/>
    <x v="1"/>
  </r>
  <r>
    <x v="6"/>
    <x v="6"/>
    <x v="6"/>
    <x v="1"/>
    <s v="Dec 30 2019"/>
    <x v="48"/>
    <n v="5"/>
    <x v="92"/>
    <n v="10"/>
    <x v="127"/>
    <s v="Rajshahi Royals"/>
    <s v="field first"/>
    <s v="Platoon"/>
    <s v="Dhaka Platoon"/>
    <x v="0"/>
    <s v="Mirpur"/>
    <n v="0"/>
    <n v="74"/>
    <s v="74 runs"/>
    <s v="Runs"/>
    <n v="74"/>
    <s v="Normal"/>
    <n v="274"/>
    <x v="0"/>
    <s v="D Milns"/>
    <s v="Tanvir Ahmed"/>
    <x v="1"/>
    <x v="15"/>
    <x v="0"/>
  </r>
  <r>
    <x v="6"/>
    <x v="6"/>
    <x v="7"/>
    <x v="1"/>
    <s v="Dec 30 2019"/>
    <x v="97"/>
    <n v="9"/>
    <x v="107"/>
    <n v="3"/>
    <x v="63"/>
    <s v="Rangpur Rangers"/>
    <s v="field first"/>
    <s v="Rangers"/>
    <s v="Rangpur Rangers"/>
    <x v="0"/>
    <s v="Mirpur"/>
    <n v="7"/>
    <n v="0"/>
    <s v="7 wickets"/>
    <s v="Wickets"/>
    <n v="7"/>
    <s v="Close Match"/>
    <n v="267"/>
    <x v="0"/>
    <s v="Moniruzzaman"/>
    <s v="Prageeth Rambukwella"/>
    <x v="0"/>
    <x v="24"/>
    <x v="0"/>
  </r>
  <r>
    <x v="6"/>
    <x v="6"/>
    <x v="7"/>
    <x v="1"/>
    <s v="Dec 30 2019"/>
    <x v="97"/>
    <n v="9"/>
    <x v="107"/>
    <n v="3"/>
    <x v="63"/>
    <s v="Rangpur Rangers"/>
    <s v="field first"/>
    <s v="Rangers"/>
    <s v="Rangpur Rangers"/>
    <x v="0"/>
    <s v="Mirpur"/>
    <n v="7"/>
    <n v="0"/>
    <s v="7 wickets"/>
    <s v="Wickets"/>
    <n v="7"/>
    <s v="Close Match"/>
    <n v="267"/>
    <x v="0"/>
    <s v="Moniruzzaman"/>
    <s v="Prageeth Rambukwella"/>
    <x v="1"/>
    <x v="20"/>
    <x v="1"/>
  </r>
  <r>
    <x v="6"/>
    <x v="6"/>
    <x v="8"/>
    <x v="1"/>
    <s v="Dec 28 2019"/>
    <x v="33"/>
    <n v="4"/>
    <x v="36"/>
    <n v="2"/>
    <x v="97"/>
    <s v="Khulna Tigers"/>
    <s v="field first"/>
    <s v="Tigers"/>
    <s v="Khulna Tigers"/>
    <x v="0"/>
    <s v="Mirpur"/>
    <n v="8"/>
    <n v="0"/>
    <s v="8 wickets"/>
    <s v="Wickets"/>
    <n v="8"/>
    <s v="Close Match"/>
    <n v="315"/>
    <x v="0"/>
    <s v="Mahfuzur Rahman"/>
    <s v="Prageeth Rambukwella"/>
    <x v="0"/>
    <x v="24"/>
    <x v="0"/>
  </r>
  <r>
    <x v="6"/>
    <x v="6"/>
    <x v="8"/>
    <x v="1"/>
    <s v="Dec 28 2019"/>
    <x v="33"/>
    <n v="4"/>
    <x v="36"/>
    <n v="2"/>
    <x v="97"/>
    <s v="Khulna Tigers"/>
    <s v="field first"/>
    <s v="Tigers"/>
    <s v="Khulna Tigers"/>
    <x v="0"/>
    <s v="Mirpur"/>
    <n v="8"/>
    <n v="0"/>
    <s v="8 wickets"/>
    <s v="Wickets"/>
    <n v="8"/>
    <s v="Close Match"/>
    <n v="315"/>
    <x v="0"/>
    <s v="Mahfuzur Rahman"/>
    <s v="Prageeth Rambukwella"/>
    <x v="1"/>
    <x v="16"/>
    <x v="1"/>
  </r>
  <r>
    <x v="6"/>
    <x v="6"/>
    <x v="9"/>
    <x v="1"/>
    <s v="Dec 28 2019"/>
    <x v="94"/>
    <n v="4"/>
    <x v="108"/>
    <n v="4"/>
    <x v="86"/>
    <s v="Cumilla Warriors"/>
    <s v="field first"/>
    <s v="Royals"/>
    <s v="Rajshahi Royals"/>
    <x v="0"/>
    <s v="Mirpur"/>
    <n v="0"/>
    <n v="15"/>
    <s v="15 runs"/>
    <s v="Runs"/>
    <n v="15"/>
    <s v="Normal"/>
    <n v="365"/>
    <x v="0"/>
    <s v="David Millns"/>
    <s v="Morshed Ali Khan"/>
    <x v="0"/>
    <x v="15"/>
    <x v="1"/>
  </r>
  <r>
    <x v="6"/>
    <x v="6"/>
    <x v="9"/>
    <x v="1"/>
    <s v="Dec 28 2019"/>
    <x v="94"/>
    <n v="4"/>
    <x v="108"/>
    <n v="4"/>
    <x v="86"/>
    <s v="Cumilla Warriors"/>
    <s v="field first"/>
    <s v="Royals"/>
    <s v="Rajshahi Royals"/>
    <x v="0"/>
    <s v="Mirpur"/>
    <n v="0"/>
    <n v="15"/>
    <s v="15 runs"/>
    <s v="Runs"/>
    <n v="15"/>
    <s v="Normal"/>
    <n v="365"/>
    <x v="0"/>
    <s v="David Millns"/>
    <s v="Morshed Ali Khan"/>
    <x v="1"/>
    <x v="19"/>
    <x v="0"/>
  </r>
  <r>
    <x v="6"/>
    <x v="6"/>
    <x v="11"/>
    <x v="1"/>
    <s v="Dec 27 2019"/>
    <x v="69"/>
    <n v="7"/>
    <x v="6"/>
    <n v="9"/>
    <x v="128"/>
    <s v="Rangpur Rangers"/>
    <s v="field first"/>
    <s v="Tigers"/>
    <s v="Khulna Tigers"/>
    <x v="0"/>
    <s v="Mirpur"/>
    <n v="0"/>
    <n v="52"/>
    <s v="52 runs"/>
    <s v="Runs"/>
    <n v="52"/>
    <s v="Normal"/>
    <n v="312"/>
    <x v="0"/>
    <s v="Mahfuzur Rahman"/>
    <s v="Prageeth Rambukwella"/>
    <x v="0"/>
    <x v="16"/>
    <x v="1"/>
  </r>
  <r>
    <x v="6"/>
    <x v="6"/>
    <x v="11"/>
    <x v="1"/>
    <s v="Dec 27 2019"/>
    <x v="69"/>
    <n v="7"/>
    <x v="6"/>
    <n v="9"/>
    <x v="128"/>
    <s v="Rangpur Rangers"/>
    <s v="field first"/>
    <s v="Tigers"/>
    <s v="Khulna Tigers"/>
    <x v="0"/>
    <s v="Mirpur"/>
    <n v="0"/>
    <n v="52"/>
    <s v="52 runs"/>
    <s v="Runs"/>
    <n v="52"/>
    <s v="Normal"/>
    <n v="312"/>
    <x v="0"/>
    <s v="Mahfuzur Rahman"/>
    <s v="Prageeth Rambukwella"/>
    <x v="1"/>
    <x v="20"/>
    <x v="0"/>
  </r>
  <r>
    <x v="6"/>
    <x v="6"/>
    <x v="12"/>
    <x v="1"/>
    <s v="Dec 27 2019"/>
    <x v="8"/>
    <n v="9"/>
    <x v="8"/>
    <n v="4"/>
    <x v="111"/>
    <s v="Chattogram Challengers"/>
    <s v="field first"/>
    <s v="Challengers"/>
    <s v="Chattogram Challengers"/>
    <x v="0"/>
    <s v="Mirpur"/>
    <n v="6"/>
    <n v="0"/>
    <s v="6 wickets"/>
    <s v="Wickets"/>
    <n v="6"/>
    <s v="Close Match"/>
    <n v="249"/>
    <x v="0"/>
    <s v="David Millns"/>
    <s v="Sharfuddoula"/>
    <x v="0"/>
    <x v="18"/>
    <x v="0"/>
  </r>
  <r>
    <x v="6"/>
    <x v="6"/>
    <x v="12"/>
    <x v="1"/>
    <s v="Dec 27 2019"/>
    <x v="8"/>
    <n v="9"/>
    <x v="8"/>
    <n v="4"/>
    <x v="111"/>
    <s v="Chattogram Challengers"/>
    <s v="field first"/>
    <s v="Challengers"/>
    <s v="Chattogram Challengers"/>
    <x v="0"/>
    <s v="Mirpur"/>
    <n v="6"/>
    <n v="0"/>
    <s v="6 wickets"/>
    <s v="Wickets"/>
    <n v="6"/>
    <s v="Close Match"/>
    <n v="249"/>
    <x v="0"/>
    <s v="David Millns"/>
    <s v="Sharfuddoula"/>
    <x v="1"/>
    <x v="17"/>
    <x v="1"/>
  </r>
  <r>
    <x v="6"/>
    <x v="6"/>
    <x v="14"/>
    <x v="1"/>
    <s v="Dec 24 2019"/>
    <x v="41"/>
    <n v="8"/>
    <x v="49"/>
    <n v="3"/>
    <x v="101"/>
    <s v="Rajshahi Royals"/>
    <s v="field first"/>
    <s v="Royals"/>
    <s v="Rajshahi Royals"/>
    <x v="1"/>
    <s v="Chattogram"/>
    <n v="7"/>
    <n v="0"/>
    <s v="7 wickets"/>
    <s v="Wickets"/>
    <n v="7"/>
    <s v="Close Match"/>
    <n v="341"/>
    <x v="0"/>
    <s v="Dawid Malan"/>
    <s v="Afif Hossain"/>
    <x v="0"/>
    <x v="19"/>
    <x v="0"/>
  </r>
  <r>
    <x v="6"/>
    <x v="6"/>
    <x v="14"/>
    <x v="1"/>
    <s v="Dec 24 2019"/>
    <x v="41"/>
    <n v="8"/>
    <x v="49"/>
    <n v="3"/>
    <x v="101"/>
    <s v="Rajshahi Royals"/>
    <s v="field first"/>
    <s v="Royals"/>
    <s v="Rajshahi Royals"/>
    <x v="1"/>
    <s v="Chattogram"/>
    <n v="7"/>
    <n v="0"/>
    <s v="7 wickets"/>
    <s v="Wickets"/>
    <n v="7"/>
    <s v="Close Match"/>
    <n v="341"/>
    <x v="0"/>
    <s v="Dawid Malan"/>
    <s v="Afif Hossain"/>
    <x v="1"/>
    <x v="15"/>
    <x v="1"/>
  </r>
  <r>
    <x v="6"/>
    <x v="6"/>
    <x v="16"/>
    <x v="1"/>
    <s v="Dec 24 2019"/>
    <x v="48"/>
    <n v="4"/>
    <x v="108"/>
    <n v="2"/>
    <x v="104"/>
    <s v="Sylhet Thunder"/>
    <s v="bat first"/>
    <s v="Platoon"/>
    <s v="Dhaka Platoon"/>
    <x v="1"/>
    <s v="Chattogram"/>
    <n v="8"/>
    <n v="0"/>
    <s v="8 wickets"/>
    <s v="Wickets"/>
    <n v="8"/>
    <s v="Close Match"/>
    <n v="349"/>
    <x v="0"/>
    <s v="David Millns"/>
    <s v="Gazi Sohel"/>
    <x v="0"/>
    <x v="24"/>
    <x v="0"/>
  </r>
  <r>
    <x v="6"/>
    <x v="6"/>
    <x v="16"/>
    <x v="1"/>
    <s v="Dec 24 2019"/>
    <x v="48"/>
    <n v="4"/>
    <x v="108"/>
    <n v="2"/>
    <x v="104"/>
    <s v="Sylhet Thunder"/>
    <s v="bat first"/>
    <s v="Platoon"/>
    <s v="Dhaka Platoon"/>
    <x v="1"/>
    <s v="Chattogram"/>
    <n v="8"/>
    <n v="0"/>
    <s v="8 wickets"/>
    <s v="Wickets"/>
    <n v="8"/>
    <s v="Close Match"/>
    <n v="349"/>
    <x v="0"/>
    <s v="David Millns"/>
    <s v="Gazi Sohel"/>
    <x v="1"/>
    <x v="18"/>
    <x v="1"/>
  </r>
  <r>
    <x v="6"/>
    <x v="6"/>
    <x v="18"/>
    <x v="1"/>
    <s v="Dec 23 2019"/>
    <x v="26"/>
    <n v="9"/>
    <x v="47"/>
    <n v="3"/>
    <x v="21"/>
    <s v="Rajshahi Royals"/>
    <s v="field first"/>
    <s v="Royals"/>
    <s v="Rajshahi Royals"/>
    <x v="1"/>
    <s v="Chattogram"/>
    <n v="7"/>
    <n v="0"/>
    <s v="7 wickets"/>
    <s v="Wickets"/>
    <n v="7"/>
    <s v="Close Match"/>
    <n v="294"/>
    <x v="0"/>
    <s v="David Millns"/>
    <s v="Morshed Ali Khan"/>
    <x v="0"/>
    <x v="16"/>
    <x v="0"/>
  </r>
  <r>
    <x v="6"/>
    <x v="6"/>
    <x v="18"/>
    <x v="1"/>
    <s v="Dec 23 2019"/>
    <x v="26"/>
    <n v="9"/>
    <x v="47"/>
    <n v="3"/>
    <x v="21"/>
    <s v="Rajshahi Royals"/>
    <s v="field first"/>
    <s v="Royals"/>
    <s v="Rajshahi Royals"/>
    <x v="1"/>
    <s v="Chattogram"/>
    <n v="7"/>
    <n v="0"/>
    <s v="7 wickets"/>
    <s v="Wickets"/>
    <n v="7"/>
    <s v="Close Match"/>
    <n v="294"/>
    <x v="0"/>
    <s v="David Millns"/>
    <s v="Morshed Ali Khan"/>
    <x v="1"/>
    <x v="15"/>
    <x v="1"/>
  </r>
  <r>
    <x v="6"/>
    <x v="6"/>
    <x v="20"/>
    <x v="1"/>
    <s v="Dec 23 2019"/>
    <x v="27"/>
    <n v="3"/>
    <x v="66"/>
    <n v="5"/>
    <x v="104"/>
    <s v="Dhaka Platoon"/>
    <s v="field first"/>
    <s v="Platoon"/>
    <s v="Dhaka Platoon"/>
    <x v="1"/>
    <s v="Chattogram"/>
    <n v="5"/>
    <n v="0"/>
    <s v="5 wickets"/>
    <s v="Wickets"/>
    <n v="5"/>
    <s v="Close Match"/>
    <n v="321"/>
    <x v="0"/>
    <s v="Gazi Sohel"/>
    <s v="Prageeth Rambukwella"/>
    <x v="0"/>
    <x v="19"/>
    <x v="0"/>
  </r>
  <r>
    <x v="6"/>
    <x v="6"/>
    <x v="20"/>
    <x v="1"/>
    <s v="Dec 23 2019"/>
    <x v="27"/>
    <n v="3"/>
    <x v="66"/>
    <n v="5"/>
    <x v="104"/>
    <s v="Dhaka Platoon"/>
    <s v="field first"/>
    <s v="Platoon"/>
    <s v="Dhaka Platoon"/>
    <x v="1"/>
    <s v="Chattogram"/>
    <n v="5"/>
    <n v="0"/>
    <s v="5 wickets"/>
    <s v="Wickets"/>
    <n v="5"/>
    <s v="Close Match"/>
    <n v="321"/>
    <x v="0"/>
    <s v="Gazi Sohel"/>
    <s v="Prageeth Rambukwella"/>
    <x v="1"/>
    <x v="18"/>
    <x v="1"/>
  </r>
  <r>
    <x v="6"/>
    <x v="6"/>
    <x v="22"/>
    <x v="1"/>
    <s v="Dec 21 2019"/>
    <x v="31"/>
    <n v="7"/>
    <x v="40"/>
    <n v="4"/>
    <x v="60"/>
    <s v="Rangpur Rangers"/>
    <s v="field first"/>
    <s v="Rangers"/>
    <s v="Rangpur Rangers"/>
    <x v="1"/>
    <s v="Chattogram"/>
    <n v="6"/>
    <n v="0"/>
    <s v="6 wickets"/>
    <s v="Wickets"/>
    <n v="6"/>
    <s v="Close Match"/>
    <n v="330"/>
    <x v="0"/>
    <s v="David Millns"/>
    <s v="Masudur Rahman"/>
    <x v="0"/>
    <x v="17"/>
    <x v="0"/>
  </r>
  <r>
    <x v="6"/>
    <x v="6"/>
    <x v="22"/>
    <x v="1"/>
    <s v="Dec 21 2019"/>
    <x v="31"/>
    <n v="7"/>
    <x v="40"/>
    <n v="4"/>
    <x v="60"/>
    <s v="Rangpur Rangers"/>
    <s v="field first"/>
    <s v="Rangers"/>
    <s v="Rangpur Rangers"/>
    <x v="1"/>
    <s v="Chattogram"/>
    <n v="6"/>
    <n v="0"/>
    <s v="6 wickets"/>
    <s v="Wickets"/>
    <n v="6"/>
    <s v="Close Match"/>
    <n v="330"/>
    <x v="0"/>
    <s v="David Millns"/>
    <s v="Masudur Rahman"/>
    <x v="1"/>
    <x v="20"/>
    <x v="1"/>
  </r>
  <r>
    <x v="6"/>
    <x v="6"/>
    <x v="23"/>
    <x v="1"/>
    <s v="Dec 21 2019"/>
    <x v="117"/>
    <n v="5"/>
    <x v="71"/>
    <n v="10"/>
    <x v="64"/>
    <s v="Khulna Tigers"/>
    <s v="field first"/>
    <s v="Thunder"/>
    <s v="Sylhet Thunder"/>
    <x v="1"/>
    <s v="Chattogram"/>
    <n v="0"/>
    <n v="80"/>
    <s v="80 runs"/>
    <s v="Runs"/>
    <n v="80"/>
    <s v="Normal"/>
    <n v="384"/>
    <x v="0"/>
    <s v="Mahfuzur Rahman"/>
    <s v="Prageeth Rambukwella"/>
    <x v="0"/>
    <x v="24"/>
    <x v="1"/>
  </r>
  <r>
    <x v="6"/>
    <x v="6"/>
    <x v="23"/>
    <x v="1"/>
    <s v="Dec 21 2019"/>
    <x v="117"/>
    <n v="5"/>
    <x v="71"/>
    <n v="10"/>
    <x v="64"/>
    <s v="Khulna Tigers"/>
    <s v="field first"/>
    <s v="Thunder"/>
    <s v="Sylhet Thunder"/>
    <x v="1"/>
    <s v="Chattogram"/>
    <n v="0"/>
    <n v="80"/>
    <s v="80 runs"/>
    <s v="Runs"/>
    <n v="80"/>
    <s v="Normal"/>
    <n v="384"/>
    <x v="0"/>
    <s v="Mahfuzur Rahman"/>
    <s v="Prageeth Rambukwella"/>
    <x v="1"/>
    <x v="16"/>
    <x v="0"/>
  </r>
  <r>
    <x v="6"/>
    <x v="6"/>
    <x v="25"/>
    <x v="1"/>
    <s v="Dec 20 2019"/>
    <x v="118"/>
    <n v="4"/>
    <x v="109"/>
    <n v="7"/>
    <x v="129"/>
    <s v="Cumilla Warriors"/>
    <s v="field first"/>
    <s v="Challengers"/>
    <s v="Chattogram Challengers"/>
    <x v="1"/>
    <s v="Chattogram"/>
    <n v="0"/>
    <n v="16"/>
    <s v="16 runs"/>
    <s v="Runs"/>
    <n v="16"/>
    <s v="Normal"/>
    <n v="460"/>
    <x v="0"/>
    <s v="D Milns"/>
    <s v="Masudur Rahman"/>
    <x v="0"/>
    <x v="17"/>
    <x v="1"/>
  </r>
  <r>
    <x v="6"/>
    <x v="6"/>
    <x v="25"/>
    <x v="1"/>
    <s v="Dec 20 2019"/>
    <x v="118"/>
    <n v="4"/>
    <x v="109"/>
    <n v="7"/>
    <x v="129"/>
    <s v="Cumilla Warriors"/>
    <s v="field first"/>
    <s v="Challengers"/>
    <s v="Chattogram Challengers"/>
    <x v="1"/>
    <s v="Chattogram"/>
    <n v="0"/>
    <n v="16"/>
    <s v="16 runs"/>
    <s v="Runs"/>
    <n v="16"/>
    <s v="Normal"/>
    <n v="460"/>
    <x v="0"/>
    <s v="D Milns"/>
    <s v="Masudur Rahman"/>
    <x v="1"/>
    <x v="19"/>
    <x v="0"/>
  </r>
  <r>
    <x v="6"/>
    <x v="6"/>
    <x v="27"/>
    <x v="1"/>
    <s v="Dec 20 2019"/>
    <x v="15"/>
    <n v="9"/>
    <x v="60"/>
    <n v="2"/>
    <x v="93"/>
    <s v="Khulna Tigers"/>
    <s v="field first"/>
    <s v="Tigers"/>
    <s v="Khulna Tigers"/>
    <x v="1"/>
    <s v="Chattogram"/>
    <n v="8"/>
    <n v="0"/>
    <s v="8 wickets"/>
    <s v="Wickets"/>
    <n v="8"/>
    <s v="Close Match"/>
    <n v="275"/>
    <x v="0"/>
    <s v="Prageeth Rambukwella"/>
    <s v="Tanvir Ahmed"/>
    <x v="0"/>
    <x v="20"/>
    <x v="0"/>
  </r>
  <r>
    <x v="6"/>
    <x v="6"/>
    <x v="27"/>
    <x v="1"/>
    <s v="Dec 20 2019"/>
    <x v="15"/>
    <n v="9"/>
    <x v="60"/>
    <n v="2"/>
    <x v="93"/>
    <s v="Khulna Tigers"/>
    <s v="field first"/>
    <s v="Tigers"/>
    <s v="Khulna Tigers"/>
    <x v="1"/>
    <s v="Chattogram"/>
    <n v="8"/>
    <n v="0"/>
    <s v="8 wickets"/>
    <s v="Wickets"/>
    <n v="8"/>
    <s v="Close Match"/>
    <n v="275"/>
    <x v="0"/>
    <s v="Prageeth Rambukwella"/>
    <s v="Tanvir Ahmed"/>
    <x v="1"/>
    <x v="16"/>
    <x v="1"/>
  </r>
  <r>
    <x v="6"/>
    <x v="6"/>
    <x v="28"/>
    <x v="1"/>
    <s v="Dec 18 2019"/>
    <x v="119"/>
    <n v="4"/>
    <x v="110"/>
    <n v="10"/>
    <x v="67"/>
    <s v="Dhaka Platoon"/>
    <s v="field first"/>
    <s v="Challengers"/>
    <s v="Chattogram Challengers"/>
    <x v="1"/>
    <s v="Chattogram"/>
    <n v="0"/>
    <n v="16"/>
    <s v="16 runs"/>
    <s v="Runs"/>
    <n v="16"/>
    <s v="Normal"/>
    <n v="426"/>
    <x v="0"/>
    <s v="Prageeth Rambukwella"/>
    <s v="Sharfuddoula"/>
    <x v="0"/>
    <x v="17"/>
    <x v="1"/>
  </r>
  <r>
    <x v="6"/>
    <x v="6"/>
    <x v="28"/>
    <x v="1"/>
    <s v="Dec 18 2019"/>
    <x v="119"/>
    <n v="4"/>
    <x v="110"/>
    <n v="10"/>
    <x v="67"/>
    <s v="Dhaka Platoon"/>
    <s v="field first"/>
    <s v="Challengers"/>
    <s v="Chattogram Challengers"/>
    <x v="1"/>
    <s v="Chattogram"/>
    <n v="0"/>
    <n v="16"/>
    <s v="16 runs"/>
    <s v="Runs"/>
    <n v="16"/>
    <s v="Normal"/>
    <n v="426"/>
    <x v="0"/>
    <s v="Prageeth Rambukwella"/>
    <s v="Sharfuddoula"/>
    <x v="1"/>
    <x v="18"/>
    <x v="0"/>
  </r>
  <r>
    <x v="6"/>
    <x v="6"/>
    <x v="30"/>
    <x v="1"/>
    <s v="Dec 18 2019"/>
    <x v="62"/>
    <n v="8"/>
    <x v="1"/>
    <n v="4"/>
    <x v="101"/>
    <s v="Rangpur Rangers"/>
    <s v="bat first"/>
    <s v="Warriors"/>
    <s v="Cumilla Warriors"/>
    <x v="1"/>
    <s v="Chattogram"/>
    <n v="6"/>
    <n v="0"/>
    <s v="6 wickets"/>
    <s v="Wickets"/>
    <n v="6"/>
    <s v="Close Match"/>
    <n v="363"/>
    <x v="0"/>
    <s v="David Millns"/>
    <s v="Mahfuzur Rahman"/>
    <x v="0"/>
    <x v="20"/>
    <x v="0"/>
  </r>
  <r>
    <x v="6"/>
    <x v="6"/>
    <x v="30"/>
    <x v="1"/>
    <s v="Dec 18 2019"/>
    <x v="62"/>
    <n v="8"/>
    <x v="1"/>
    <n v="4"/>
    <x v="101"/>
    <s v="Rangpur Rangers"/>
    <s v="bat first"/>
    <s v="Warriors"/>
    <s v="Cumilla Warriors"/>
    <x v="1"/>
    <s v="Chattogram"/>
    <n v="6"/>
    <n v="0"/>
    <s v="6 wickets"/>
    <s v="Wickets"/>
    <n v="6"/>
    <s v="Close Match"/>
    <n v="363"/>
    <x v="0"/>
    <s v="David Millns"/>
    <s v="Mahfuzur Rahman"/>
    <x v="1"/>
    <x v="19"/>
    <x v="1"/>
  </r>
  <r>
    <x v="6"/>
    <x v="6"/>
    <x v="32"/>
    <x v="1"/>
    <s v="Dec 17 2019"/>
    <x v="72"/>
    <n v="8"/>
    <x v="6"/>
    <n v="6"/>
    <x v="67"/>
    <s v="Chattogram Challengers"/>
    <s v="field first"/>
    <s v="Challengers"/>
    <s v="Chattogram Challengers"/>
    <x v="1"/>
    <s v="Chattogram"/>
    <n v="4"/>
    <n v="0"/>
    <s v="4 wickets"/>
    <s v="Wickets"/>
    <n v="4"/>
    <s v="Close Match"/>
    <n v="259"/>
    <x v="0"/>
    <s v="David Millns"/>
    <s v="Masudur Rahman"/>
    <x v="0"/>
    <x v="24"/>
    <x v="0"/>
  </r>
  <r>
    <x v="6"/>
    <x v="6"/>
    <x v="32"/>
    <x v="1"/>
    <s v="Dec 17 2019"/>
    <x v="72"/>
    <n v="8"/>
    <x v="6"/>
    <n v="6"/>
    <x v="67"/>
    <s v="Chattogram Challengers"/>
    <s v="field first"/>
    <s v="Challengers"/>
    <s v="Chattogram Challengers"/>
    <x v="1"/>
    <s v="Chattogram"/>
    <n v="4"/>
    <n v="0"/>
    <s v="4 wickets"/>
    <s v="Wickets"/>
    <n v="4"/>
    <s v="Close Match"/>
    <n v="259"/>
    <x v="0"/>
    <s v="David Millns"/>
    <s v="Masudur Rahman"/>
    <x v="1"/>
    <x v="17"/>
    <x v="1"/>
  </r>
  <r>
    <x v="6"/>
    <x v="6"/>
    <x v="33"/>
    <x v="1"/>
    <s v="Dec 17 2019"/>
    <x v="55"/>
    <n v="4"/>
    <x v="111"/>
    <n v="5"/>
    <x v="26"/>
    <s v="Khulna Tigers"/>
    <s v="field first"/>
    <s v="Tigers"/>
    <s v="Khulna Tigers"/>
    <x v="1"/>
    <s v="Chattogram"/>
    <n v="5"/>
    <n v="0"/>
    <s v="5 wickets"/>
    <s v="Wickets"/>
    <n v="5"/>
    <s v="Close Match"/>
    <n v="381"/>
    <x v="0"/>
    <s v="Prageeth Rambukwella"/>
    <s v="Sharfuddoula"/>
    <x v="0"/>
    <x v="15"/>
    <x v="0"/>
  </r>
  <r>
    <x v="6"/>
    <x v="6"/>
    <x v="33"/>
    <x v="1"/>
    <s v="Dec 17 2019"/>
    <x v="55"/>
    <n v="4"/>
    <x v="111"/>
    <n v="5"/>
    <x v="26"/>
    <s v="Khulna Tigers"/>
    <s v="field first"/>
    <s v="Tigers"/>
    <s v="Khulna Tigers"/>
    <x v="1"/>
    <s v="Chattogram"/>
    <n v="5"/>
    <n v="0"/>
    <s v="5 wickets"/>
    <s v="Wickets"/>
    <n v="5"/>
    <s v="Close Match"/>
    <n v="381"/>
    <x v="0"/>
    <s v="Prageeth Rambukwella"/>
    <s v="Sharfuddoula"/>
    <x v="1"/>
    <x v="16"/>
    <x v="1"/>
  </r>
  <r>
    <x v="6"/>
    <x v="6"/>
    <x v="34"/>
    <x v="1"/>
    <s v="Dec 14 2019"/>
    <x v="69"/>
    <n v="4"/>
    <x v="36"/>
    <n v="7"/>
    <x v="33"/>
    <s v="Sylhet Thunder"/>
    <s v="field first"/>
    <s v="Platoon"/>
    <s v="Dhaka Platoon"/>
    <x v="0"/>
    <s v="Mirpur"/>
    <n v="0"/>
    <n v="24"/>
    <s v="24 runs"/>
    <s v="Runs"/>
    <n v="24"/>
    <s v="Normal"/>
    <n v="340"/>
    <x v="0"/>
    <s v="Masudur Rahman"/>
    <s v="Prageeth Rambukwella"/>
    <x v="0"/>
    <x v="18"/>
    <x v="1"/>
  </r>
  <r>
    <x v="6"/>
    <x v="6"/>
    <x v="34"/>
    <x v="1"/>
    <s v="Dec 14 2019"/>
    <x v="69"/>
    <n v="4"/>
    <x v="36"/>
    <n v="7"/>
    <x v="33"/>
    <s v="Sylhet Thunder"/>
    <s v="field first"/>
    <s v="Platoon"/>
    <s v="Dhaka Platoon"/>
    <x v="0"/>
    <s v="Mirpur"/>
    <n v="0"/>
    <n v="24"/>
    <s v="24 runs"/>
    <s v="Runs"/>
    <n v="24"/>
    <s v="Normal"/>
    <n v="340"/>
    <x v="0"/>
    <s v="Masudur Rahman"/>
    <s v="Prageeth Rambukwella"/>
    <x v="1"/>
    <x v="24"/>
    <x v="0"/>
  </r>
  <r>
    <x v="6"/>
    <x v="6"/>
    <x v="35"/>
    <x v="1"/>
    <s v="Dec 14 2019"/>
    <x v="33"/>
    <n v="8"/>
    <x v="36"/>
    <n v="4"/>
    <x v="130"/>
    <s v="Chattogram Challengers"/>
    <s v="field first"/>
    <s v="Challengers"/>
    <s v="Chattogram Challengers"/>
    <x v="0"/>
    <s v="Mirpur"/>
    <n v="6"/>
    <n v="0"/>
    <s v="6 wickets"/>
    <s v="Wickets"/>
    <n v="6"/>
    <s v="Close Match"/>
    <n v="315"/>
    <x v="0"/>
    <s v="Morshed Ali Khan"/>
    <s v="Sharfuddoula"/>
    <x v="0"/>
    <x v="20"/>
    <x v="0"/>
  </r>
  <r>
    <x v="6"/>
    <x v="6"/>
    <x v="35"/>
    <x v="1"/>
    <s v="Dec 14 2019"/>
    <x v="33"/>
    <n v="8"/>
    <x v="36"/>
    <n v="4"/>
    <x v="130"/>
    <s v="Chattogram Challengers"/>
    <s v="field first"/>
    <s v="Challengers"/>
    <s v="Chattogram Challengers"/>
    <x v="0"/>
    <s v="Mirpur"/>
    <n v="6"/>
    <n v="0"/>
    <s v="6 wickets"/>
    <s v="Wickets"/>
    <n v="6"/>
    <s v="Close Match"/>
    <n v="315"/>
    <x v="0"/>
    <s v="Morshed Ali Khan"/>
    <s v="Sharfuddoula"/>
    <x v="1"/>
    <x v="17"/>
    <x v="1"/>
  </r>
  <r>
    <x v="6"/>
    <x v="6"/>
    <x v="36"/>
    <x v="1"/>
    <s v="Dec 13 2019"/>
    <x v="34"/>
    <n v="7"/>
    <x v="7"/>
    <n v="9"/>
    <x v="103"/>
    <s v="Cumilla Warriors"/>
    <s v="field first"/>
    <s v="Platoon"/>
    <s v="Dhaka Platoon"/>
    <x v="0"/>
    <s v="Mirpur"/>
    <n v="0"/>
    <n v="20"/>
    <s v="20 runs"/>
    <s v="Runs"/>
    <n v="20"/>
    <s v="Normal"/>
    <n v="340"/>
    <x v="0"/>
    <s v="Masudur Rahman"/>
    <s v="Prageeth Rambukwella"/>
    <x v="0"/>
    <x v="18"/>
    <x v="1"/>
  </r>
  <r>
    <x v="6"/>
    <x v="6"/>
    <x v="36"/>
    <x v="1"/>
    <s v="Dec 13 2019"/>
    <x v="34"/>
    <n v="7"/>
    <x v="7"/>
    <n v="9"/>
    <x v="103"/>
    <s v="Cumilla Warriors"/>
    <s v="field first"/>
    <s v="Platoon"/>
    <s v="Dhaka Platoon"/>
    <x v="0"/>
    <s v="Mirpur"/>
    <n v="0"/>
    <n v="20"/>
    <s v="20 runs"/>
    <s v="Runs"/>
    <n v="20"/>
    <s v="Normal"/>
    <n v="340"/>
    <x v="0"/>
    <s v="Masudur Rahman"/>
    <s v="Prageeth Rambukwella"/>
    <x v="1"/>
    <x v="19"/>
    <x v="0"/>
  </r>
  <r>
    <x v="6"/>
    <x v="6"/>
    <x v="37"/>
    <x v="1"/>
    <s v="Dec 13 2019"/>
    <x v="120"/>
    <n v="10"/>
    <x v="112"/>
    <n v="2"/>
    <x v="25"/>
    <s v="Rajshahi Royals"/>
    <s v="field first"/>
    <s v="Royals"/>
    <s v="Rajshahi Royals"/>
    <x v="0"/>
    <s v="Mirpur"/>
    <n v="8"/>
    <n v="0"/>
    <s v="8 wickets"/>
    <s v="Wickets"/>
    <n v="8"/>
    <s v="Close Match"/>
    <n v="186"/>
    <x v="0"/>
    <s v="Mahfuzur Rahman"/>
    <s v="Sharfuddoula"/>
    <x v="0"/>
    <x v="24"/>
    <x v="0"/>
  </r>
  <r>
    <x v="6"/>
    <x v="6"/>
    <x v="37"/>
    <x v="1"/>
    <s v="Dec 13 2019"/>
    <x v="120"/>
    <n v="10"/>
    <x v="112"/>
    <n v="2"/>
    <x v="25"/>
    <s v="Rajshahi Royals"/>
    <s v="field first"/>
    <s v="Royals"/>
    <s v="Rajshahi Royals"/>
    <x v="0"/>
    <s v="Mirpur"/>
    <n v="8"/>
    <n v="0"/>
    <s v="8 wickets"/>
    <s v="Wickets"/>
    <n v="8"/>
    <s v="Close Match"/>
    <n v="186"/>
    <x v="0"/>
    <s v="Mahfuzur Rahman"/>
    <s v="Sharfuddoula"/>
    <x v="1"/>
    <x v="15"/>
    <x v="1"/>
  </r>
  <r>
    <x v="6"/>
    <x v="6"/>
    <x v="38"/>
    <x v="1"/>
    <s v="Dec 12 2019"/>
    <x v="20"/>
    <n v="6"/>
    <x v="26"/>
    <n v="2"/>
    <x v="109"/>
    <s v="Khulna Tigers"/>
    <s v="field first"/>
    <s v="Tigers"/>
    <s v="Khulna Tigers"/>
    <x v="0"/>
    <s v="Mirpur"/>
    <n v="8"/>
    <n v="0"/>
    <s v="8 wickets"/>
    <s v="Wickets"/>
    <n v="8"/>
    <s v="Close Match"/>
    <n v="290"/>
    <x v="0"/>
    <s v="Masudur Rahman"/>
    <s v="Prageeth Rambukwella"/>
    <x v="0"/>
    <x v="17"/>
    <x v="0"/>
  </r>
  <r>
    <x v="6"/>
    <x v="6"/>
    <x v="38"/>
    <x v="1"/>
    <s v="Dec 12 2019"/>
    <x v="20"/>
    <n v="6"/>
    <x v="26"/>
    <n v="2"/>
    <x v="109"/>
    <s v="Khulna Tigers"/>
    <s v="field first"/>
    <s v="Tigers"/>
    <s v="Khulna Tigers"/>
    <x v="0"/>
    <s v="Mirpur"/>
    <n v="8"/>
    <n v="0"/>
    <s v="8 wickets"/>
    <s v="Wickets"/>
    <n v="8"/>
    <s v="Close Match"/>
    <n v="290"/>
    <x v="0"/>
    <s v="Masudur Rahman"/>
    <s v="Prageeth Rambukwella"/>
    <x v="1"/>
    <x v="16"/>
    <x v="1"/>
  </r>
  <r>
    <x v="6"/>
    <x v="6"/>
    <x v="39"/>
    <x v="1"/>
    <s v="Dec 12 2019"/>
    <x v="44"/>
    <n v="9"/>
    <x v="55"/>
    <n v="1"/>
    <x v="34"/>
    <s v="Rajshahi Royals"/>
    <s v="field first"/>
    <s v="Royals"/>
    <s v="Rajshahi Royals"/>
    <x v="0"/>
    <s v="Mirpur"/>
    <n v="9"/>
    <n v="0"/>
    <s v="9 wickets"/>
    <s v="Wickets"/>
    <n v="9"/>
    <s v="Close Match"/>
    <n v="270"/>
    <x v="0"/>
    <s v="Gazi Sohel"/>
    <s v="Sharfuddoula"/>
    <x v="0"/>
    <x v="18"/>
    <x v="0"/>
  </r>
  <r>
    <x v="6"/>
    <x v="6"/>
    <x v="39"/>
    <x v="1"/>
    <s v="Dec 12 2019"/>
    <x v="44"/>
    <n v="9"/>
    <x v="55"/>
    <n v="1"/>
    <x v="34"/>
    <s v="Rajshahi Royals"/>
    <s v="field first"/>
    <s v="Royals"/>
    <s v="Rajshahi Royals"/>
    <x v="0"/>
    <s v="Mirpur"/>
    <n v="9"/>
    <n v="0"/>
    <s v="9 wickets"/>
    <s v="Wickets"/>
    <n v="9"/>
    <s v="Close Match"/>
    <n v="270"/>
    <x v="0"/>
    <s v="Gazi Sohel"/>
    <s v="Sharfuddoula"/>
    <x v="1"/>
    <x v="15"/>
    <x v="1"/>
  </r>
  <r>
    <x v="6"/>
    <x v="6"/>
    <x v="1"/>
    <x v="1"/>
    <s v="Dec 11 2019"/>
    <x v="99"/>
    <n v="7"/>
    <x v="52"/>
    <n v="10"/>
    <x v="131"/>
    <s v="Cumilla Warriors"/>
    <s v="bat first"/>
    <s v="Warriors"/>
    <s v="Cumilla Warriors"/>
    <x v="0"/>
    <s v="Mirpur"/>
    <n v="0"/>
    <n v="105"/>
    <s v="105 runs"/>
    <s v="Runs"/>
    <n v="105"/>
    <s v="Normal"/>
    <n v="241"/>
    <x v="0"/>
    <s v="Masudur Rahman"/>
    <s v="Tanvir Ahmed"/>
    <x v="0"/>
    <x v="19"/>
    <x v="1"/>
  </r>
  <r>
    <x v="6"/>
    <x v="6"/>
    <x v="1"/>
    <x v="1"/>
    <s v="Dec 11 2019"/>
    <x v="99"/>
    <n v="7"/>
    <x v="52"/>
    <n v="10"/>
    <x v="131"/>
    <s v="Cumilla Warriors"/>
    <s v="bat first"/>
    <s v="Warriors"/>
    <s v="Cumilla Warriors"/>
    <x v="0"/>
    <s v="Mirpur"/>
    <n v="0"/>
    <n v="105"/>
    <s v="105 runs"/>
    <s v="Runs"/>
    <n v="105"/>
    <s v="Normal"/>
    <n v="241"/>
    <x v="0"/>
    <s v="Masudur Rahman"/>
    <s v="Tanvir Ahmed"/>
    <x v="1"/>
    <x v="20"/>
    <x v="0"/>
  </r>
  <r>
    <x v="6"/>
    <x v="6"/>
    <x v="2"/>
    <x v="1"/>
    <s v="Dec 11 2019"/>
    <x v="91"/>
    <n v="4"/>
    <x v="27"/>
    <n v="5"/>
    <x v="111"/>
    <s v="Chattogram Challengers"/>
    <s v="field first"/>
    <s v="Challengers"/>
    <s v="Chattogram Challengers"/>
    <x v="0"/>
    <s v="Mirpur"/>
    <n v="5"/>
    <n v="0"/>
    <s v="5 wickets"/>
    <s v="Wickets"/>
    <n v="5"/>
    <s v="Close Match"/>
    <n v="325"/>
    <x v="0"/>
    <s v="Prageeth Rambukwella"/>
    <s v="Sharfuddoula"/>
    <x v="0"/>
    <x v="24"/>
    <x v="0"/>
  </r>
  <r>
    <x v="6"/>
    <x v="6"/>
    <x v="2"/>
    <x v="1"/>
    <s v="Dec 11 2019"/>
    <x v="91"/>
    <n v="4"/>
    <x v="27"/>
    <n v="5"/>
    <x v="111"/>
    <s v="Chattogram Challengers"/>
    <s v="field first"/>
    <s v="Challengers"/>
    <s v="Chattogram Challengers"/>
    <x v="0"/>
    <s v="Mirpur"/>
    <n v="5"/>
    <n v="0"/>
    <s v="5 wickets"/>
    <s v="Wickets"/>
    <n v="5"/>
    <s v="Close Match"/>
    <n v="325"/>
    <x v="0"/>
    <s v="Prageeth Rambukwella"/>
    <s v="Sharfuddoula"/>
    <x v="1"/>
    <x v="17"/>
    <x v="1"/>
  </r>
  <r>
    <x v="7"/>
    <x v="7"/>
    <x v="32"/>
    <x v="1"/>
    <s v="Jan 28 2022"/>
    <x v="36"/>
    <n v="5"/>
    <x v="85"/>
    <n v="1"/>
    <x v="48"/>
    <s v="Minister Group Dhaka"/>
    <s v="field first"/>
    <s v="Dhaka"/>
    <s v="Minister Group Dhaka"/>
    <x v="1"/>
    <s v="Chattogram"/>
    <n v="9"/>
    <n v="0"/>
    <s v="9 wickets"/>
    <s v="Wickets"/>
    <n v="9"/>
    <s v="Close Match"/>
    <n v="352"/>
    <x v="0"/>
    <s v="Mahfuzur Rahman"/>
    <s v="Prageeth Rambukwella"/>
    <x v="0"/>
    <x v="21"/>
    <x v="0"/>
  </r>
  <r>
    <x v="7"/>
    <x v="7"/>
    <x v="32"/>
    <x v="1"/>
    <s v="Jan 28 2022"/>
    <x v="36"/>
    <n v="5"/>
    <x v="85"/>
    <n v="1"/>
    <x v="48"/>
    <s v="Minister Group Dhaka"/>
    <s v="field first"/>
    <s v="Dhaka"/>
    <s v="Minister Group Dhaka"/>
    <x v="1"/>
    <s v="Chattogram"/>
    <n v="9"/>
    <n v="0"/>
    <s v="9 wickets"/>
    <s v="Wickets"/>
    <n v="9"/>
    <s v="Close Match"/>
    <n v="352"/>
    <x v="0"/>
    <s v="Mahfuzur Rahman"/>
    <s v="Prageeth Rambukwella"/>
    <x v="1"/>
    <x v="23"/>
    <x v="1"/>
  </r>
  <r>
    <x v="7"/>
    <x v="7"/>
    <x v="33"/>
    <x v="1"/>
    <s v="Jan 28 2022"/>
    <x v="106"/>
    <n v="8"/>
    <x v="0"/>
    <n v="4"/>
    <x v="64"/>
    <s v="Khulna Tigers"/>
    <s v="field first"/>
    <s v="Tigers"/>
    <s v="Khulna Tigers"/>
    <x v="1"/>
    <s v="Chattogram"/>
    <n v="6"/>
    <n v="0"/>
    <s v="6 wickets"/>
    <s v="Wickets"/>
    <n v="6"/>
    <s v="Close Match"/>
    <n v="287"/>
    <x v="0"/>
    <s v="Masudur Rahman"/>
    <s v="Tanvir Ahmed"/>
    <x v="0"/>
    <x v="17"/>
    <x v="0"/>
  </r>
  <r>
    <x v="7"/>
    <x v="7"/>
    <x v="33"/>
    <x v="1"/>
    <s v="Jan 28 2022"/>
    <x v="106"/>
    <n v="8"/>
    <x v="0"/>
    <n v="4"/>
    <x v="64"/>
    <s v="Khulna Tigers"/>
    <s v="field first"/>
    <s v="Tigers"/>
    <s v="Khulna Tigers"/>
    <x v="1"/>
    <s v="Chattogram"/>
    <n v="6"/>
    <n v="0"/>
    <s v="6 wickets"/>
    <s v="Wickets"/>
    <n v="6"/>
    <s v="Close Match"/>
    <n v="287"/>
    <x v="0"/>
    <s v="Masudur Rahman"/>
    <s v="Tanvir Ahmed"/>
    <x v="1"/>
    <x v="16"/>
    <x v="1"/>
  </r>
  <r>
    <x v="7"/>
    <x v="7"/>
    <x v="34"/>
    <x v="1"/>
    <s v="Jan 25 2022"/>
    <x v="40"/>
    <n v="7"/>
    <x v="112"/>
    <n v="10"/>
    <x v="132"/>
    <s v="Fortune Barishal"/>
    <s v="field first"/>
    <s v="Victorians"/>
    <s v="Comilla Victorians"/>
    <x v="0"/>
    <s v="Mirpur"/>
    <n v="0"/>
    <n v="63"/>
    <s v="63 runs"/>
    <s v="Runs"/>
    <n v="63"/>
    <s v="Normal"/>
    <n v="253"/>
    <x v="0"/>
    <s v="Morshed Ali Khan"/>
    <s v="Tanvir Ahmed"/>
    <x v="0"/>
    <x v="8"/>
    <x v="1"/>
  </r>
  <r>
    <x v="7"/>
    <x v="7"/>
    <x v="34"/>
    <x v="1"/>
    <s v="Jan 25 2022"/>
    <x v="40"/>
    <n v="7"/>
    <x v="112"/>
    <n v="10"/>
    <x v="132"/>
    <s v="Fortune Barishal"/>
    <s v="field first"/>
    <s v="Victorians"/>
    <s v="Comilla Victorians"/>
    <x v="0"/>
    <s v="Mirpur"/>
    <n v="0"/>
    <n v="63"/>
    <s v="63 runs"/>
    <s v="Runs"/>
    <n v="63"/>
    <s v="Normal"/>
    <n v="253"/>
    <x v="0"/>
    <s v="Morshed Ali Khan"/>
    <s v="Tanvir Ahmed"/>
    <x v="1"/>
    <x v="22"/>
    <x v="0"/>
  </r>
  <r>
    <x v="7"/>
    <x v="7"/>
    <x v="35"/>
    <x v="1"/>
    <s v="Jan 25 2022"/>
    <x v="121"/>
    <n v="10"/>
    <x v="105"/>
    <n v="3"/>
    <x v="105"/>
    <s v="Sylhet Sunrisers"/>
    <s v="field first"/>
    <s v="Sunrisers"/>
    <s v="Sylhet Sunrisers"/>
    <x v="0"/>
    <s v="Mirpur"/>
    <n v="7"/>
    <n v="0"/>
    <s v="7 wickets"/>
    <s v="Wickets"/>
    <n v="7"/>
    <s v="Close Match"/>
    <n v="201"/>
    <x v="0"/>
    <s v="Masudur Rahman"/>
    <s v="Sharfuddoula"/>
    <x v="0"/>
    <x v="23"/>
    <x v="0"/>
  </r>
  <r>
    <x v="7"/>
    <x v="7"/>
    <x v="35"/>
    <x v="1"/>
    <s v="Jan 25 2022"/>
    <x v="121"/>
    <n v="10"/>
    <x v="105"/>
    <n v="3"/>
    <x v="105"/>
    <s v="Sylhet Sunrisers"/>
    <s v="field first"/>
    <s v="Sunrisers"/>
    <s v="Sylhet Sunrisers"/>
    <x v="0"/>
    <s v="Mirpur"/>
    <n v="7"/>
    <n v="0"/>
    <s v="7 wickets"/>
    <s v="Wickets"/>
    <n v="7"/>
    <s v="Close Match"/>
    <n v="201"/>
    <x v="0"/>
    <s v="Masudur Rahman"/>
    <s v="Sharfuddoula"/>
    <x v="1"/>
    <x v="21"/>
    <x v="1"/>
  </r>
  <r>
    <x v="7"/>
    <x v="7"/>
    <x v="36"/>
    <x v="1"/>
    <s v="Jan 24 2022"/>
    <x v="94"/>
    <n v="7"/>
    <x v="58"/>
    <n v="9"/>
    <x v="133"/>
    <s v="Khulna Tigers"/>
    <s v="field first"/>
    <s v="Challengers"/>
    <s v="Chattogram Challengers"/>
    <x v="0"/>
    <s v="Mirpur"/>
    <n v="0"/>
    <n v="25"/>
    <s v="25 runs"/>
    <s v="Runs"/>
    <n v="25"/>
    <s v="Normal"/>
    <n v="355"/>
    <x v="0"/>
    <s v="Morshed Ali Khan"/>
    <s v="Sharfuddoula"/>
    <x v="0"/>
    <x v="17"/>
    <x v="1"/>
  </r>
  <r>
    <x v="7"/>
    <x v="7"/>
    <x v="36"/>
    <x v="1"/>
    <s v="Jan 24 2022"/>
    <x v="94"/>
    <n v="7"/>
    <x v="58"/>
    <n v="9"/>
    <x v="133"/>
    <s v="Khulna Tigers"/>
    <s v="field first"/>
    <s v="Challengers"/>
    <s v="Chattogram Challengers"/>
    <x v="0"/>
    <s v="Mirpur"/>
    <n v="0"/>
    <n v="25"/>
    <s v="25 runs"/>
    <s v="Runs"/>
    <n v="25"/>
    <s v="Normal"/>
    <n v="355"/>
    <x v="0"/>
    <s v="Morshed Ali Khan"/>
    <s v="Sharfuddoula"/>
    <x v="1"/>
    <x v="16"/>
    <x v="0"/>
  </r>
  <r>
    <x v="7"/>
    <x v="7"/>
    <x v="37"/>
    <x v="1"/>
    <s v="Jan 24 2022"/>
    <x v="72"/>
    <n v="8"/>
    <x v="6"/>
    <n v="6"/>
    <x v="28"/>
    <s v="Minister Group Dhaka"/>
    <s v="field first"/>
    <s v="Dhaka"/>
    <s v="Minister Group Dhaka"/>
    <x v="0"/>
    <s v="Mirpur"/>
    <n v="4"/>
    <n v="0"/>
    <s v="4 wickets"/>
    <s v="Wickets"/>
    <n v="4"/>
    <s v="Close Match"/>
    <n v="259"/>
    <x v="0"/>
    <s v="Masudur Rahman"/>
    <s v="Tanvir Ahmed"/>
    <x v="0"/>
    <x v="22"/>
    <x v="0"/>
  </r>
  <r>
    <x v="7"/>
    <x v="7"/>
    <x v="37"/>
    <x v="1"/>
    <s v="Jan 24 2022"/>
    <x v="72"/>
    <n v="8"/>
    <x v="6"/>
    <n v="6"/>
    <x v="28"/>
    <s v="Minister Group Dhaka"/>
    <s v="field first"/>
    <s v="Dhaka"/>
    <s v="Minister Group Dhaka"/>
    <x v="0"/>
    <s v="Mirpur"/>
    <n v="4"/>
    <n v="0"/>
    <s v="4 wickets"/>
    <s v="Wickets"/>
    <n v="4"/>
    <s v="Close Match"/>
    <n v="259"/>
    <x v="0"/>
    <s v="Masudur Rahman"/>
    <s v="Tanvir Ahmed"/>
    <x v="1"/>
    <x v="23"/>
    <x v="1"/>
  </r>
  <r>
    <x v="7"/>
    <x v="7"/>
    <x v="38"/>
    <x v="1"/>
    <s v="Jan 22 2022"/>
    <x v="12"/>
    <n v="8"/>
    <x v="34"/>
    <n v="10"/>
    <x v="134"/>
    <s v="Minister Group Dhaka"/>
    <s v="field first"/>
    <s v="Challengers"/>
    <s v="Chattogram Challengers"/>
    <x v="0"/>
    <s v="Mirpur"/>
    <n v="0"/>
    <n v="30"/>
    <s v="30 runs"/>
    <s v="Runs"/>
    <n v="30"/>
    <s v="Normal"/>
    <n v="292"/>
    <x v="0"/>
    <s v="Sharfuddoula"/>
    <s v="Tanvir Ahmed"/>
    <x v="0"/>
    <x v="17"/>
    <x v="1"/>
  </r>
  <r>
    <x v="7"/>
    <x v="7"/>
    <x v="38"/>
    <x v="1"/>
    <s v="Jan 22 2022"/>
    <x v="12"/>
    <n v="8"/>
    <x v="34"/>
    <n v="10"/>
    <x v="134"/>
    <s v="Minister Group Dhaka"/>
    <s v="field first"/>
    <s v="Challengers"/>
    <s v="Chattogram Challengers"/>
    <x v="0"/>
    <s v="Mirpur"/>
    <n v="0"/>
    <n v="30"/>
    <s v="30 runs"/>
    <s v="Runs"/>
    <n v="30"/>
    <s v="Normal"/>
    <n v="292"/>
    <x v="0"/>
    <s v="Sharfuddoula"/>
    <s v="Tanvir Ahmed"/>
    <x v="1"/>
    <x v="23"/>
    <x v="0"/>
  </r>
  <r>
    <x v="7"/>
    <x v="7"/>
    <x v="39"/>
    <x v="1"/>
    <s v="Jan 22 2022"/>
    <x v="122"/>
    <n v="10"/>
    <x v="79"/>
    <n v="8"/>
    <x v="132"/>
    <s v="Comilla Victorians"/>
    <s v="field first"/>
    <s v="Victorians"/>
    <s v="Comilla Victorians"/>
    <x v="0"/>
    <s v="Mirpur"/>
    <n v="2"/>
    <n v="0"/>
    <s v="2 wickets"/>
    <s v="Wickets"/>
    <n v="2"/>
    <s v="Close Match"/>
    <n v="193"/>
    <x v="0"/>
    <s v="Masudur Rahman"/>
    <s v="Morshed Ali Khan"/>
    <x v="0"/>
    <x v="21"/>
    <x v="0"/>
  </r>
  <r>
    <x v="7"/>
    <x v="7"/>
    <x v="39"/>
    <x v="1"/>
    <s v="Jan 22 2022"/>
    <x v="122"/>
    <n v="10"/>
    <x v="79"/>
    <n v="8"/>
    <x v="132"/>
    <s v="Comilla Victorians"/>
    <s v="field first"/>
    <s v="Victorians"/>
    <s v="Comilla Victorians"/>
    <x v="0"/>
    <s v="Mirpur"/>
    <n v="2"/>
    <n v="0"/>
    <s v="2 wickets"/>
    <s v="Wickets"/>
    <n v="2"/>
    <s v="Close Match"/>
    <n v="193"/>
    <x v="0"/>
    <s v="Masudur Rahman"/>
    <s v="Morshed Ali Khan"/>
    <x v="1"/>
    <x v="8"/>
    <x v="1"/>
  </r>
  <r>
    <x v="7"/>
    <x v="7"/>
    <x v="1"/>
    <x v="1"/>
    <s v="Jan 21 2022"/>
    <x v="63"/>
    <n v="6"/>
    <x v="63"/>
    <n v="5"/>
    <x v="120"/>
    <s v="Khulna Tigers"/>
    <s v="field first"/>
    <s v="Tigers"/>
    <s v="Khulna Tigers"/>
    <x v="0"/>
    <s v="Mirpur"/>
    <n v="5"/>
    <n v="0"/>
    <s v="5 wickets"/>
    <s v="Wickets"/>
    <n v="5"/>
    <s v="Close Match"/>
    <n v="369"/>
    <x v="0"/>
    <s v="Masudur Rahman"/>
    <s v="Morshed Ali Khan"/>
    <x v="0"/>
    <x v="23"/>
    <x v="0"/>
  </r>
  <r>
    <x v="7"/>
    <x v="7"/>
    <x v="1"/>
    <x v="1"/>
    <s v="Jan 21 2022"/>
    <x v="63"/>
    <n v="6"/>
    <x v="63"/>
    <n v="5"/>
    <x v="120"/>
    <s v="Khulna Tigers"/>
    <s v="field first"/>
    <s v="Tigers"/>
    <s v="Khulna Tigers"/>
    <x v="0"/>
    <s v="Mirpur"/>
    <n v="5"/>
    <n v="0"/>
    <s v="5 wickets"/>
    <s v="Wickets"/>
    <n v="5"/>
    <s v="Close Match"/>
    <n v="369"/>
    <x v="0"/>
    <s v="Masudur Rahman"/>
    <s v="Morshed Ali Khan"/>
    <x v="1"/>
    <x v="16"/>
    <x v="1"/>
  </r>
  <r>
    <x v="7"/>
    <x v="7"/>
    <x v="2"/>
    <x v="1"/>
    <s v="Jan 21 2022"/>
    <x v="25"/>
    <n v="8"/>
    <x v="24"/>
    <n v="6"/>
    <x v="97"/>
    <s v="Fortune Barishal"/>
    <s v="field first"/>
    <s v="Barishal"/>
    <s v="Fortune Barishal"/>
    <x v="0"/>
    <s v="Mirpur"/>
    <n v="4"/>
    <n v="0"/>
    <s v="4 wickets"/>
    <s v="Wickets"/>
    <n v="4"/>
    <s v="Close Match"/>
    <n v="251"/>
    <x v="0"/>
    <s v="Sharfuddoula"/>
    <s v="Tanvir Ahmed"/>
    <x v="0"/>
    <x v="17"/>
    <x v="0"/>
  </r>
  <r>
    <x v="7"/>
    <x v="7"/>
    <x v="2"/>
    <x v="1"/>
    <s v="Jan 21 2022"/>
    <x v="25"/>
    <n v="8"/>
    <x v="24"/>
    <n v="6"/>
    <x v="97"/>
    <s v="Fortune Barishal"/>
    <s v="field first"/>
    <s v="Barishal"/>
    <s v="Fortune Barishal"/>
    <x v="0"/>
    <s v="Mirpur"/>
    <n v="4"/>
    <n v="0"/>
    <s v="4 wickets"/>
    <s v="Wickets"/>
    <n v="4"/>
    <s v="Close Match"/>
    <n v="251"/>
    <x v="0"/>
    <s v="Sharfuddoula"/>
    <s v="Tanvir Ahmed"/>
    <x v="1"/>
    <x v="22"/>
    <x v="1"/>
  </r>
  <r>
    <x v="7"/>
    <x v="7"/>
    <x v="2"/>
    <x v="1"/>
    <s v="Jan 21 2022"/>
    <x v="25"/>
    <n v="8"/>
    <x v="24"/>
    <n v="6"/>
    <x v="97"/>
    <s v="Fortune Barishal"/>
    <s v="bat first"/>
    <s v="Fortune Barishal"/>
    <s v="Fortune Barishal"/>
    <x v="0"/>
    <s v="Mirpur"/>
    <n v="4"/>
    <n v="0"/>
    <s v="4 wickets"/>
    <s v="Wickets"/>
    <n v="4"/>
    <s v="Close Match"/>
    <n v="251"/>
    <x v="0"/>
    <s v="Sharfuddoula"/>
    <s v="Tanvir Ahmed"/>
    <x v="0"/>
    <x v="17"/>
    <x v="0"/>
  </r>
  <r>
    <x v="7"/>
    <x v="7"/>
    <x v="2"/>
    <x v="1"/>
    <s v="Jan 21 2022"/>
    <x v="25"/>
    <n v="8"/>
    <x v="24"/>
    <n v="6"/>
    <x v="97"/>
    <s v="Fortune Barishal"/>
    <s v="bat first"/>
    <s v="Fortune Barishal"/>
    <s v="Fortune Barishal"/>
    <x v="0"/>
    <s v="Mirpur"/>
    <n v="4"/>
    <n v="0"/>
    <s v="4 wickets"/>
    <s v="Wickets"/>
    <n v="4"/>
    <s v="Close Match"/>
    <n v="251"/>
    <x v="0"/>
    <s v="Sharfuddoula"/>
    <s v="Tanvir Ahmed"/>
    <x v="1"/>
    <x v="22"/>
    <x v="1"/>
  </r>
  <r>
    <x v="7"/>
    <x v="7"/>
    <x v="49"/>
    <x v="1"/>
    <s v="Jan 21 2022"/>
    <x v="63"/>
    <n v="6"/>
    <x v="63"/>
    <n v="5"/>
    <x v="120"/>
    <s v="Khulna Tigers"/>
    <s v="field first"/>
    <s v="Khulna Tigers"/>
    <s v="Khulna Tigers"/>
    <x v="0"/>
    <s v="Mirpur"/>
    <n v="5"/>
    <n v="0"/>
    <s v="5 wickets"/>
    <s v="Wickets"/>
    <n v="5"/>
    <s v="Close Match"/>
    <n v="369"/>
    <x v="0"/>
    <s v="Morshed AliÂ Khan"/>
    <s v="Masudur Rahman"/>
    <x v="0"/>
    <x v="23"/>
    <x v="0"/>
  </r>
  <r>
    <x v="7"/>
    <x v="7"/>
    <x v="49"/>
    <x v="1"/>
    <s v="Jan 21 2022"/>
    <x v="63"/>
    <n v="6"/>
    <x v="63"/>
    <n v="5"/>
    <x v="120"/>
    <s v="Khulna Tigers"/>
    <s v="field first"/>
    <s v="Khulna Tigers"/>
    <s v="Khulna Tigers"/>
    <x v="0"/>
    <s v="Mirpur"/>
    <n v="5"/>
    <n v="0"/>
    <s v="5 wickets"/>
    <s v="Wickets"/>
    <n v="5"/>
    <s v="Close Match"/>
    <n v="369"/>
    <x v="0"/>
    <s v="Morshed AliÂ Khan"/>
    <s v="Masudur Rahman"/>
    <x v="1"/>
    <x v="16"/>
    <x v="1"/>
  </r>
  <r>
    <x v="7"/>
    <x v="7"/>
    <x v="39"/>
    <x v="1"/>
    <s v="Jan 22 2022"/>
    <x v="122"/>
    <n v="10"/>
    <x v="79"/>
    <n v="8"/>
    <x v="132"/>
    <s v="Comilla Victorians"/>
    <s v="field first"/>
    <s v="Comilla Victorians"/>
    <s v="Comilla Victorians"/>
    <x v="0"/>
    <s v="Mirpur"/>
    <n v="2"/>
    <n v="0"/>
    <s v="2 wickets"/>
    <s v="Wickets"/>
    <n v="2"/>
    <s v="Close Match"/>
    <n v="193"/>
    <x v="0"/>
    <s v="Masudur Rahman"/>
    <s v="Morshed AliÂ Khan"/>
    <x v="0"/>
    <x v="21"/>
    <x v="0"/>
  </r>
  <r>
    <x v="7"/>
    <x v="7"/>
    <x v="39"/>
    <x v="1"/>
    <s v="Jan 22 2022"/>
    <x v="122"/>
    <n v="10"/>
    <x v="79"/>
    <n v="8"/>
    <x v="132"/>
    <s v="Comilla Victorians"/>
    <s v="field first"/>
    <s v="Comilla Victorians"/>
    <s v="Comilla Victorians"/>
    <x v="0"/>
    <s v="Mirpur"/>
    <n v="2"/>
    <n v="0"/>
    <s v="2 wickets"/>
    <s v="Wickets"/>
    <n v="2"/>
    <s v="Close Match"/>
    <n v="193"/>
    <x v="0"/>
    <s v="Masudur Rahman"/>
    <s v="Morshed AliÂ Khan"/>
    <x v="1"/>
    <x v="8"/>
    <x v="1"/>
  </r>
  <r>
    <x v="7"/>
    <x v="7"/>
    <x v="38"/>
    <x v="1"/>
    <s v="Jan 22 2022"/>
    <x v="12"/>
    <n v="8"/>
    <x v="34"/>
    <n v="10"/>
    <x v="134"/>
    <s v="Minister Group Dhaka"/>
    <s v="field first"/>
    <s v="Chattogram Challengers"/>
    <s v="Chattogram Challengers"/>
    <x v="0"/>
    <s v="Mirpur"/>
    <n v="0"/>
    <n v="30"/>
    <s v="30 runs"/>
    <s v="Runs"/>
    <n v="30"/>
    <s v="Normal"/>
    <n v="292"/>
    <x v="0"/>
    <s v="Sharfuddoula"/>
    <s v="TanvirÂ Ahmed"/>
    <x v="0"/>
    <x v="17"/>
    <x v="1"/>
  </r>
  <r>
    <x v="7"/>
    <x v="7"/>
    <x v="38"/>
    <x v="1"/>
    <s v="Jan 22 2022"/>
    <x v="12"/>
    <n v="8"/>
    <x v="34"/>
    <n v="10"/>
    <x v="134"/>
    <s v="Minister Group Dhaka"/>
    <s v="field first"/>
    <s v="Chattogram Challengers"/>
    <s v="Chattogram Challengers"/>
    <x v="0"/>
    <s v="Mirpur"/>
    <n v="0"/>
    <n v="30"/>
    <s v="30 runs"/>
    <s v="Runs"/>
    <n v="30"/>
    <s v="Normal"/>
    <n v="292"/>
    <x v="0"/>
    <s v="Sharfuddoula"/>
    <s v="TanvirÂ Ahmed"/>
    <x v="1"/>
    <x v="23"/>
    <x v="0"/>
  </r>
  <r>
    <x v="7"/>
    <x v="7"/>
    <x v="37"/>
    <x v="1"/>
    <s v="Jan 24 2022"/>
    <x v="72"/>
    <n v="8"/>
    <x v="6"/>
    <n v="6"/>
    <x v="28"/>
    <s v="Minister Group Dhaka"/>
    <s v="field first"/>
    <s v="Minister Group Dhaka"/>
    <s v="Minister Group Dhaka"/>
    <x v="0"/>
    <s v="Mirpur"/>
    <n v="4"/>
    <n v="0"/>
    <s v="4 wickets"/>
    <s v="Wickets"/>
    <n v="4"/>
    <s v="Close Match"/>
    <n v="259"/>
    <x v="0"/>
    <s v="Masudur Rahman"/>
    <s v="Tanvir Ahmed"/>
    <x v="0"/>
    <x v="22"/>
    <x v="0"/>
  </r>
  <r>
    <x v="7"/>
    <x v="7"/>
    <x v="37"/>
    <x v="1"/>
    <s v="Jan 24 2022"/>
    <x v="72"/>
    <n v="8"/>
    <x v="6"/>
    <n v="6"/>
    <x v="28"/>
    <s v="Minister Group Dhaka"/>
    <s v="field first"/>
    <s v="Minister Group Dhaka"/>
    <s v="Minister Group Dhaka"/>
    <x v="0"/>
    <s v="Mirpur"/>
    <n v="4"/>
    <n v="0"/>
    <s v="4 wickets"/>
    <s v="Wickets"/>
    <n v="4"/>
    <s v="Close Match"/>
    <n v="259"/>
    <x v="0"/>
    <s v="Masudur Rahman"/>
    <s v="Tanvir Ahmed"/>
    <x v="1"/>
    <x v="23"/>
    <x v="1"/>
  </r>
  <r>
    <x v="7"/>
    <x v="7"/>
    <x v="36"/>
    <x v="1"/>
    <s v="Jan 24 2022"/>
    <x v="94"/>
    <n v="7"/>
    <x v="58"/>
    <n v="9"/>
    <x v="133"/>
    <s v="Khulna Tigers"/>
    <s v="field first"/>
    <s v="Chattogram Challengers"/>
    <s v="Chattogram Challengers"/>
    <x v="0"/>
    <s v="Mirpur"/>
    <n v="0"/>
    <n v="25"/>
    <s v="25 runs"/>
    <s v="Runs"/>
    <n v="25"/>
    <s v="Normal"/>
    <n v="355"/>
    <x v="0"/>
    <s v="Morshed Ali Khan"/>
    <s v="Sharfuddoula"/>
    <x v="0"/>
    <x v="17"/>
    <x v="1"/>
  </r>
  <r>
    <x v="7"/>
    <x v="7"/>
    <x v="36"/>
    <x v="1"/>
    <s v="Jan 24 2022"/>
    <x v="94"/>
    <n v="7"/>
    <x v="58"/>
    <n v="9"/>
    <x v="133"/>
    <s v="Khulna Tigers"/>
    <s v="field first"/>
    <s v="Chattogram Challengers"/>
    <s v="Chattogram Challengers"/>
    <x v="0"/>
    <s v="Mirpur"/>
    <n v="0"/>
    <n v="25"/>
    <s v="25 runs"/>
    <s v="Runs"/>
    <n v="25"/>
    <s v="Normal"/>
    <n v="355"/>
    <x v="0"/>
    <s v="Morshed Ali Khan"/>
    <s v="Sharfuddoula"/>
    <x v="1"/>
    <x v="16"/>
    <x v="0"/>
  </r>
  <r>
    <x v="7"/>
    <x v="7"/>
    <x v="35"/>
    <x v="1"/>
    <s v="Jan 25 2022"/>
    <x v="121"/>
    <n v="10"/>
    <x v="105"/>
    <n v="3"/>
    <x v="105"/>
    <s v="Sylhet Sunrisers"/>
    <s v="field first"/>
    <s v="Sylhet Sunrisers"/>
    <s v="Sylhet Sunrisers"/>
    <x v="0"/>
    <s v="Mirpur"/>
    <n v="7"/>
    <n v="0"/>
    <s v="7 wickets"/>
    <s v="Wickets"/>
    <n v="7"/>
    <s v="Close Match"/>
    <n v="201"/>
    <x v="0"/>
    <s v="Masudur Rahman"/>
    <s v="Sharfuddoula"/>
    <x v="0"/>
    <x v="23"/>
    <x v="0"/>
  </r>
  <r>
    <x v="7"/>
    <x v="7"/>
    <x v="35"/>
    <x v="1"/>
    <s v="Jan 25 2022"/>
    <x v="121"/>
    <n v="10"/>
    <x v="105"/>
    <n v="3"/>
    <x v="105"/>
    <s v="Sylhet Sunrisers"/>
    <s v="field first"/>
    <s v="Sylhet Sunrisers"/>
    <s v="Sylhet Sunrisers"/>
    <x v="0"/>
    <s v="Mirpur"/>
    <n v="7"/>
    <n v="0"/>
    <s v="7 wickets"/>
    <s v="Wickets"/>
    <n v="7"/>
    <s v="Close Match"/>
    <n v="201"/>
    <x v="0"/>
    <s v="Masudur Rahman"/>
    <s v="Sharfuddoula"/>
    <x v="1"/>
    <x v="21"/>
    <x v="1"/>
  </r>
  <r>
    <x v="7"/>
    <x v="7"/>
    <x v="34"/>
    <x v="1"/>
    <s v="Jan 25 2022"/>
    <x v="40"/>
    <n v="7"/>
    <x v="112"/>
    <n v="10"/>
    <x v="132"/>
    <s v="Fortune Barishal"/>
    <s v="field first"/>
    <s v="Comilla Victorians"/>
    <s v="Comilla Victorians"/>
    <x v="0"/>
    <s v="Mirpur"/>
    <n v="0"/>
    <n v="63"/>
    <s v="63 runs"/>
    <s v="Runs"/>
    <n v="63"/>
    <s v="Normal"/>
    <n v="253"/>
    <x v="0"/>
    <s v="Morshed Ali Khan"/>
    <s v="Tanvir Ahmed"/>
    <x v="0"/>
    <x v="8"/>
    <x v="1"/>
  </r>
  <r>
    <x v="7"/>
    <x v="7"/>
    <x v="34"/>
    <x v="1"/>
    <s v="Jan 25 2022"/>
    <x v="40"/>
    <n v="7"/>
    <x v="112"/>
    <n v="10"/>
    <x v="132"/>
    <s v="Fortune Barishal"/>
    <s v="field first"/>
    <s v="Comilla Victorians"/>
    <s v="Comilla Victorians"/>
    <x v="0"/>
    <s v="Mirpur"/>
    <n v="0"/>
    <n v="63"/>
    <s v="63 runs"/>
    <s v="Runs"/>
    <n v="63"/>
    <s v="Normal"/>
    <n v="253"/>
    <x v="0"/>
    <s v="Morshed Ali Khan"/>
    <s v="Tanvir Ahmed"/>
    <x v="1"/>
    <x v="22"/>
    <x v="0"/>
  </r>
  <r>
    <x v="7"/>
    <x v="7"/>
    <x v="33"/>
    <x v="1"/>
    <s v="Jan 28 2022"/>
    <x v="106"/>
    <n v="8"/>
    <x v="0"/>
    <n v="4"/>
    <x v="64"/>
    <s v="Khulna Tigers"/>
    <s v="field first"/>
    <s v="Khulna Tigers"/>
    <s v="Khulna Tigers"/>
    <x v="0"/>
    <s v="Mirpur"/>
    <n v="6"/>
    <n v="0"/>
    <s v="6 wickets"/>
    <s v="Wickets"/>
    <n v="6"/>
    <s v="Close Match"/>
    <n v="287"/>
    <x v="0"/>
    <s v="Masudur Rahman"/>
    <s v="Tanvir Ahmed"/>
    <x v="0"/>
    <x v="17"/>
    <x v="0"/>
  </r>
  <r>
    <x v="7"/>
    <x v="7"/>
    <x v="33"/>
    <x v="1"/>
    <s v="Jan 28 2022"/>
    <x v="106"/>
    <n v="8"/>
    <x v="0"/>
    <n v="4"/>
    <x v="64"/>
    <s v="Khulna Tigers"/>
    <s v="field first"/>
    <s v="Khulna Tigers"/>
    <s v="Khulna Tigers"/>
    <x v="0"/>
    <s v="Mirpur"/>
    <n v="6"/>
    <n v="0"/>
    <s v="6 wickets"/>
    <s v="Wickets"/>
    <n v="6"/>
    <s v="Close Match"/>
    <n v="287"/>
    <x v="0"/>
    <s v="Masudur Rahman"/>
    <s v="Tanvir Ahmed"/>
    <x v="1"/>
    <x v="16"/>
    <x v="1"/>
  </r>
  <r>
    <x v="7"/>
    <x v="7"/>
    <x v="32"/>
    <x v="1"/>
    <s v="Jan 28 2022"/>
    <x v="36"/>
    <n v="5"/>
    <x v="85"/>
    <n v="1"/>
    <x v="48"/>
    <s v="Minister Group Dhaka"/>
    <s v="field first"/>
    <s v="Minister Group Dhaka"/>
    <s v="Minister Group Dhaka"/>
    <x v="1"/>
    <s v="Chattogram"/>
    <n v="9"/>
    <n v="0"/>
    <s v="9 wickets"/>
    <s v="Wickets"/>
    <n v="9"/>
    <s v="Close Match"/>
    <n v="352"/>
    <x v="0"/>
    <s v="Mahfuzur Rahman"/>
    <s v="Prageeth Rambukwella"/>
    <x v="0"/>
    <x v="21"/>
    <x v="0"/>
  </r>
  <r>
    <x v="7"/>
    <x v="7"/>
    <x v="32"/>
    <x v="1"/>
    <s v="Jan 28 2022"/>
    <x v="36"/>
    <n v="5"/>
    <x v="85"/>
    <n v="1"/>
    <x v="48"/>
    <s v="Minister Group Dhaka"/>
    <s v="field first"/>
    <s v="Minister Group Dhaka"/>
    <s v="Minister Group Dhaka"/>
    <x v="1"/>
    <s v="Chattogram"/>
    <n v="9"/>
    <n v="0"/>
    <s v="9 wickets"/>
    <s v="Wickets"/>
    <n v="9"/>
    <s v="Close Match"/>
    <n v="352"/>
    <x v="0"/>
    <s v="Mahfuzur Rahman"/>
    <s v="Prageeth Rambukwella"/>
    <x v="1"/>
    <x v="23"/>
    <x v="1"/>
  </r>
  <r>
    <x v="7"/>
    <x v="7"/>
    <x v="30"/>
    <x v="1"/>
    <s v="Jan 29 2022"/>
    <x v="45"/>
    <n v="9"/>
    <x v="56"/>
    <n v="10"/>
    <x v="67"/>
    <s v="Khulna Tigers"/>
    <s v="field first"/>
    <s v="Fortune Barishal"/>
    <s v="Fortune Barishal"/>
    <x v="1"/>
    <s v="Chattogram"/>
    <n v="0"/>
    <n v="17"/>
    <s v="17 runs"/>
    <s v="Runs"/>
    <n v="17"/>
    <s v="Normal"/>
    <n v="265"/>
    <x v="0"/>
    <s v="Morshed Ali Khan"/>
    <s v="Prageeth Rambukwella"/>
    <x v="0"/>
    <x v="22"/>
    <x v="1"/>
  </r>
  <r>
    <x v="7"/>
    <x v="7"/>
    <x v="30"/>
    <x v="1"/>
    <s v="Jan 29 2022"/>
    <x v="45"/>
    <n v="9"/>
    <x v="56"/>
    <n v="10"/>
    <x v="67"/>
    <s v="Khulna Tigers"/>
    <s v="field first"/>
    <s v="Fortune Barishal"/>
    <s v="Fortune Barishal"/>
    <x v="1"/>
    <s v="Chattogram"/>
    <n v="0"/>
    <n v="17"/>
    <s v="17 runs"/>
    <s v="Runs"/>
    <n v="17"/>
    <s v="Normal"/>
    <n v="265"/>
    <x v="0"/>
    <s v="Morshed Ali Khan"/>
    <s v="Prageeth Rambukwella"/>
    <x v="1"/>
    <x v="16"/>
    <x v="0"/>
  </r>
  <r>
    <x v="7"/>
    <x v="7"/>
    <x v="28"/>
    <x v="1"/>
    <s v="Jan 29 2022"/>
    <x v="64"/>
    <n v="5"/>
    <x v="63"/>
    <n v="6"/>
    <x v="66"/>
    <s v="Sylhet Sunrisers"/>
    <s v="field first"/>
    <s v="Chattogram Challengers"/>
    <s v="Chattogram Challengers"/>
    <x v="1"/>
    <s v="Chattogram"/>
    <n v="0"/>
    <n v="16"/>
    <s v="16 runs"/>
    <s v="Runs"/>
    <n v="16"/>
    <s v="Normal"/>
    <n v="388"/>
    <x v="0"/>
    <s v="Mahfuzur Rahman"/>
    <s v="Sharfuddoula"/>
    <x v="0"/>
    <x v="17"/>
    <x v="1"/>
  </r>
  <r>
    <x v="7"/>
    <x v="7"/>
    <x v="28"/>
    <x v="1"/>
    <s v="Jan 29 2022"/>
    <x v="64"/>
    <n v="5"/>
    <x v="63"/>
    <n v="6"/>
    <x v="66"/>
    <s v="Sylhet Sunrisers"/>
    <s v="field first"/>
    <s v="Chattogram Challengers"/>
    <s v="Chattogram Challengers"/>
    <x v="1"/>
    <s v="Chattogram"/>
    <n v="0"/>
    <n v="16"/>
    <s v="16 runs"/>
    <s v="Runs"/>
    <n v="16"/>
    <s v="Normal"/>
    <n v="388"/>
    <x v="0"/>
    <s v="Mahfuzur Rahman"/>
    <s v="Sharfuddoula"/>
    <x v="1"/>
    <x v="21"/>
    <x v="0"/>
  </r>
  <r>
    <x v="7"/>
    <x v="7"/>
    <x v="27"/>
    <x v="1"/>
    <s v="Jan 31 2022"/>
    <x v="63"/>
    <n v="3"/>
    <x v="34"/>
    <n v="10"/>
    <x v="65"/>
    <s v="Chattogram Challengers"/>
    <s v="field first"/>
    <s v="Comilla Victorians"/>
    <s v="Comilla Victorians"/>
    <x v="1"/>
    <s v="Chattogram"/>
    <n v="0"/>
    <n v="52"/>
    <s v="52 runs"/>
    <s v="Runs"/>
    <n v="52"/>
    <s v="Normal"/>
    <n v="314"/>
    <x v="0"/>
    <s v="Morshed Ali Khan"/>
    <s v="Sharfuddoula"/>
    <x v="0"/>
    <x v="8"/>
    <x v="1"/>
  </r>
  <r>
    <x v="7"/>
    <x v="7"/>
    <x v="27"/>
    <x v="1"/>
    <s v="Jan 31 2022"/>
    <x v="63"/>
    <n v="3"/>
    <x v="34"/>
    <n v="10"/>
    <x v="65"/>
    <s v="Chattogram Challengers"/>
    <s v="field first"/>
    <s v="Comilla Victorians"/>
    <s v="Comilla Victorians"/>
    <x v="1"/>
    <s v="Chattogram"/>
    <n v="0"/>
    <n v="52"/>
    <s v="52 runs"/>
    <s v="Runs"/>
    <n v="52"/>
    <s v="Normal"/>
    <n v="314"/>
    <x v="0"/>
    <s v="Morshed Ali Khan"/>
    <s v="Sharfuddoula"/>
    <x v="1"/>
    <x v="17"/>
    <x v="0"/>
  </r>
  <r>
    <x v="7"/>
    <x v="7"/>
    <x v="25"/>
    <x v="1"/>
    <s v="Jan 31 2022"/>
    <x v="26"/>
    <n v="10"/>
    <x v="17"/>
    <n v="6"/>
    <x v="16"/>
    <s v="Fortune Barishal"/>
    <s v="bat first"/>
    <s v="Fortune Barishal"/>
    <s v="Fortune Barishal"/>
    <x v="1"/>
    <s v="Chattogram"/>
    <n v="0"/>
    <n v="6"/>
    <s v="6 runs"/>
    <s v="Runs"/>
    <n v="6"/>
    <s v="Close Match"/>
    <n v="284"/>
    <x v="0"/>
    <s v="Mahfuzur Rahman"/>
    <s v="Prageeth Rambukwella"/>
    <x v="0"/>
    <x v="22"/>
    <x v="1"/>
  </r>
  <r>
    <x v="7"/>
    <x v="7"/>
    <x v="25"/>
    <x v="1"/>
    <s v="Jan 31 2022"/>
    <x v="26"/>
    <n v="10"/>
    <x v="17"/>
    <n v="6"/>
    <x v="16"/>
    <s v="Fortune Barishal"/>
    <s v="bat first"/>
    <s v="Fortune Barishal"/>
    <s v="Fortune Barishal"/>
    <x v="1"/>
    <s v="Chattogram"/>
    <n v="0"/>
    <n v="6"/>
    <s v="6 runs"/>
    <s v="Runs"/>
    <n v="6"/>
    <s v="Close Match"/>
    <n v="284"/>
    <x v="0"/>
    <s v="Mahfuzur Rahman"/>
    <s v="Prageeth Rambukwella"/>
    <x v="1"/>
    <x v="16"/>
    <x v="0"/>
  </r>
  <r>
    <x v="7"/>
    <x v="7"/>
    <x v="23"/>
    <x v="1"/>
    <s v="Feb 01 2022"/>
    <x v="62"/>
    <n v="6"/>
    <x v="34"/>
    <n v="10"/>
    <x v="28"/>
    <s v="Comilla Victorians"/>
    <s v="field first"/>
    <s v="Minister Group Dhaka"/>
    <s v="Minister Group Dhaka"/>
    <x v="1"/>
    <s v="Chattogram"/>
    <n v="0"/>
    <n v="50"/>
    <s v="50 runs"/>
    <s v="Runs"/>
    <n v="50"/>
    <s v="Normal"/>
    <n v="312"/>
    <x v="0"/>
    <s v="Prageeth Rambukwella"/>
    <s v="Tanvir Ahmed"/>
    <x v="0"/>
    <x v="23"/>
    <x v="1"/>
  </r>
  <r>
    <x v="7"/>
    <x v="7"/>
    <x v="23"/>
    <x v="1"/>
    <s v="Feb 01 2022"/>
    <x v="62"/>
    <n v="6"/>
    <x v="34"/>
    <n v="10"/>
    <x v="28"/>
    <s v="Comilla Victorians"/>
    <s v="field first"/>
    <s v="Minister Group Dhaka"/>
    <s v="Minister Group Dhaka"/>
    <x v="1"/>
    <s v="Chattogram"/>
    <n v="0"/>
    <n v="50"/>
    <s v="50 runs"/>
    <s v="Runs"/>
    <n v="50"/>
    <s v="Normal"/>
    <n v="312"/>
    <x v="0"/>
    <s v="Prageeth Rambukwella"/>
    <s v="Tanvir Ahmed"/>
    <x v="1"/>
    <x v="8"/>
    <x v="0"/>
  </r>
  <r>
    <x v="7"/>
    <x v="7"/>
    <x v="22"/>
    <x v="1"/>
    <s v="Feb 01 2022"/>
    <x v="11"/>
    <n v="10"/>
    <x v="45"/>
    <n v="10"/>
    <x v="16"/>
    <s v="Fortune Barishal"/>
    <s v="bat first"/>
    <s v="Fortune Barishal"/>
    <s v="Fortune Barishal"/>
    <x v="1"/>
    <s v="Chattogram"/>
    <n v="0"/>
    <n v="14"/>
    <s v="14 runs"/>
    <s v="Runs"/>
    <n v="14"/>
    <s v="Normal"/>
    <n v="284"/>
    <x v="0"/>
    <s v="Mahfuzur Rahman"/>
    <s v="Masudur Rahman"/>
    <x v="0"/>
    <x v="22"/>
    <x v="1"/>
  </r>
  <r>
    <x v="7"/>
    <x v="7"/>
    <x v="22"/>
    <x v="1"/>
    <s v="Feb 01 2022"/>
    <x v="11"/>
    <n v="10"/>
    <x v="45"/>
    <n v="10"/>
    <x v="16"/>
    <s v="Fortune Barishal"/>
    <s v="bat first"/>
    <s v="Fortune Barishal"/>
    <s v="Fortune Barishal"/>
    <x v="1"/>
    <s v="Chattogram"/>
    <n v="0"/>
    <n v="14"/>
    <s v="14 runs"/>
    <s v="Runs"/>
    <n v="14"/>
    <s v="Normal"/>
    <n v="284"/>
    <x v="0"/>
    <s v="Mahfuzur Rahman"/>
    <s v="Masudur Rahman"/>
    <x v="1"/>
    <x v="17"/>
    <x v="0"/>
  </r>
  <r>
    <x v="7"/>
    <x v="7"/>
    <x v="20"/>
    <x v="1"/>
    <s v="Feb 03 2022"/>
    <x v="39"/>
    <n v="5"/>
    <x v="0"/>
    <n v="1"/>
    <x v="64"/>
    <s v="Khulna Tigers"/>
    <s v="field first"/>
    <s v="Khulna Tigers"/>
    <s v="Khulna Tigers"/>
    <x v="0"/>
    <s v="Mirpur"/>
    <n v="9"/>
    <n v="0"/>
    <s v="9 wickets"/>
    <s v="Wickets"/>
    <n v="9"/>
    <s v="Close Match"/>
    <n v="286"/>
    <x v="0"/>
    <s v="Masudur Rahman"/>
    <s v="Morshed Ali Khan"/>
    <x v="0"/>
    <x v="21"/>
    <x v="0"/>
  </r>
  <r>
    <x v="7"/>
    <x v="7"/>
    <x v="20"/>
    <x v="1"/>
    <s v="Feb 03 2022"/>
    <x v="39"/>
    <n v="5"/>
    <x v="0"/>
    <n v="1"/>
    <x v="64"/>
    <s v="Khulna Tigers"/>
    <s v="field first"/>
    <s v="Khulna Tigers"/>
    <s v="Khulna Tigers"/>
    <x v="0"/>
    <s v="Mirpur"/>
    <n v="9"/>
    <n v="0"/>
    <s v="9 wickets"/>
    <s v="Wickets"/>
    <n v="9"/>
    <s v="Close Match"/>
    <n v="286"/>
    <x v="0"/>
    <s v="Masudur Rahman"/>
    <s v="Morshed Ali Khan"/>
    <x v="1"/>
    <x v="16"/>
    <x v="1"/>
  </r>
  <r>
    <x v="7"/>
    <x v="7"/>
    <x v="18"/>
    <x v="1"/>
    <s v="Feb 03 2022"/>
    <x v="61"/>
    <n v="8"/>
    <x v="62"/>
    <n v="1"/>
    <x v="63"/>
    <s v="Comilla Victorians"/>
    <s v="field first"/>
    <s v="Comilla Victorians"/>
    <s v="Comilla Victorians"/>
    <x v="0"/>
    <s v="Mirpur"/>
    <n v="9"/>
    <n v="0"/>
    <s v="9 wickets"/>
    <s v="Wickets"/>
    <n v="9"/>
    <s v="Close Match"/>
    <n v="286"/>
    <x v="0"/>
    <s v="Mahfuzur Rahman"/>
    <s v="Prageeth Rambukwella"/>
    <x v="0"/>
    <x v="17"/>
    <x v="0"/>
  </r>
  <r>
    <x v="7"/>
    <x v="7"/>
    <x v="18"/>
    <x v="1"/>
    <s v="Feb 03 2022"/>
    <x v="61"/>
    <n v="8"/>
    <x v="62"/>
    <n v="1"/>
    <x v="63"/>
    <s v="Comilla Victorians"/>
    <s v="field first"/>
    <s v="Comilla Victorians"/>
    <s v="Comilla Victorians"/>
    <x v="0"/>
    <s v="Mirpur"/>
    <n v="9"/>
    <n v="0"/>
    <s v="9 wickets"/>
    <s v="Wickets"/>
    <n v="9"/>
    <s v="Close Match"/>
    <n v="286"/>
    <x v="0"/>
    <s v="Mahfuzur Rahman"/>
    <s v="Prageeth Rambukwella"/>
    <x v="1"/>
    <x v="8"/>
    <x v="1"/>
  </r>
  <r>
    <x v="7"/>
    <x v="7"/>
    <x v="12"/>
    <x v="1"/>
    <s v="Feb 7 2022"/>
    <x v="58"/>
    <n v="5"/>
    <x v="90"/>
    <n v="9"/>
    <x v="16"/>
    <s v="Comilla Victorians"/>
    <s v="field first"/>
    <s v="Fortune Barishal"/>
    <s v="Fortune Barishal"/>
    <x v="4"/>
    <s v="Sylhet"/>
    <n v="0"/>
    <n v="32"/>
    <s v="32 runs"/>
    <s v="Runs"/>
    <n v="32"/>
    <s v="Normal"/>
    <n v="278"/>
    <x v="0"/>
    <s v="Masudur Rahman"/>
    <s v="Mozahiduzzaman"/>
    <x v="0"/>
    <x v="22"/>
    <x v="1"/>
  </r>
  <r>
    <x v="7"/>
    <x v="7"/>
    <x v="12"/>
    <x v="1"/>
    <s v="Feb 7 2022"/>
    <x v="58"/>
    <n v="5"/>
    <x v="90"/>
    <n v="9"/>
    <x v="16"/>
    <s v="Comilla Victorians"/>
    <s v="field first"/>
    <s v="Fortune Barishal"/>
    <s v="Fortune Barishal"/>
    <x v="4"/>
    <s v="Sylhet"/>
    <n v="0"/>
    <n v="32"/>
    <s v="32 runs"/>
    <s v="Runs"/>
    <n v="32"/>
    <s v="Normal"/>
    <n v="278"/>
    <x v="0"/>
    <s v="Masudur Rahman"/>
    <s v="Mozahiduzzaman"/>
    <x v="1"/>
    <x v="8"/>
    <x v="0"/>
  </r>
  <r>
    <x v="7"/>
    <x v="7"/>
    <x v="11"/>
    <x v="1"/>
    <s v="Feb 07 2022"/>
    <x v="69"/>
    <n v="3"/>
    <x v="40"/>
    <n v="6"/>
    <x v="88"/>
    <s v="Sylhet Sunrisers"/>
    <s v="field first"/>
    <s v="Khulna Tigers"/>
    <s v="Khulna Tigers"/>
    <x v="4"/>
    <s v="Sylhet"/>
    <n v="0"/>
    <n v="15"/>
    <s v="15 runs"/>
    <s v="Runs"/>
    <n v="15"/>
    <s v="Normal"/>
    <n v="349"/>
    <x v="0"/>
    <s v="Mahfuzur Rahman"/>
    <s v="Prageeth Rambukwella"/>
    <x v="0"/>
    <x v="16"/>
    <x v="1"/>
  </r>
  <r>
    <x v="7"/>
    <x v="7"/>
    <x v="11"/>
    <x v="1"/>
    <s v="Feb 07 2022"/>
    <x v="69"/>
    <n v="3"/>
    <x v="40"/>
    <n v="6"/>
    <x v="88"/>
    <s v="Sylhet Sunrisers"/>
    <s v="field first"/>
    <s v="Khulna Tigers"/>
    <s v="Khulna Tigers"/>
    <x v="4"/>
    <s v="Sylhet"/>
    <n v="0"/>
    <n v="15"/>
    <s v="15 runs"/>
    <s v="Runs"/>
    <n v="15"/>
    <s v="Normal"/>
    <n v="349"/>
    <x v="0"/>
    <s v="Mahfuzur Rahman"/>
    <s v="Prageeth Rambukwella"/>
    <x v="1"/>
    <x v="21"/>
    <x v="0"/>
  </r>
  <r>
    <x v="7"/>
    <x v="7"/>
    <x v="9"/>
    <x v="1"/>
    <s v="Feb 08 2022"/>
    <x v="95"/>
    <n v="6"/>
    <x v="21"/>
    <n v="6"/>
    <x v="135"/>
    <s v="Minister Group Dhaka"/>
    <s v="field first"/>
    <s v="Chattogram Challengers"/>
    <s v="Chattogram Challengers"/>
    <x v="4"/>
    <s v="Sylhet"/>
    <n v="0"/>
    <n v="3"/>
    <s v="3 runs"/>
    <s v="Runs"/>
    <n v="3"/>
    <s v="Close Match"/>
    <n v="293"/>
    <x v="0"/>
    <s v="Prageeth Rambukwella"/>
    <s v="Mahfuzur Rahman"/>
    <x v="0"/>
    <x v="17"/>
    <x v="1"/>
  </r>
  <r>
    <x v="7"/>
    <x v="7"/>
    <x v="9"/>
    <x v="1"/>
    <s v="Feb 08 2022"/>
    <x v="95"/>
    <n v="6"/>
    <x v="21"/>
    <n v="6"/>
    <x v="135"/>
    <s v="Minister Group Dhaka"/>
    <s v="field first"/>
    <s v="Chattogram Challengers"/>
    <s v="Chattogram Challengers"/>
    <x v="4"/>
    <s v="Sylhet"/>
    <n v="0"/>
    <n v="3"/>
    <s v="3 runs"/>
    <s v="Runs"/>
    <n v="3"/>
    <s v="Close Match"/>
    <n v="293"/>
    <x v="0"/>
    <s v="Prageeth Rambukwella"/>
    <s v="Mahfuzur Rahman"/>
    <x v="1"/>
    <x v="23"/>
    <x v="0"/>
  </r>
  <r>
    <x v="7"/>
    <x v="7"/>
    <x v="8"/>
    <x v="1"/>
    <s v="Feb 08 2022"/>
    <x v="51"/>
    <n v="4"/>
    <x v="29"/>
    <n v="6"/>
    <x v="16"/>
    <s v="Sylhet Sunrisers"/>
    <s v="field first"/>
    <s v="Fortune Barishal"/>
    <s v="Fortune Barishal"/>
    <x v="4"/>
    <s v="Sylhet"/>
    <n v="0"/>
    <n v="12"/>
    <s v="12 runs"/>
    <s v="Runs"/>
    <n v="12"/>
    <s v="Normal"/>
    <n v="386"/>
    <x v="0"/>
    <s v="Mozahiduzzaman"/>
    <s v="Tanvir Ahmed"/>
    <x v="0"/>
    <x v="22"/>
    <x v="1"/>
  </r>
  <r>
    <x v="7"/>
    <x v="7"/>
    <x v="8"/>
    <x v="1"/>
    <s v="Feb 08 2022"/>
    <x v="51"/>
    <n v="4"/>
    <x v="29"/>
    <n v="6"/>
    <x v="16"/>
    <s v="Sylhet Sunrisers"/>
    <s v="field first"/>
    <s v="Fortune Barishal"/>
    <s v="Fortune Barishal"/>
    <x v="4"/>
    <s v="Sylhet"/>
    <n v="0"/>
    <n v="12"/>
    <s v="12 runs"/>
    <s v="Runs"/>
    <n v="12"/>
    <s v="Normal"/>
    <n v="386"/>
    <x v="0"/>
    <s v="Mozahiduzzaman"/>
    <s v="Tanvir Ahmed"/>
    <x v="1"/>
    <x v="21"/>
    <x v="0"/>
  </r>
  <r>
    <x v="7"/>
    <x v="7"/>
    <x v="7"/>
    <x v="1"/>
    <s v="Feb 9 2022"/>
    <x v="72"/>
    <n v="8"/>
    <x v="34"/>
    <n v="5"/>
    <x v="85"/>
    <s v="Khulna Tigers"/>
    <s v="bat first"/>
    <s v="Minister Group Dhaka"/>
    <s v="Minister Group Dhaka"/>
    <x v="4"/>
    <s v="Sylhet"/>
    <n v="5"/>
    <n v="0"/>
    <s v="5 wickets"/>
    <s v="Wickets"/>
    <n v="5"/>
    <s v="Close Match"/>
    <n v="260"/>
    <x v="0"/>
    <s v="Prageeth Rambukwella"/>
    <s v="Tanvir Ahmed"/>
    <x v="0"/>
    <x v="16"/>
    <x v="0"/>
  </r>
  <r>
    <x v="7"/>
    <x v="7"/>
    <x v="7"/>
    <x v="1"/>
    <s v="Feb 9 2022"/>
    <x v="72"/>
    <n v="8"/>
    <x v="34"/>
    <n v="5"/>
    <x v="85"/>
    <s v="Khulna Tigers"/>
    <s v="bat first"/>
    <s v="Minister Group Dhaka"/>
    <s v="Minister Group Dhaka"/>
    <x v="4"/>
    <s v="Sylhet"/>
    <n v="5"/>
    <n v="0"/>
    <s v="5 wickets"/>
    <s v="Wickets"/>
    <n v="5"/>
    <s v="Close Match"/>
    <n v="260"/>
    <x v="0"/>
    <s v="Prageeth Rambukwella"/>
    <s v="Tanvir Ahmed"/>
    <x v="1"/>
    <x v="23"/>
    <x v="1"/>
  </r>
  <r>
    <x v="7"/>
    <x v="7"/>
    <x v="6"/>
    <x v="1"/>
    <s v="Feb 9 2022"/>
    <x v="101"/>
    <n v="5"/>
    <x v="113"/>
    <n v="6"/>
    <x v="136"/>
    <s v="Comilla Victorians"/>
    <s v="field first"/>
    <s v="Comilla Victorians"/>
    <s v="Comilla Victorians"/>
    <x v="4"/>
    <s v="Sylhet"/>
    <n v="4"/>
    <n v="0"/>
    <s v="4 wickets"/>
    <s v="Wickets"/>
    <n v="4"/>
    <s v="Close Match"/>
    <n v="342"/>
    <x v="0"/>
    <s v="Mahfuzur Rahman"/>
    <s v="Mozahiduzzaman"/>
    <x v="0"/>
    <x v="21"/>
    <x v="0"/>
  </r>
  <r>
    <x v="7"/>
    <x v="7"/>
    <x v="6"/>
    <x v="1"/>
    <s v="Feb 9 2022"/>
    <x v="101"/>
    <n v="5"/>
    <x v="113"/>
    <n v="6"/>
    <x v="136"/>
    <s v="Comilla Victorians"/>
    <s v="field first"/>
    <s v="Comilla Victorians"/>
    <s v="Comilla Victorians"/>
    <x v="4"/>
    <s v="Sylhet"/>
    <n v="4"/>
    <n v="0"/>
    <s v="4 wickets"/>
    <s v="Wickets"/>
    <n v="4"/>
    <s v="Close Match"/>
    <n v="342"/>
    <x v="0"/>
    <s v="Mahfuzur Rahman"/>
    <s v="Mozahiduzzaman"/>
    <x v="1"/>
    <x v="8"/>
    <x v="1"/>
  </r>
  <r>
    <x v="7"/>
    <x v="7"/>
    <x v="5"/>
    <x v="1"/>
    <s v="Feb 11 2022"/>
    <x v="88"/>
    <n v="6"/>
    <x v="90"/>
    <n v="10"/>
    <x v="137"/>
    <s v="Khulna Tigers"/>
    <s v="field first"/>
    <s v="Comilla Victorians"/>
    <s v="Comilla Victorians"/>
    <x v="0"/>
    <s v="Mirpur"/>
    <n v="0"/>
    <n v="65"/>
    <s v="65 runs"/>
    <s v="Runs"/>
    <n v="65"/>
    <s v="Normal"/>
    <n v="311"/>
    <x v="0"/>
    <s v="Masudur Rahman"/>
    <s v="Morshed AliÂ Khan"/>
    <x v="0"/>
    <x v="8"/>
    <x v="1"/>
  </r>
  <r>
    <x v="7"/>
    <x v="7"/>
    <x v="5"/>
    <x v="1"/>
    <s v="Feb 11 2022"/>
    <x v="88"/>
    <n v="6"/>
    <x v="90"/>
    <n v="10"/>
    <x v="137"/>
    <s v="Khulna Tigers"/>
    <s v="field first"/>
    <s v="Comilla Victorians"/>
    <s v="Comilla Victorians"/>
    <x v="0"/>
    <s v="Mirpur"/>
    <n v="0"/>
    <n v="65"/>
    <s v="65 runs"/>
    <s v="Runs"/>
    <n v="65"/>
    <s v="Normal"/>
    <n v="311"/>
    <x v="0"/>
    <s v="Masudur Rahman"/>
    <s v="Morshed AliÂ Khan"/>
    <x v="1"/>
    <x v="16"/>
    <x v="0"/>
  </r>
  <r>
    <x v="7"/>
    <x v="7"/>
    <x v="4"/>
    <x v="1"/>
    <s v="Feb 11 2022"/>
    <x v="13"/>
    <n v="9"/>
    <x v="9"/>
    <n v="2"/>
    <x v="16"/>
    <s v="Minister Group Dhaka"/>
    <s v="bat first"/>
    <s v="Fortune Barishal"/>
    <s v="Fortune Barishal"/>
    <x v="0"/>
    <s v="Mirpur"/>
    <n v="8"/>
    <n v="0"/>
    <s v="8 wickets"/>
    <s v="Wickets"/>
    <n v="8"/>
    <s v="Close Match"/>
    <n v="257"/>
    <x v="0"/>
    <s v="Mahfuzur Rahman"/>
    <s v="Prageeth Rambukwella"/>
    <x v="0"/>
    <x v="23"/>
    <x v="0"/>
  </r>
  <r>
    <x v="7"/>
    <x v="7"/>
    <x v="4"/>
    <x v="1"/>
    <s v="Feb 11 2022"/>
    <x v="13"/>
    <n v="9"/>
    <x v="9"/>
    <n v="2"/>
    <x v="16"/>
    <s v="Minister Group Dhaka"/>
    <s v="bat first"/>
    <s v="Fortune Barishal"/>
    <s v="Fortune Barishal"/>
    <x v="0"/>
    <s v="Mirpur"/>
    <n v="8"/>
    <n v="0"/>
    <s v="8 wickets"/>
    <s v="Wickets"/>
    <n v="8"/>
    <s v="Close Match"/>
    <n v="257"/>
    <x v="0"/>
    <s v="Mahfuzur Rahman"/>
    <s v="Prageeth Rambukwella"/>
    <x v="1"/>
    <x v="22"/>
    <x v="1"/>
  </r>
  <r>
    <x v="7"/>
    <x v="7"/>
    <x v="3"/>
    <x v="1"/>
    <s v="Feb 12 2022"/>
    <x v="92"/>
    <n v="6"/>
    <x v="87"/>
    <n v="6"/>
    <x v="138"/>
    <s v="Chattogram Challengers"/>
    <s v="field first"/>
    <s v="Chattogram Challengers"/>
    <s v="Chattogram Challengers"/>
    <x v="0"/>
    <s v="Mirpur"/>
    <n v="4"/>
    <n v="0"/>
    <s v="4 wickets"/>
    <s v="Wickets"/>
    <n v="4"/>
    <s v="Close Match"/>
    <n v="373"/>
    <x v="0"/>
    <s v="Masudur Rahman"/>
    <s v="Prageeth Rambukwella"/>
    <x v="0"/>
    <x v="21"/>
    <x v="0"/>
  </r>
  <r>
    <x v="7"/>
    <x v="7"/>
    <x v="3"/>
    <x v="1"/>
    <s v="Feb 12 2022"/>
    <x v="92"/>
    <n v="6"/>
    <x v="87"/>
    <n v="6"/>
    <x v="138"/>
    <s v="Chattogram Challengers"/>
    <s v="field first"/>
    <s v="Chattogram Challengers"/>
    <s v="Chattogram Challengers"/>
    <x v="0"/>
    <s v="Mirpur"/>
    <n v="4"/>
    <n v="0"/>
    <s v="4 wickets"/>
    <s v="Wickets"/>
    <n v="4"/>
    <s v="Close Match"/>
    <n v="373"/>
    <x v="0"/>
    <s v="Masudur Rahman"/>
    <s v="Prageeth Rambukwella"/>
    <x v="1"/>
    <x v="17"/>
    <x v="1"/>
  </r>
  <r>
    <x v="7"/>
    <x v="7"/>
    <x v="48"/>
    <x v="1"/>
    <s v="Feb 12 2022"/>
    <x v="69"/>
    <n v="5"/>
    <x v="98"/>
    <n v="1"/>
    <x v="64"/>
    <s v="Comilla Victorians"/>
    <s v="bat first"/>
    <s v="Khulna Tigers"/>
    <s v="Khulna Tigers"/>
    <x v="0"/>
    <s v="Mirpur"/>
    <n v="9"/>
    <n v="0"/>
    <s v="9 wickets"/>
    <s v="Wickets"/>
    <n v="9"/>
    <s v="Close Match"/>
    <n v="365"/>
    <x v="0"/>
    <s v="Mahfuzur Rahman"/>
    <s v="TanvirÂ Ahmed"/>
    <x v="0"/>
    <x v="8"/>
    <x v="0"/>
  </r>
  <r>
    <x v="7"/>
    <x v="7"/>
    <x v="48"/>
    <x v="1"/>
    <s v="Feb 12 2022"/>
    <x v="69"/>
    <n v="5"/>
    <x v="98"/>
    <n v="1"/>
    <x v="64"/>
    <s v="Comilla Victorians"/>
    <s v="bat first"/>
    <s v="Khulna Tigers"/>
    <s v="Khulna Tigers"/>
    <x v="0"/>
    <s v="Mirpur"/>
    <n v="9"/>
    <n v="0"/>
    <s v="9 wickets"/>
    <s v="Wickets"/>
    <n v="9"/>
    <s v="Close Match"/>
    <n v="365"/>
    <x v="0"/>
    <s v="Mahfuzur Rahman"/>
    <s v="TanvirÂ Ahmed"/>
    <x v="1"/>
    <x v="16"/>
    <x v="1"/>
  </r>
  <r>
    <x v="7"/>
    <x v="7"/>
    <x v="31"/>
    <x v="1"/>
    <s v="Feb 14 2022"/>
    <x v="55"/>
    <n v="5"/>
    <x v="1"/>
    <n v="5"/>
    <x v="129"/>
    <s v="Khulna Tigers"/>
    <s v="field first"/>
    <s v="Chattogram Challengers"/>
    <s v="Chattogram Challengers"/>
    <x v="0"/>
    <s v="Mirpur"/>
    <n v="0"/>
    <n v="7"/>
    <s v="7 runs"/>
    <s v="Runs"/>
    <n v="7"/>
    <s v="Close Match"/>
    <n v="371"/>
    <x v="0"/>
    <s v="Mahfuzur Rahman"/>
    <s v="Prageeth Rambukwella"/>
    <x v="0"/>
    <x v="17"/>
    <x v="1"/>
  </r>
  <r>
    <x v="7"/>
    <x v="7"/>
    <x v="31"/>
    <x v="1"/>
    <s v="Feb 14 2022"/>
    <x v="55"/>
    <n v="5"/>
    <x v="1"/>
    <n v="5"/>
    <x v="129"/>
    <s v="Khulna Tigers"/>
    <s v="field first"/>
    <s v="Chattogram Challengers"/>
    <s v="Chattogram Challengers"/>
    <x v="0"/>
    <s v="Mirpur"/>
    <n v="0"/>
    <n v="7"/>
    <s v="7 runs"/>
    <s v="Runs"/>
    <n v="7"/>
    <s v="Close Match"/>
    <n v="371"/>
    <x v="0"/>
    <s v="Mahfuzur Rahman"/>
    <s v="Prageeth Rambukwella"/>
    <x v="1"/>
    <x v="16"/>
    <x v="0"/>
  </r>
  <r>
    <x v="7"/>
    <x v="7"/>
    <x v="50"/>
    <x v="1"/>
    <s v="Feb 14 2022"/>
    <x v="106"/>
    <n v="8"/>
    <x v="94"/>
    <n v="7"/>
    <x v="67"/>
    <s v="Comilla Victorians"/>
    <s v="field first"/>
    <s v="Fortune Barishal"/>
    <s v="Fortune Barishal"/>
    <x v="0"/>
    <s v="Mirpur"/>
    <n v="0"/>
    <n v="10"/>
    <s v="10 runs"/>
    <s v="Runs"/>
    <n v="10"/>
    <s v="Close Match"/>
    <n v="276"/>
    <x v="0"/>
    <s v="Masudur Rahman"/>
    <s v="TanvirÂ Ahmed"/>
    <x v="0"/>
    <x v="22"/>
    <x v="1"/>
  </r>
  <r>
    <x v="7"/>
    <x v="7"/>
    <x v="50"/>
    <x v="1"/>
    <s v="Feb 14 2022"/>
    <x v="106"/>
    <n v="8"/>
    <x v="94"/>
    <n v="7"/>
    <x v="67"/>
    <s v="Comilla Victorians"/>
    <s v="field first"/>
    <s v="Fortune Barishal"/>
    <s v="Fortune Barishal"/>
    <x v="0"/>
    <s v="Mirpur"/>
    <n v="0"/>
    <n v="10"/>
    <s v="10 runs"/>
    <s v="Runs"/>
    <n v="10"/>
    <s v="Close Match"/>
    <n v="276"/>
    <x v="0"/>
    <s v="Masudur Rahman"/>
    <s v="TanvirÂ Ahmed"/>
    <x v="1"/>
    <x v="8"/>
    <x v="0"/>
  </r>
  <r>
    <x v="7"/>
    <x v="7"/>
    <x v="51"/>
    <x v="1"/>
    <s v="Feb 16 2022"/>
    <x v="95"/>
    <n v="10"/>
    <x v="47"/>
    <n v="3"/>
    <x v="51"/>
    <s v="Chattogram Challengers"/>
    <s v="bat first"/>
    <s v="Comilla Victorians"/>
    <s v="Comilla Victorians"/>
    <x v="0"/>
    <s v="Mirpur"/>
    <n v="7"/>
    <n v="0"/>
    <s v="7 wickets"/>
    <s v="Wickets"/>
    <n v="7"/>
    <s v="Close Match"/>
    <n v="297"/>
    <x v="0"/>
    <s v="TanvirÂ Ahmed"/>
    <s v="Prageeth Rambukwella"/>
    <x v="0"/>
    <x v="17"/>
    <x v="0"/>
  </r>
  <r>
    <x v="7"/>
    <x v="7"/>
    <x v="51"/>
    <x v="1"/>
    <s v="Feb 16 2022"/>
    <x v="95"/>
    <n v="10"/>
    <x v="47"/>
    <n v="3"/>
    <x v="51"/>
    <s v="Chattogram Challengers"/>
    <s v="bat first"/>
    <s v="Comilla Victorians"/>
    <s v="Comilla Victorians"/>
    <x v="0"/>
    <s v="Mirpur"/>
    <n v="7"/>
    <n v="0"/>
    <s v="7 wickets"/>
    <s v="Wickets"/>
    <n v="7"/>
    <s v="Close Match"/>
    <n v="297"/>
    <x v="0"/>
    <s v="TanvirÂ Ahmed"/>
    <s v="Prageeth Rambukwella"/>
    <x v="1"/>
    <x v="8"/>
    <x v="1"/>
  </r>
  <r>
    <x v="7"/>
    <x v="7"/>
    <x v="52"/>
    <x v="0"/>
    <s v="Feb 18 2022"/>
    <x v="93"/>
    <n v="9"/>
    <x v="11"/>
    <n v="8"/>
    <x v="51"/>
    <s v="Comilla Victorians"/>
    <s v="bat first"/>
    <s v="Comilla Victorians"/>
    <s v="Comilla Victorians"/>
    <x v="0"/>
    <s v="Mirpur"/>
    <n v="0"/>
    <n v="1"/>
    <s v="1 runs"/>
    <s v="Runs"/>
    <n v="1"/>
    <s v="Close Match"/>
    <n v="301"/>
    <x v="0"/>
    <s v="Masudur Rahman"/>
    <s v="Prageeth Rambukwella"/>
    <x v="0"/>
    <x v="8"/>
    <x v="1"/>
  </r>
  <r>
    <x v="7"/>
    <x v="7"/>
    <x v="52"/>
    <x v="0"/>
    <s v="Feb 18 2022"/>
    <x v="93"/>
    <n v="9"/>
    <x v="11"/>
    <n v="8"/>
    <x v="51"/>
    <s v="Comilla Victorians"/>
    <s v="bat first"/>
    <s v="Comilla Victorians"/>
    <s v="Comilla Victorians"/>
    <x v="0"/>
    <s v="Mirpur"/>
    <n v="0"/>
    <n v="1"/>
    <s v="1 runs"/>
    <s v="Runs"/>
    <n v="1"/>
    <s v="Close Match"/>
    <n v="301"/>
    <x v="0"/>
    <s v="Masudur Rahman"/>
    <s v="Prageeth Rambukwella"/>
    <x v="1"/>
    <x v="22"/>
    <x v="0"/>
  </r>
  <r>
    <x v="8"/>
    <x v="8"/>
    <x v="2"/>
    <x v="1"/>
    <s v="Jan 6 2023"/>
    <x v="84"/>
    <n v="9"/>
    <x v="84"/>
    <n v="2"/>
    <x v="139"/>
    <s v="Sylhet Strikers"/>
    <s v="field first"/>
    <s v="Sylhet Strikers"/>
    <s v="Sylhet Strikers"/>
    <x v="0"/>
    <s v="Mirpur"/>
    <n v="8"/>
    <n v="0"/>
    <s v="8 wickets"/>
    <s v="Wickets"/>
    <n v="8"/>
    <s v="Close Match"/>
    <n v="179"/>
    <x v="0"/>
    <s v="Gazi Sohel"/>
    <s v="MahfuzurÂ Rahman"/>
    <x v="0"/>
    <x v="17"/>
    <x v="0"/>
  </r>
  <r>
    <x v="8"/>
    <x v="8"/>
    <x v="2"/>
    <x v="1"/>
    <s v="Jan 6 2023"/>
    <x v="84"/>
    <n v="9"/>
    <x v="84"/>
    <n v="2"/>
    <x v="139"/>
    <s v="Sylhet Strikers"/>
    <s v="field first"/>
    <s v="Sylhet Strikers"/>
    <s v="Sylhet Strikers"/>
    <x v="0"/>
    <s v="Mirpur"/>
    <n v="8"/>
    <n v="0"/>
    <s v="8 wickets"/>
    <s v="Wickets"/>
    <n v="8"/>
    <s v="Close Match"/>
    <n v="179"/>
    <x v="0"/>
    <s v="Gazi Sohel"/>
    <s v="MahfuzurÂ Rahman"/>
    <x v="1"/>
    <x v="25"/>
    <x v="1"/>
  </r>
  <r>
    <x v="8"/>
    <x v="8"/>
    <x v="1"/>
    <x v="1"/>
    <s v="Jan 6 2023"/>
    <x v="66"/>
    <n v="5"/>
    <x v="46"/>
    <n v="10"/>
    <x v="120"/>
    <s v="Comilla Victorians"/>
    <s v="field first"/>
    <s v="Rangpur Rangers"/>
    <s v="Rangpur Rangers"/>
    <x v="0"/>
    <s v="Mirpur"/>
    <n v="0"/>
    <n v="34"/>
    <s v="34 runs"/>
    <s v="Runs"/>
    <n v="34"/>
    <s v="Normal"/>
    <n v="318"/>
    <x v="0"/>
    <s v="Morshed Ali Khan"/>
    <s v="TanvirÂ Ahmed"/>
    <x v="0"/>
    <x v="20"/>
    <x v="1"/>
  </r>
  <r>
    <x v="8"/>
    <x v="8"/>
    <x v="1"/>
    <x v="1"/>
    <s v="Jan 6 2023"/>
    <x v="66"/>
    <n v="5"/>
    <x v="46"/>
    <n v="10"/>
    <x v="120"/>
    <s v="Comilla Victorians"/>
    <s v="field first"/>
    <s v="Rangpur Rangers"/>
    <s v="Rangpur Rangers"/>
    <x v="0"/>
    <s v="Mirpur"/>
    <n v="0"/>
    <n v="34"/>
    <s v="34 runs"/>
    <s v="Runs"/>
    <n v="34"/>
    <s v="Normal"/>
    <n v="318"/>
    <x v="0"/>
    <s v="Morshed Ali Khan"/>
    <s v="TanvirÂ Ahmed"/>
    <x v="1"/>
    <x v="8"/>
    <x v="0"/>
  </r>
  <r>
    <x v="8"/>
    <x v="8"/>
    <x v="39"/>
    <x v="1"/>
    <s v="Jan 7 2023"/>
    <x v="123"/>
    <n v="8"/>
    <x v="22"/>
    <n v="4"/>
    <x v="13"/>
    <s v="Dhaka Dominators"/>
    <s v="field first"/>
    <s v="Dhaka Dominators"/>
    <s v="Dhaka Dominators"/>
    <x v="0"/>
    <s v="Mirpur"/>
    <n v="6"/>
    <n v="0"/>
    <s v="6 wickets"/>
    <s v="Wickets"/>
    <n v="6"/>
    <s v="Close Match"/>
    <n v="230"/>
    <x v="0"/>
    <s v="Gazi Sohel"/>
    <s v="Morshed AliÂ Khan"/>
    <x v="0"/>
    <x v="16"/>
    <x v="0"/>
  </r>
  <r>
    <x v="8"/>
    <x v="8"/>
    <x v="39"/>
    <x v="1"/>
    <s v="Jan 7 2023"/>
    <x v="123"/>
    <n v="8"/>
    <x v="22"/>
    <n v="4"/>
    <x v="13"/>
    <s v="Dhaka Dominators"/>
    <s v="field first"/>
    <s v="Dhaka Dominators"/>
    <s v="Dhaka Dominators"/>
    <x v="0"/>
    <s v="Mirpur"/>
    <n v="6"/>
    <n v="0"/>
    <s v="6 wickets"/>
    <s v="Wickets"/>
    <n v="6"/>
    <s v="Close Match"/>
    <n v="230"/>
    <x v="0"/>
    <s v="Gazi Sohel"/>
    <s v="Morshed AliÂ Khan"/>
    <x v="1"/>
    <x v="26"/>
    <x v="1"/>
  </r>
  <r>
    <x v="8"/>
    <x v="8"/>
    <x v="38"/>
    <x v="1"/>
    <s v="Jan 7 2023"/>
    <x v="47"/>
    <n v="7"/>
    <x v="114"/>
    <n v="4"/>
    <x v="140"/>
    <s v="Fortune Barishal"/>
    <s v="bat first"/>
    <s v="Sylhet Strikers"/>
    <s v="Sylhet Strikers"/>
    <x v="0"/>
    <s v="Mirpur"/>
    <n v="6"/>
    <n v="0"/>
    <s v="6 wickets"/>
    <s v="Wickets"/>
    <n v="6"/>
    <s v="Close Match"/>
    <n v="390"/>
    <x v="0"/>
    <s v="Mahfuzur Rahman"/>
    <s v="TanvirÂ Ahmed"/>
    <x v="0"/>
    <x v="22"/>
    <x v="0"/>
  </r>
  <r>
    <x v="8"/>
    <x v="8"/>
    <x v="38"/>
    <x v="1"/>
    <s v="Jan 7 2023"/>
    <x v="47"/>
    <n v="7"/>
    <x v="114"/>
    <n v="4"/>
    <x v="140"/>
    <s v="Fortune Barishal"/>
    <s v="bat first"/>
    <s v="Sylhet Strikers"/>
    <s v="Sylhet Strikers"/>
    <x v="0"/>
    <s v="Mirpur"/>
    <n v="6"/>
    <n v="0"/>
    <s v="6 wickets"/>
    <s v="Wickets"/>
    <n v="6"/>
    <s v="Close Match"/>
    <n v="390"/>
    <x v="0"/>
    <s v="Mahfuzur Rahman"/>
    <s v="TanvirÂ Ahmed"/>
    <x v="1"/>
    <x v="25"/>
    <x v="1"/>
  </r>
  <r>
    <x v="8"/>
    <x v="8"/>
    <x v="37"/>
    <x v="1"/>
    <s v="Jan 9 2023"/>
    <x v="11"/>
    <n v="6"/>
    <x v="11"/>
    <n v="5"/>
    <x v="140"/>
    <s v="Sylhet Strikers"/>
    <s v="field first"/>
    <s v="Sylhet Strikers"/>
    <s v="Sylhet Strikers"/>
    <x v="0"/>
    <s v="Mirpur"/>
    <n v="5"/>
    <n v="0"/>
    <s v="5 wickets"/>
    <s v="Wickets"/>
    <n v="5"/>
    <s v="Close Match"/>
    <n v="299"/>
    <x v="0"/>
    <s v="David Millns"/>
    <s v="MasudurÂ Rahman"/>
    <x v="0"/>
    <x v="8"/>
    <x v="0"/>
  </r>
  <r>
    <x v="8"/>
    <x v="8"/>
    <x v="37"/>
    <x v="1"/>
    <s v="Jan 9 2023"/>
    <x v="11"/>
    <n v="6"/>
    <x v="11"/>
    <n v="5"/>
    <x v="140"/>
    <s v="Sylhet Strikers"/>
    <s v="field first"/>
    <s v="Sylhet Strikers"/>
    <s v="Sylhet Strikers"/>
    <x v="0"/>
    <s v="Mirpur"/>
    <n v="5"/>
    <n v="0"/>
    <s v="5 wickets"/>
    <s v="Wickets"/>
    <n v="5"/>
    <s v="Close Match"/>
    <n v="299"/>
    <x v="0"/>
    <s v="David Millns"/>
    <s v="MasudurÂ Rahman"/>
    <x v="1"/>
    <x v="25"/>
    <x v="1"/>
  </r>
  <r>
    <x v="8"/>
    <x v="8"/>
    <x v="36"/>
    <x v="1"/>
    <s v="Jan 9 2023"/>
    <x v="124"/>
    <n v="5"/>
    <x v="86"/>
    <n v="1"/>
    <x v="141"/>
    <s v="Chattogram Challengers"/>
    <s v="field first"/>
    <s v="Chattogram Challengers"/>
    <s v="Chattogram Challengers"/>
    <x v="0"/>
    <s v="Mirpur"/>
    <n v="9"/>
    <n v="0"/>
    <s v="9 wickets"/>
    <s v="Wickets"/>
    <n v="9"/>
    <s v="Close Match"/>
    <n v="357"/>
    <x v="0"/>
    <s v="Raveendra Wimalasiri"/>
    <s v="TanvirÂ Ahmed"/>
    <x v="0"/>
    <x v="16"/>
    <x v="0"/>
  </r>
  <r>
    <x v="8"/>
    <x v="8"/>
    <x v="36"/>
    <x v="1"/>
    <s v="Jan 9 2023"/>
    <x v="124"/>
    <n v="5"/>
    <x v="86"/>
    <n v="1"/>
    <x v="141"/>
    <s v="Chattogram Challengers"/>
    <s v="field first"/>
    <s v="Chattogram Challengers"/>
    <s v="Chattogram Challengers"/>
    <x v="0"/>
    <s v="Mirpur"/>
    <n v="9"/>
    <n v="0"/>
    <s v="9 wickets"/>
    <s v="Wickets"/>
    <n v="9"/>
    <s v="Close Match"/>
    <n v="357"/>
    <x v="0"/>
    <s v="Raveendra Wimalasiri"/>
    <s v="TanvirÂ Ahmed"/>
    <x v="1"/>
    <x v="17"/>
    <x v="1"/>
  </r>
  <r>
    <x v="8"/>
    <x v="8"/>
    <x v="35"/>
    <x v="1"/>
    <s v="Jan 10 2023"/>
    <x v="40"/>
    <n v="7"/>
    <x v="12"/>
    <n v="4"/>
    <x v="97"/>
    <s v="Fortune Barishal"/>
    <s v="field first"/>
    <s v="Fortune Barishal"/>
    <s v="Fortune Barishal"/>
    <x v="0"/>
    <s v="Mirpur"/>
    <n v="6"/>
    <n v="0"/>
    <s v="6 wickets"/>
    <s v="Wickets"/>
    <n v="6"/>
    <s v="Close Match"/>
    <n v="320"/>
    <x v="0"/>
    <s v="Gazi Sohel"/>
    <s v="Raveendra Wimalasiri"/>
    <x v="0"/>
    <x v="20"/>
    <x v="0"/>
  </r>
  <r>
    <x v="8"/>
    <x v="8"/>
    <x v="35"/>
    <x v="1"/>
    <s v="Jan 10 2023"/>
    <x v="40"/>
    <n v="7"/>
    <x v="12"/>
    <n v="4"/>
    <x v="97"/>
    <s v="Fortune Barishal"/>
    <s v="field first"/>
    <s v="Fortune Barishal"/>
    <s v="Fortune Barishal"/>
    <x v="0"/>
    <s v="Mirpur"/>
    <n v="6"/>
    <n v="0"/>
    <s v="6 wickets"/>
    <s v="Wickets"/>
    <n v="6"/>
    <s v="Close Match"/>
    <n v="320"/>
    <x v="0"/>
    <s v="Gazi Sohel"/>
    <s v="Raveendra Wimalasiri"/>
    <x v="1"/>
    <x v="22"/>
    <x v="1"/>
  </r>
  <r>
    <x v="8"/>
    <x v="8"/>
    <x v="34"/>
    <x v="1"/>
    <s v="Jan 10 2023"/>
    <x v="102"/>
    <n v="8"/>
    <x v="17"/>
    <n v="10"/>
    <x v="140"/>
    <s v="Dhaka Dominators"/>
    <s v="field first"/>
    <s v="Sylhet Strikers"/>
    <s v="Sylhet Strikers"/>
    <x v="0"/>
    <s v="Mirpur"/>
    <n v="0"/>
    <n v="62"/>
    <s v="62 runs"/>
    <s v="Runs"/>
    <n v="62"/>
    <s v="Normal"/>
    <n v="340"/>
    <x v="0"/>
    <s v="David Millns"/>
    <s v="MasudurÂ Rahman"/>
    <x v="0"/>
    <x v="25"/>
    <x v="1"/>
  </r>
  <r>
    <x v="8"/>
    <x v="8"/>
    <x v="34"/>
    <x v="1"/>
    <s v="Jan 10 2023"/>
    <x v="102"/>
    <n v="8"/>
    <x v="17"/>
    <n v="10"/>
    <x v="140"/>
    <s v="Dhaka Dominators"/>
    <s v="field first"/>
    <s v="Sylhet Strikers"/>
    <s v="Sylhet Strikers"/>
    <x v="0"/>
    <s v="Mirpur"/>
    <n v="0"/>
    <n v="62"/>
    <s v="62 runs"/>
    <s v="Runs"/>
    <n v="62"/>
    <s v="Normal"/>
    <n v="340"/>
    <x v="0"/>
    <s v="David Millns"/>
    <s v="MasudurÂ Rahman"/>
    <x v="1"/>
    <x v="26"/>
    <x v="0"/>
  </r>
  <r>
    <x v="8"/>
    <x v="8"/>
    <x v="33"/>
    <x v="1"/>
    <s v="Jan 13 2023"/>
    <x v="64"/>
    <n v="7"/>
    <x v="75"/>
    <n v="4"/>
    <x v="142"/>
    <s v="Chattogram Challengers"/>
    <s v="field first"/>
    <s v="Fortune Barishal"/>
    <s v="Fortune Barishal"/>
    <x v="1"/>
    <s v="Chattogram"/>
    <n v="0"/>
    <n v="26"/>
    <s v="26 runs"/>
    <s v="Runs"/>
    <n v="26"/>
    <s v="Normal"/>
    <n v="378"/>
    <x v="0"/>
    <s v="Ali Arman"/>
    <s v="Raveendra Wimalasiri"/>
    <x v="0"/>
    <x v="22"/>
    <x v="1"/>
  </r>
  <r>
    <x v="8"/>
    <x v="8"/>
    <x v="33"/>
    <x v="1"/>
    <s v="Jan 13 2023"/>
    <x v="64"/>
    <n v="7"/>
    <x v="75"/>
    <n v="4"/>
    <x v="142"/>
    <s v="Chattogram Challengers"/>
    <s v="field first"/>
    <s v="Fortune Barishal"/>
    <s v="Fortune Barishal"/>
    <x v="1"/>
    <s v="Chattogram"/>
    <n v="0"/>
    <n v="26"/>
    <s v="26 runs"/>
    <s v="Runs"/>
    <n v="26"/>
    <s v="Normal"/>
    <n v="378"/>
    <x v="0"/>
    <s v="Ali Arman"/>
    <s v="Raveendra Wimalasiri"/>
    <x v="1"/>
    <x v="17"/>
    <x v="0"/>
  </r>
  <r>
    <x v="8"/>
    <x v="8"/>
    <x v="32"/>
    <x v="1"/>
    <s v="Jan 13 2023"/>
    <x v="125"/>
    <n v="10"/>
    <x v="34"/>
    <n v="6"/>
    <x v="143"/>
    <s v="Rangpur Riders"/>
    <s v="field first"/>
    <s v="Rangpur Rangers"/>
    <s v="Rangpur Rangers"/>
    <x v="1"/>
    <s v="Chattogram"/>
    <n v="4"/>
    <n v="0"/>
    <s v="4 wickets"/>
    <s v="Wickets"/>
    <n v="4"/>
    <s v="Close Match"/>
    <n v="261"/>
    <x v="0"/>
    <s v="Prageeth Rambukwella"/>
    <s v="TanvirÂ Ahmed"/>
    <x v="0"/>
    <x v="16"/>
    <x v="0"/>
  </r>
  <r>
    <x v="8"/>
    <x v="8"/>
    <x v="32"/>
    <x v="1"/>
    <s v="Jan 13 2023"/>
    <x v="125"/>
    <n v="10"/>
    <x v="34"/>
    <n v="6"/>
    <x v="143"/>
    <s v="Rangpur Riders"/>
    <s v="field first"/>
    <s v="Rangpur Rangers"/>
    <s v="Rangpur Rangers"/>
    <x v="1"/>
    <s v="Chattogram"/>
    <n v="4"/>
    <n v="0"/>
    <s v="4 wickets"/>
    <s v="Wickets"/>
    <n v="4"/>
    <s v="Close Match"/>
    <n v="261"/>
    <x v="0"/>
    <s v="Prageeth Rambukwella"/>
    <s v="TanvirÂ Ahmed"/>
    <x v="1"/>
    <x v="20"/>
    <x v="1"/>
  </r>
  <r>
    <x v="8"/>
    <x v="8"/>
    <x v="30"/>
    <x v="1"/>
    <s v="Jan 14 2023"/>
    <x v="126"/>
    <n v="6"/>
    <x v="58"/>
    <n v="7"/>
    <x v="16"/>
    <s v="Comilla Victorians"/>
    <s v="field first"/>
    <s v="Fortune Barishal"/>
    <s v="Fortune Barishal"/>
    <x v="1"/>
    <s v="Chattogram"/>
    <n v="0"/>
    <n v="12"/>
    <s v="12 runs"/>
    <s v="Runs"/>
    <n v="12"/>
    <s v="Normal"/>
    <n v="342"/>
    <x v="0"/>
    <s v="David Millns"/>
    <s v="Morshed AliÂ Khan"/>
    <x v="0"/>
    <x v="22"/>
    <x v="1"/>
  </r>
  <r>
    <x v="8"/>
    <x v="8"/>
    <x v="30"/>
    <x v="1"/>
    <s v="Jan 14 2023"/>
    <x v="126"/>
    <n v="6"/>
    <x v="58"/>
    <n v="7"/>
    <x v="16"/>
    <s v="Comilla Victorians"/>
    <s v="field first"/>
    <s v="Fortune Barishal"/>
    <s v="Fortune Barishal"/>
    <x v="1"/>
    <s v="Chattogram"/>
    <n v="0"/>
    <n v="12"/>
    <s v="12 runs"/>
    <s v="Runs"/>
    <n v="12"/>
    <s v="Normal"/>
    <n v="342"/>
    <x v="0"/>
    <s v="David Millns"/>
    <s v="Morshed AliÂ Khan"/>
    <x v="1"/>
    <x v="8"/>
    <x v="0"/>
  </r>
  <r>
    <x v="8"/>
    <x v="8"/>
    <x v="28"/>
    <x v="1"/>
    <s v="Jan 14 2023"/>
    <x v="40"/>
    <n v="6"/>
    <x v="43"/>
    <n v="2"/>
    <x v="40"/>
    <s v="Dhaka Dominators"/>
    <s v="bat first"/>
    <s v="Chattogram Challengers"/>
    <s v="Chattogram Challengers"/>
    <x v="1"/>
    <s v="Chattogram"/>
    <n v="8"/>
    <n v="0"/>
    <s v="8 wickets"/>
    <s v="Wickets"/>
    <n v="8"/>
    <s v="Close Match"/>
    <n v="317"/>
    <x v="0"/>
    <s v="Ali Arman"/>
    <s v="Prageeth Rambukwella"/>
    <x v="0"/>
    <x v="26"/>
    <x v="0"/>
  </r>
  <r>
    <x v="8"/>
    <x v="8"/>
    <x v="28"/>
    <x v="1"/>
    <s v="Jan 14 2023"/>
    <x v="40"/>
    <n v="6"/>
    <x v="43"/>
    <n v="2"/>
    <x v="40"/>
    <s v="Dhaka Dominators"/>
    <s v="bat first"/>
    <s v="Chattogram Challengers"/>
    <s v="Chattogram Challengers"/>
    <x v="1"/>
    <s v="Chattogram"/>
    <n v="8"/>
    <n v="0"/>
    <s v="8 wickets"/>
    <s v="Wickets"/>
    <n v="8"/>
    <s v="Close Match"/>
    <n v="317"/>
    <x v="0"/>
    <s v="Ali Arman"/>
    <s v="Prageeth Rambukwella"/>
    <x v="1"/>
    <x v="17"/>
    <x v="1"/>
  </r>
  <r>
    <x v="8"/>
    <x v="8"/>
    <x v="27"/>
    <x v="1"/>
    <s v="Jan 16 2023"/>
    <x v="13"/>
    <n v="7"/>
    <x v="107"/>
    <n v="5"/>
    <x v="144"/>
    <s v="Dhaka Dominators"/>
    <s v="bat first"/>
    <s v="Sylhet Strikers"/>
    <s v="Sylhet Strikers"/>
    <x v="1"/>
    <s v="Chattogram"/>
    <n v="5"/>
    <n v="0"/>
    <s v="5 wickets"/>
    <s v="Wickets"/>
    <n v="5"/>
    <s v="Close Match"/>
    <n v="262"/>
    <x v="0"/>
    <s v="David Millns"/>
    <s v="Morshed AliÂ Khan"/>
    <x v="0"/>
    <x v="26"/>
    <x v="0"/>
  </r>
  <r>
    <x v="8"/>
    <x v="8"/>
    <x v="27"/>
    <x v="1"/>
    <s v="Jan 16 2023"/>
    <x v="13"/>
    <n v="7"/>
    <x v="107"/>
    <n v="5"/>
    <x v="144"/>
    <s v="Dhaka Dominators"/>
    <s v="bat first"/>
    <s v="Sylhet Strikers"/>
    <s v="Sylhet Strikers"/>
    <x v="1"/>
    <s v="Chattogram"/>
    <n v="5"/>
    <n v="0"/>
    <s v="5 wickets"/>
    <s v="Wickets"/>
    <n v="5"/>
    <s v="Close Match"/>
    <n v="262"/>
    <x v="0"/>
    <s v="David Millns"/>
    <s v="Morshed AliÂ Khan"/>
    <x v="1"/>
    <x v="25"/>
    <x v="1"/>
  </r>
  <r>
    <x v="8"/>
    <x v="8"/>
    <x v="25"/>
    <x v="1"/>
    <s v="Jan 16 2023"/>
    <x v="29"/>
    <n v="8"/>
    <x v="74"/>
    <n v="4"/>
    <x v="44"/>
    <s v="Chattogram Challengers"/>
    <s v="bat first"/>
    <s v="Comilla Victorians"/>
    <s v="Comilla Victorians"/>
    <x v="1"/>
    <s v="Chattogram"/>
    <n v="6"/>
    <n v="0"/>
    <s v="6 wickets"/>
    <s v="Wickets"/>
    <n v="6"/>
    <s v="Close Match"/>
    <n v="272"/>
    <x v="0"/>
    <s v="Ali Arman"/>
    <s v="Raveendra Wimalasiri"/>
    <x v="0"/>
    <x v="17"/>
    <x v="0"/>
  </r>
  <r>
    <x v="8"/>
    <x v="8"/>
    <x v="25"/>
    <x v="1"/>
    <s v="Jan 16 2023"/>
    <x v="29"/>
    <n v="8"/>
    <x v="74"/>
    <n v="4"/>
    <x v="44"/>
    <s v="Chattogram Challengers"/>
    <s v="bat first"/>
    <s v="Comilla Victorians"/>
    <s v="Comilla Victorians"/>
    <x v="1"/>
    <s v="Chattogram"/>
    <n v="6"/>
    <n v="0"/>
    <s v="6 wickets"/>
    <s v="Wickets"/>
    <n v="6"/>
    <s v="Close Match"/>
    <n v="272"/>
    <x v="0"/>
    <s v="Ali Arman"/>
    <s v="Raveendra Wimalasiri"/>
    <x v="1"/>
    <x v="8"/>
    <x v="1"/>
  </r>
  <r>
    <x v="8"/>
    <x v="8"/>
    <x v="23"/>
    <x v="1"/>
    <s v="Jan 17 2023"/>
    <x v="72"/>
    <n v="10"/>
    <x v="6"/>
    <n v="1"/>
    <x v="127"/>
    <s v="Khulna Tigers"/>
    <s v="field first"/>
    <s v="Khulna Tigers"/>
    <s v="Khulna Tigers"/>
    <x v="1"/>
    <s v="Chattogram"/>
    <n v="9"/>
    <n v="0"/>
    <s v="9 wickets"/>
    <s v="Wickets"/>
    <n v="9"/>
    <s v="Close Match"/>
    <n v="259"/>
    <x v="0"/>
    <s v="Ali Arman"/>
    <s v="David Millns"/>
    <x v="0"/>
    <x v="20"/>
    <x v="0"/>
  </r>
  <r>
    <x v="8"/>
    <x v="8"/>
    <x v="23"/>
    <x v="1"/>
    <s v="Jan 17 2023"/>
    <x v="72"/>
    <n v="10"/>
    <x v="6"/>
    <n v="1"/>
    <x v="127"/>
    <s v="Khulna Tigers"/>
    <s v="field first"/>
    <s v="Khulna Tigers"/>
    <s v="Khulna Tigers"/>
    <x v="1"/>
    <s v="Chattogram"/>
    <n v="9"/>
    <n v="0"/>
    <s v="9 wickets"/>
    <s v="Wickets"/>
    <n v="9"/>
    <s v="Close Match"/>
    <n v="259"/>
    <x v="0"/>
    <s v="Ali Arman"/>
    <s v="David Millns"/>
    <x v="1"/>
    <x v="16"/>
    <x v="1"/>
  </r>
  <r>
    <x v="8"/>
    <x v="8"/>
    <x v="22"/>
    <x v="1"/>
    <s v="Jan 17 2023"/>
    <x v="97"/>
    <n v="7"/>
    <x v="107"/>
    <n v="5"/>
    <x v="44"/>
    <s v="Comilla Victorians"/>
    <s v="field first"/>
    <s v="Comilla Victorians"/>
    <s v="Comilla Victorians"/>
    <x v="1"/>
    <s v="Chattogram"/>
    <n v="5"/>
    <n v="0"/>
    <s v="5 wickets"/>
    <s v="Wickets"/>
    <n v="5"/>
    <s v="Close Match"/>
    <n v="267"/>
    <x v="0"/>
    <s v="Prageeth Rambukwella"/>
    <s v="TanvirÂ Ahmed"/>
    <x v="0"/>
    <x v="25"/>
    <x v="0"/>
  </r>
  <r>
    <x v="8"/>
    <x v="8"/>
    <x v="22"/>
    <x v="1"/>
    <s v="Jan 17 2023"/>
    <x v="97"/>
    <n v="7"/>
    <x v="107"/>
    <n v="5"/>
    <x v="44"/>
    <s v="Comilla Victorians"/>
    <s v="field first"/>
    <s v="Comilla Victorians"/>
    <s v="Comilla Victorians"/>
    <x v="1"/>
    <s v="Chattogram"/>
    <n v="5"/>
    <n v="0"/>
    <s v="5 wickets"/>
    <s v="Wickets"/>
    <n v="5"/>
    <s v="Close Match"/>
    <n v="267"/>
    <x v="0"/>
    <s v="Prageeth Rambukwella"/>
    <s v="TanvirÂ Ahmed"/>
    <x v="1"/>
    <x v="8"/>
    <x v="1"/>
  </r>
  <r>
    <x v="8"/>
    <x v="8"/>
    <x v="20"/>
    <x v="1"/>
    <s v="Jan 19 2023"/>
    <x v="2"/>
    <n v="4"/>
    <x v="4"/>
    <n v="4"/>
    <x v="145"/>
    <s v="Dhaka Dominators"/>
    <s v="field first"/>
    <s v="Comilla Victorians"/>
    <s v="Comilla Victorians"/>
    <x v="1"/>
    <s v="Chattogram"/>
    <n v="0"/>
    <n v="33"/>
    <s v="33 runs"/>
    <s v="Runs"/>
    <n v="33"/>
    <s v="Normal"/>
    <n v="335"/>
    <x v="0"/>
    <s v="Raveendra Wimalasiri"/>
    <s v="Mahfuzur Rahman"/>
    <x v="0"/>
    <x v="8"/>
    <x v="1"/>
  </r>
  <r>
    <x v="8"/>
    <x v="8"/>
    <x v="20"/>
    <x v="1"/>
    <s v="Jan 19 2023"/>
    <x v="2"/>
    <n v="4"/>
    <x v="4"/>
    <n v="4"/>
    <x v="145"/>
    <s v="Dhaka Dominators"/>
    <s v="field first"/>
    <s v="Comilla Victorians"/>
    <s v="Comilla Victorians"/>
    <x v="1"/>
    <s v="Chattogram"/>
    <n v="0"/>
    <n v="33"/>
    <s v="33 runs"/>
    <s v="Runs"/>
    <n v="33"/>
    <s v="Normal"/>
    <n v="335"/>
    <x v="0"/>
    <s v="Raveendra Wimalasiri"/>
    <s v="Mahfuzur Rahman"/>
    <x v="1"/>
    <x v="26"/>
    <x v="0"/>
  </r>
  <r>
    <x v="8"/>
    <x v="8"/>
    <x v="18"/>
    <x v="1"/>
    <s v="Jan 19 2023"/>
    <x v="118"/>
    <n v="4"/>
    <x v="49"/>
    <n v="9"/>
    <x v="142"/>
    <s v="Rangpur Rangers"/>
    <s v="field first"/>
    <s v="Fortune Barishal"/>
    <s v="Fortune Barishal"/>
    <x v="1"/>
    <s v="Chattogram"/>
    <n v="0"/>
    <n v="67"/>
    <s v="67 runs"/>
    <s v="Runs"/>
    <n v="67"/>
    <s v="Normal"/>
    <n v="409"/>
    <x v="0"/>
    <s v="MasudurÂ Rahman"/>
    <s v="Prageeth Rambukwella"/>
    <x v="0"/>
    <x v="22"/>
    <x v="1"/>
  </r>
  <r>
    <x v="8"/>
    <x v="8"/>
    <x v="18"/>
    <x v="1"/>
    <s v="Jan 19 2023"/>
    <x v="118"/>
    <n v="4"/>
    <x v="49"/>
    <n v="9"/>
    <x v="142"/>
    <s v="Rangpur Rangers"/>
    <s v="field first"/>
    <s v="Fortune Barishal"/>
    <s v="Fortune Barishal"/>
    <x v="1"/>
    <s v="Chattogram"/>
    <n v="0"/>
    <n v="67"/>
    <s v="67 runs"/>
    <s v="Runs"/>
    <n v="67"/>
    <s v="Normal"/>
    <n v="409"/>
    <x v="0"/>
    <s v="MasudurÂ Rahman"/>
    <s v="Prageeth Rambukwella"/>
    <x v="1"/>
    <x v="20"/>
    <x v="0"/>
  </r>
  <r>
    <x v="8"/>
    <x v="8"/>
    <x v="16"/>
    <x v="1"/>
    <s v="Jan 20 2023"/>
    <x v="33"/>
    <n v="9"/>
    <x v="43"/>
    <n v="3"/>
    <x v="136"/>
    <s v="Khulna Tigers"/>
    <s v="field first"/>
    <s v="Khulna Tigers"/>
    <s v="Khulna Tigers"/>
    <x v="1"/>
    <s v="Chattogram"/>
    <n v="7"/>
    <n v="0"/>
    <s v="7 wickets"/>
    <s v="Wickets"/>
    <n v="7"/>
    <s v="Close Match"/>
    <n v="316"/>
    <x v="0"/>
    <s v="Mahfuzur Rahman"/>
    <s v="Raveendra Wimalasiri"/>
    <x v="0"/>
    <x v="17"/>
    <x v="0"/>
  </r>
  <r>
    <x v="8"/>
    <x v="8"/>
    <x v="16"/>
    <x v="1"/>
    <s v="Jan 20 2023"/>
    <x v="33"/>
    <n v="9"/>
    <x v="43"/>
    <n v="3"/>
    <x v="136"/>
    <s v="Khulna Tigers"/>
    <s v="field first"/>
    <s v="Khulna Tigers"/>
    <s v="Khulna Tigers"/>
    <x v="1"/>
    <s v="Chattogram"/>
    <n v="7"/>
    <n v="0"/>
    <s v="7 wickets"/>
    <s v="Wickets"/>
    <n v="7"/>
    <s v="Close Match"/>
    <n v="316"/>
    <x v="0"/>
    <s v="Mahfuzur Rahman"/>
    <s v="Raveendra Wimalasiri"/>
    <x v="1"/>
    <x v="16"/>
    <x v="1"/>
  </r>
  <r>
    <x v="8"/>
    <x v="8"/>
    <x v="14"/>
    <x v="1"/>
    <s v="Jan 20 2023"/>
    <x v="99"/>
    <n v="5"/>
    <x v="7"/>
    <n v="4"/>
    <x v="142"/>
    <s v="Dhaka Dominators"/>
    <s v="field first"/>
    <s v="Fortune Barishal"/>
    <s v="Fortune Barishal"/>
    <x v="1"/>
    <s v="Chattogram"/>
    <n v="0"/>
    <n v="13"/>
    <s v="13 runs"/>
    <s v="Runs"/>
    <n v="13"/>
    <s v="Normal"/>
    <n v="333"/>
    <x v="0"/>
    <s v="David Millns"/>
    <s v="MasudurÂ Rahman"/>
    <x v="0"/>
    <x v="22"/>
    <x v="1"/>
  </r>
  <r>
    <x v="8"/>
    <x v="8"/>
    <x v="14"/>
    <x v="1"/>
    <s v="Jan 20 2023"/>
    <x v="99"/>
    <n v="5"/>
    <x v="7"/>
    <n v="4"/>
    <x v="142"/>
    <s v="Dhaka Dominators"/>
    <s v="field first"/>
    <s v="Fortune Barishal"/>
    <s v="Fortune Barishal"/>
    <x v="1"/>
    <s v="Chattogram"/>
    <n v="0"/>
    <n v="13"/>
    <s v="13 runs"/>
    <s v="Runs"/>
    <n v="13"/>
    <s v="Normal"/>
    <n v="333"/>
    <x v="0"/>
    <s v="David Millns"/>
    <s v="MasudurÂ Rahman"/>
    <x v="1"/>
    <x v="26"/>
    <x v="0"/>
  </r>
  <r>
    <x v="8"/>
    <x v="8"/>
    <x v="12"/>
    <x v="1"/>
    <s v="Jan 23 2023"/>
    <x v="60"/>
    <n v="6"/>
    <x v="56"/>
    <n v="10"/>
    <x v="146"/>
    <s v="Chattogram Challengers"/>
    <s v="field first"/>
    <s v="Rangpur Rangers"/>
    <s v="Rangpur Rangers"/>
    <x v="0"/>
    <s v="Mirpur"/>
    <n v="0"/>
    <n v="55"/>
    <s v="55 runs"/>
    <s v="Runs"/>
    <n v="55"/>
    <s v="Normal"/>
    <n v="303"/>
    <x v="0"/>
    <s v="Muhammad Kamruzzaman"/>
    <s v="Prageeth Rambukwella"/>
    <x v="0"/>
    <x v="20"/>
    <x v="1"/>
  </r>
  <r>
    <x v="8"/>
    <x v="8"/>
    <x v="12"/>
    <x v="1"/>
    <s v="Jan 23 2023"/>
    <x v="60"/>
    <n v="6"/>
    <x v="56"/>
    <n v="10"/>
    <x v="146"/>
    <s v="Chattogram Challengers"/>
    <s v="field first"/>
    <s v="Rangpur Rangers"/>
    <s v="Rangpur Rangers"/>
    <x v="0"/>
    <s v="Mirpur"/>
    <n v="0"/>
    <n v="55"/>
    <s v="55 runs"/>
    <s v="Runs"/>
    <n v="55"/>
    <s v="Normal"/>
    <n v="303"/>
    <x v="0"/>
    <s v="Muhammad Kamruzzaman"/>
    <s v="Prageeth Rambukwella"/>
    <x v="1"/>
    <x v="17"/>
    <x v="0"/>
  </r>
  <r>
    <x v="8"/>
    <x v="8"/>
    <x v="11"/>
    <x v="1"/>
    <s v="Jan 23 2023"/>
    <x v="56"/>
    <n v="6"/>
    <x v="97"/>
    <n v="9"/>
    <x v="145"/>
    <s v="Dhaka Dominators"/>
    <s v="field first"/>
    <s v="Comilla Victorians"/>
    <s v="Comilla Victorians"/>
    <x v="0"/>
    <s v="Mirpur"/>
    <n v="0"/>
    <n v="60"/>
    <s v="60 runs"/>
    <s v="Runs"/>
    <n v="60"/>
    <s v="Normal"/>
    <n v="268"/>
    <x v="0"/>
    <s v="Masudur Rahman"/>
    <s v="Raveendra Wimalasiri"/>
    <x v="0"/>
    <x v="8"/>
    <x v="1"/>
  </r>
  <r>
    <x v="8"/>
    <x v="8"/>
    <x v="11"/>
    <x v="1"/>
    <s v="Jan 23 2023"/>
    <x v="56"/>
    <n v="6"/>
    <x v="97"/>
    <n v="9"/>
    <x v="145"/>
    <s v="Dhaka Dominators"/>
    <s v="field first"/>
    <s v="Comilla Victorians"/>
    <s v="Comilla Victorians"/>
    <x v="0"/>
    <s v="Mirpur"/>
    <n v="0"/>
    <n v="60"/>
    <s v="60 runs"/>
    <s v="Runs"/>
    <n v="60"/>
    <s v="Normal"/>
    <n v="268"/>
    <x v="0"/>
    <s v="Masudur Rahman"/>
    <s v="Raveendra Wimalasiri"/>
    <x v="1"/>
    <x v="26"/>
    <x v="0"/>
  </r>
  <r>
    <x v="8"/>
    <x v="8"/>
    <x v="9"/>
    <x v="1"/>
    <s v="Jan 24 2023"/>
    <x v="99"/>
    <n v="5"/>
    <x v="115"/>
    <n v="8"/>
    <x v="59"/>
    <s v="Fortune Barishal"/>
    <s v="field first"/>
    <s v="Sylhet Strikers"/>
    <s v="Fortune Barishal"/>
    <x v="0"/>
    <s v="Mirpur"/>
    <n v="0"/>
    <n v="2"/>
    <s v="2 runs"/>
    <s v="Runs"/>
    <n v="2"/>
    <s v="Close Match"/>
    <n v="351"/>
    <x v="0"/>
    <s v="David Millns"/>
    <s v="MasudurÂ Rahman"/>
    <x v="0"/>
    <x v="25"/>
    <x v="0"/>
  </r>
  <r>
    <x v="8"/>
    <x v="8"/>
    <x v="9"/>
    <x v="1"/>
    <s v="Jan 24 2023"/>
    <x v="99"/>
    <n v="5"/>
    <x v="115"/>
    <n v="8"/>
    <x v="59"/>
    <s v="Fortune Barishal"/>
    <s v="field first"/>
    <s v="Sylhet Strikers"/>
    <s v="Fortune Barishal"/>
    <x v="0"/>
    <s v="Mirpur"/>
    <n v="0"/>
    <n v="2"/>
    <s v="2 runs"/>
    <s v="Runs"/>
    <n v="2"/>
    <s v="Close Match"/>
    <n v="351"/>
    <x v="0"/>
    <s v="David Millns"/>
    <s v="MasudurÂ Rahman"/>
    <x v="1"/>
    <x v="22"/>
    <x v="1"/>
  </r>
  <r>
    <x v="8"/>
    <x v="8"/>
    <x v="8"/>
    <x v="1"/>
    <s v="Jan 24 2023"/>
    <x v="85"/>
    <n v="10"/>
    <x v="61"/>
    <n v="10"/>
    <x v="12"/>
    <s v="Khulna Tigers"/>
    <s v="field first"/>
    <s v="Dhaka Dominators"/>
    <s v="Dhaka Dominators"/>
    <x v="0"/>
    <s v="Mirpur"/>
    <n v="0"/>
    <n v="24"/>
    <s v="24 runs"/>
    <s v="Runs"/>
    <n v="24"/>
    <s v="Normal"/>
    <n v="192"/>
    <x v="0"/>
    <s v="Muhammad Kamruzzaman"/>
    <s v="Raveendra Wimalasiri"/>
    <x v="0"/>
    <x v="26"/>
    <x v="1"/>
  </r>
  <r>
    <x v="8"/>
    <x v="8"/>
    <x v="8"/>
    <x v="1"/>
    <s v="Jan 24 2023"/>
    <x v="85"/>
    <n v="10"/>
    <x v="61"/>
    <n v="10"/>
    <x v="12"/>
    <s v="Khulna Tigers"/>
    <s v="field first"/>
    <s v="Dhaka Dominators"/>
    <s v="Dhaka Dominators"/>
    <x v="0"/>
    <s v="Mirpur"/>
    <n v="0"/>
    <n v="24"/>
    <s v="24 runs"/>
    <s v="Runs"/>
    <n v="24"/>
    <s v="Normal"/>
    <n v="192"/>
    <x v="0"/>
    <s v="Muhammad Kamruzzaman"/>
    <s v="Raveendra Wimalasiri"/>
    <x v="1"/>
    <x v="16"/>
    <x v="0"/>
  </r>
  <r>
    <x v="8"/>
    <x v="8"/>
    <x v="7"/>
    <x v="1"/>
    <s v="Jan 27 2023"/>
    <x v="82"/>
    <n v="9"/>
    <x v="15"/>
    <n v="4"/>
    <x v="147"/>
    <s v="Rangpur Riders"/>
    <s v="field first"/>
    <s v="Rangpur Rangers"/>
    <s v="Rangpur Rangers"/>
    <x v="4"/>
    <s v="Sylhet"/>
    <n v="6"/>
    <n v="0"/>
    <s v="6 wickets"/>
    <s v="Wickets"/>
    <n v="6"/>
    <s v="Close Match"/>
    <n v="185"/>
    <x v="0"/>
    <s v="Gazi Sohel"/>
    <s v="Prageeth Rambukwella"/>
    <x v="0"/>
    <x v="25"/>
    <x v="0"/>
  </r>
  <r>
    <x v="8"/>
    <x v="8"/>
    <x v="7"/>
    <x v="1"/>
    <s v="Jan 27 2023"/>
    <x v="82"/>
    <n v="9"/>
    <x v="15"/>
    <n v="4"/>
    <x v="147"/>
    <s v="Rangpur Riders"/>
    <s v="field first"/>
    <s v="Rangpur Rangers"/>
    <s v="Rangpur Rangers"/>
    <x v="4"/>
    <s v="Sylhet"/>
    <n v="6"/>
    <n v="0"/>
    <s v="6 wickets"/>
    <s v="Wickets"/>
    <n v="6"/>
    <s v="Close Match"/>
    <n v="185"/>
    <x v="0"/>
    <s v="Gazi Sohel"/>
    <s v="Prageeth Rambukwella"/>
    <x v="1"/>
    <x v="20"/>
    <x v="1"/>
  </r>
  <r>
    <x v="8"/>
    <x v="8"/>
    <x v="6"/>
    <x v="1"/>
    <s v="Jan 27 2023"/>
    <x v="18"/>
    <n v="6"/>
    <x v="49"/>
    <n v="7"/>
    <x v="33"/>
    <s v="Fortune Barishal"/>
    <s v="field first"/>
    <s v="Fortune Barishal"/>
    <s v="Fortune Barishal"/>
    <x v="4"/>
    <s v="Sylhet"/>
    <n v="3"/>
    <n v="0"/>
    <s v="3 wickets"/>
    <s v="Wickets"/>
    <n v="3"/>
    <s v="Close Match"/>
    <n v="339"/>
    <x v="0"/>
    <s v="David Millns"/>
    <s v="MahfuzurÂ Rahman"/>
    <x v="0"/>
    <x v="17"/>
    <x v="0"/>
  </r>
  <r>
    <x v="8"/>
    <x v="8"/>
    <x v="6"/>
    <x v="1"/>
    <s v="Jan 27 2023"/>
    <x v="18"/>
    <n v="6"/>
    <x v="49"/>
    <n v="7"/>
    <x v="33"/>
    <s v="Fortune Barishal"/>
    <s v="field first"/>
    <s v="Fortune Barishal"/>
    <s v="Fortune Barishal"/>
    <x v="4"/>
    <s v="Sylhet"/>
    <n v="3"/>
    <n v="0"/>
    <s v="3 wickets"/>
    <s v="Wickets"/>
    <n v="3"/>
    <s v="Close Match"/>
    <n v="339"/>
    <x v="0"/>
    <s v="David Millns"/>
    <s v="MahfuzurÂ Rahman"/>
    <x v="1"/>
    <x v="22"/>
    <x v="1"/>
  </r>
  <r>
    <x v="8"/>
    <x v="8"/>
    <x v="5"/>
    <x v="1"/>
    <s v="Jan 28 2023"/>
    <x v="6"/>
    <n v="2"/>
    <x v="66"/>
    <n v="6"/>
    <x v="148"/>
    <s v="Khulna Tigers"/>
    <s v="field first"/>
    <s v="Comilla Victorians"/>
    <s v="Comilla Victorians"/>
    <x v="4"/>
    <s v="Sylhet"/>
    <n v="0"/>
    <n v="4"/>
    <s v="4 runs"/>
    <s v="Runs"/>
    <n v="4"/>
    <s v="Close Match"/>
    <n v="326"/>
    <x v="0"/>
    <s v="Mahfuzur Rahman"/>
    <s v="Raveendra Wimalasiri"/>
    <x v="0"/>
    <x v="8"/>
    <x v="1"/>
  </r>
  <r>
    <x v="8"/>
    <x v="8"/>
    <x v="5"/>
    <x v="1"/>
    <s v="Jan 28 2023"/>
    <x v="6"/>
    <n v="2"/>
    <x v="66"/>
    <n v="6"/>
    <x v="148"/>
    <s v="Khulna Tigers"/>
    <s v="field first"/>
    <s v="Comilla Victorians"/>
    <s v="Comilla Victorians"/>
    <x v="4"/>
    <s v="Sylhet"/>
    <n v="0"/>
    <n v="4"/>
    <s v="4 runs"/>
    <s v="Runs"/>
    <n v="4"/>
    <s v="Close Match"/>
    <n v="326"/>
    <x v="0"/>
    <s v="Mahfuzur Rahman"/>
    <s v="Raveendra Wimalasiri"/>
    <x v="1"/>
    <x v="16"/>
    <x v="0"/>
  </r>
  <r>
    <x v="8"/>
    <x v="8"/>
    <x v="4"/>
    <x v="1"/>
    <s v="Jan 28 2023"/>
    <x v="48"/>
    <n v="6"/>
    <x v="85"/>
    <n v="3"/>
    <x v="149"/>
    <s v="Chattogram Challengers"/>
    <s v="bat first"/>
    <s v="Sylhet Strikers"/>
    <s v="Sylhet Strikers"/>
    <x v="4"/>
    <s v="Sylhet"/>
    <n v="7"/>
    <n v="0"/>
    <s v="7 wickets"/>
    <s v="Wickets"/>
    <n v="7"/>
    <s v="Close Match"/>
    <n v="351"/>
    <x v="0"/>
    <s v="David Millns"/>
    <s v="TanvirÂ Ahmed"/>
    <x v="0"/>
    <x v="17"/>
    <x v="0"/>
  </r>
  <r>
    <x v="8"/>
    <x v="8"/>
    <x v="4"/>
    <x v="1"/>
    <s v="Jan 28 2023"/>
    <x v="48"/>
    <n v="6"/>
    <x v="85"/>
    <n v="3"/>
    <x v="149"/>
    <s v="Chattogram Challengers"/>
    <s v="bat first"/>
    <s v="Sylhet Strikers"/>
    <s v="Sylhet Strikers"/>
    <x v="4"/>
    <s v="Sylhet"/>
    <n v="7"/>
    <n v="0"/>
    <s v="7 wickets"/>
    <s v="Wickets"/>
    <n v="7"/>
    <s v="Close Match"/>
    <n v="351"/>
    <x v="0"/>
    <s v="David Millns"/>
    <s v="TanvirÂ Ahmed"/>
    <x v="1"/>
    <x v="25"/>
    <x v="1"/>
  </r>
  <r>
    <x v="8"/>
    <x v="8"/>
    <x v="3"/>
    <x v="1"/>
    <s v="Jan 30 2023"/>
    <x v="20"/>
    <n v="5"/>
    <x v="26"/>
    <n v="5"/>
    <x v="104"/>
    <s v="Rangpur Riders"/>
    <s v="field first"/>
    <s v="Rangpur Rangers"/>
    <s v="Rangpur Rangers"/>
    <x v="4"/>
    <s v="Sylhet"/>
    <n v="5"/>
    <n v="0"/>
    <s v="5 wickets"/>
    <s v="Wickets"/>
    <n v="5"/>
    <s v="Close Match"/>
    <n v="290"/>
    <x v="0"/>
    <s v="Ali Arman"/>
    <s v="Prageeth Rambukwella"/>
    <x v="0"/>
    <x v="26"/>
    <x v="0"/>
  </r>
  <r>
    <x v="8"/>
    <x v="8"/>
    <x v="3"/>
    <x v="1"/>
    <s v="Jan 30 2023"/>
    <x v="20"/>
    <n v="5"/>
    <x v="26"/>
    <n v="5"/>
    <x v="104"/>
    <s v="Rangpur Riders"/>
    <s v="field first"/>
    <s v="Rangpur Rangers"/>
    <s v="Rangpur Rangers"/>
    <x v="4"/>
    <s v="Sylhet"/>
    <n v="5"/>
    <n v="0"/>
    <s v="5 wickets"/>
    <s v="Wickets"/>
    <n v="5"/>
    <s v="Close Match"/>
    <n v="290"/>
    <x v="0"/>
    <s v="Ali Arman"/>
    <s v="Prageeth Rambukwella"/>
    <x v="1"/>
    <x v="20"/>
    <x v="1"/>
  </r>
  <r>
    <x v="8"/>
    <x v="8"/>
    <x v="48"/>
    <x v="1"/>
    <s v="Jan 30 2023"/>
    <x v="17"/>
    <n v="4"/>
    <x v="66"/>
    <n v="9"/>
    <x v="140"/>
    <s v="Khulna Tigers"/>
    <s v="field first"/>
    <s v="Sylhet Strikers"/>
    <s v="Sylhet Strikers"/>
    <x v="4"/>
    <s v="Sylhet"/>
    <n v="0"/>
    <n v="31"/>
    <s v="31 runs"/>
    <s v="Runs"/>
    <n v="31"/>
    <s v="Normal"/>
    <n v="353"/>
    <x v="0"/>
    <s v="Morshed Ali Khan"/>
    <s v="Raveendra Wimalasiri"/>
    <x v="0"/>
    <x v="25"/>
    <x v="1"/>
  </r>
  <r>
    <x v="8"/>
    <x v="8"/>
    <x v="48"/>
    <x v="1"/>
    <s v="Jan 30 2023"/>
    <x v="17"/>
    <n v="4"/>
    <x v="66"/>
    <n v="9"/>
    <x v="140"/>
    <s v="Khulna Tigers"/>
    <s v="field first"/>
    <s v="Sylhet Strikers"/>
    <s v="Sylhet Strikers"/>
    <x v="4"/>
    <s v="Sylhet"/>
    <n v="0"/>
    <n v="31"/>
    <s v="31 runs"/>
    <s v="Runs"/>
    <n v="31"/>
    <s v="Normal"/>
    <n v="353"/>
    <x v="0"/>
    <s v="Morshed Ali Khan"/>
    <s v="Raveendra Wimalasiri"/>
    <x v="1"/>
    <x v="16"/>
    <x v="0"/>
  </r>
  <r>
    <x v="8"/>
    <x v="8"/>
    <x v="47"/>
    <x v="1"/>
    <s v="Jan 31 2023"/>
    <x v="7"/>
    <n v="8"/>
    <x v="25"/>
    <n v="5"/>
    <x v="47"/>
    <s v="Fortune Barishal"/>
    <s v="bat first"/>
    <s v="Dhaka Dominators"/>
    <s v="Dhaka Dominators"/>
    <x v="4"/>
    <s v="Sylhet"/>
    <n v="5"/>
    <n v="0"/>
    <s v="5 wickets"/>
    <s v="Wickets"/>
    <n v="5"/>
    <s v="Close Match"/>
    <n v="313"/>
    <x v="0"/>
    <s v="Mozahiduzzaman"/>
    <s v="Prageeth Rambukwella"/>
    <x v="0"/>
    <x v="22"/>
    <x v="0"/>
  </r>
  <r>
    <x v="8"/>
    <x v="8"/>
    <x v="47"/>
    <x v="1"/>
    <s v="Jan 31 2023"/>
    <x v="7"/>
    <n v="8"/>
    <x v="25"/>
    <n v="5"/>
    <x v="47"/>
    <s v="Fortune Barishal"/>
    <s v="bat first"/>
    <s v="Dhaka Dominators"/>
    <s v="Dhaka Dominators"/>
    <x v="4"/>
    <s v="Sylhet"/>
    <n v="5"/>
    <n v="0"/>
    <s v="5 wickets"/>
    <s v="Wickets"/>
    <n v="5"/>
    <s v="Close Match"/>
    <n v="313"/>
    <x v="0"/>
    <s v="Mozahiduzzaman"/>
    <s v="Prageeth Rambukwella"/>
    <x v="1"/>
    <x v="26"/>
    <x v="1"/>
  </r>
  <r>
    <x v="8"/>
    <x v="8"/>
    <x v="46"/>
    <x v="1"/>
    <s v="Jan 31 2023"/>
    <x v="127"/>
    <n v="2"/>
    <x v="116"/>
    <n v="3"/>
    <x v="42"/>
    <s v="Comilla Victorians"/>
    <s v="field first"/>
    <s v="Comilla Victorians"/>
    <s v="Comilla Victorians"/>
    <x v="4"/>
    <s v="Sylhet"/>
    <n v="7"/>
    <n v="0"/>
    <s v="7 wickets"/>
    <s v="Wickets"/>
    <n v="7"/>
    <s v="Close Match"/>
    <n v="423"/>
    <x v="0"/>
    <s v="David Millns"/>
    <s v="Raveendra Wimalasiri"/>
    <x v="0"/>
    <x v="16"/>
    <x v="0"/>
  </r>
  <r>
    <x v="8"/>
    <x v="8"/>
    <x v="46"/>
    <x v="1"/>
    <s v="Jan 31 2023"/>
    <x v="127"/>
    <n v="2"/>
    <x v="116"/>
    <n v="3"/>
    <x v="42"/>
    <s v="Comilla Victorians"/>
    <s v="field first"/>
    <s v="Comilla Victorians"/>
    <s v="Comilla Victorians"/>
    <x v="4"/>
    <s v="Sylhet"/>
    <n v="7"/>
    <n v="0"/>
    <s v="7 wickets"/>
    <s v="Wickets"/>
    <n v="7"/>
    <s v="Close Match"/>
    <n v="423"/>
    <x v="0"/>
    <s v="David Millns"/>
    <s v="Raveendra Wimalasiri"/>
    <x v="1"/>
    <x v="8"/>
    <x v="1"/>
  </r>
  <r>
    <x v="8"/>
    <x v="8"/>
    <x v="45"/>
    <x v="1"/>
    <s v="Feb 3 2023"/>
    <x v="47"/>
    <n v="5"/>
    <x v="25"/>
    <n v="8"/>
    <x v="16"/>
    <s v="Khulna Tigers"/>
    <s v="field first"/>
    <s v="Fortune Barishal"/>
    <s v="Fortune Barishal"/>
    <x v="0"/>
    <s v="Mirpur"/>
    <n v="0"/>
    <n v="37"/>
    <s v="37 runs"/>
    <s v="Runs"/>
    <n v="37"/>
    <s v="Normal"/>
    <n v="351"/>
    <x v="0"/>
    <s v="David Millns"/>
    <s v="Masudur Rahman"/>
    <x v="0"/>
    <x v="22"/>
    <x v="1"/>
  </r>
  <r>
    <x v="8"/>
    <x v="8"/>
    <x v="45"/>
    <x v="1"/>
    <s v="Feb 3 2023"/>
    <x v="47"/>
    <n v="5"/>
    <x v="25"/>
    <n v="8"/>
    <x v="16"/>
    <s v="Khulna Tigers"/>
    <s v="field first"/>
    <s v="Fortune Barishal"/>
    <s v="Fortune Barishal"/>
    <x v="0"/>
    <s v="Mirpur"/>
    <n v="0"/>
    <n v="37"/>
    <s v="37 runs"/>
    <s v="Runs"/>
    <n v="37"/>
    <s v="Normal"/>
    <n v="351"/>
    <x v="0"/>
    <s v="David Millns"/>
    <s v="Masudur Rahman"/>
    <x v="1"/>
    <x v="16"/>
    <x v="0"/>
  </r>
  <r>
    <x v="8"/>
    <x v="8"/>
    <x v="44"/>
    <x v="1"/>
    <s v="Feb 3 2023"/>
    <x v="125"/>
    <n v="8"/>
    <x v="94"/>
    <n v="8"/>
    <x v="150"/>
    <s v="Rangpur Riders"/>
    <s v="field first"/>
    <s v="Rangpur Rangers"/>
    <s v="Rangpur Rangers"/>
    <x v="0"/>
    <s v="Mirpur"/>
    <n v="2"/>
    <n v="0"/>
    <s v="2 wickets"/>
    <s v="Wickets"/>
    <n v="2"/>
    <s v="Close Match"/>
    <n v="263"/>
    <x v="0"/>
    <s v="Gazi Sohel"/>
    <s v="Prageeth Rambukwella"/>
    <x v="0"/>
    <x v="26"/>
    <x v="0"/>
  </r>
  <r>
    <x v="8"/>
    <x v="8"/>
    <x v="44"/>
    <x v="1"/>
    <s v="Feb 3 2023"/>
    <x v="125"/>
    <n v="8"/>
    <x v="94"/>
    <n v="8"/>
    <x v="150"/>
    <s v="Rangpur Riders"/>
    <s v="field first"/>
    <s v="Rangpur Rangers"/>
    <s v="Rangpur Rangers"/>
    <x v="0"/>
    <s v="Mirpur"/>
    <n v="2"/>
    <n v="0"/>
    <s v="2 wickets"/>
    <s v="Wickets"/>
    <n v="2"/>
    <s v="Close Match"/>
    <n v="263"/>
    <x v="0"/>
    <s v="Gazi Sohel"/>
    <s v="Prageeth Rambukwella"/>
    <x v="1"/>
    <x v="20"/>
    <x v="1"/>
  </r>
  <r>
    <x v="8"/>
    <x v="8"/>
    <x v="43"/>
    <x v="1"/>
    <s v="Feb 4 2023"/>
    <x v="7"/>
    <n v="7"/>
    <x v="25"/>
    <n v="4"/>
    <x v="148"/>
    <s v="Chattogram Challengers"/>
    <s v="bat first"/>
    <s v="Comilla Victorians"/>
    <s v="Comilla Victorians"/>
    <x v="0"/>
    <s v="Mirpur"/>
    <n v="6"/>
    <n v="0"/>
    <s v="6 wickets"/>
    <s v="Wickets"/>
    <n v="6"/>
    <s v="Close Match"/>
    <n v="313"/>
    <x v="0"/>
    <s v="Gazi Sohel"/>
    <s v="Raveendra Wimalasiri"/>
    <x v="0"/>
    <x v="17"/>
    <x v="0"/>
  </r>
  <r>
    <x v="8"/>
    <x v="8"/>
    <x v="43"/>
    <x v="1"/>
    <s v="Feb 4 2023"/>
    <x v="7"/>
    <n v="7"/>
    <x v="25"/>
    <n v="4"/>
    <x v="148"/>
    <s v="Chattogram Challengers"/>
    <s v="bat first"/>
    <s v="Comilla Victorians"/>
    <s v="Comilla Victorians"/>
    <x v="0"/>
    <s v="Mirpur"/>
    <n v="6"/>
    <n v="0"/>
    <s v="6 wickets"/>
    <s v="Wickets"/>
    <n v="6"/>
    <s v="Close Match"/>
    <n v="313"/>
    <x v="0"/>
    <s v="Gazi Sohel"/>
    <s v="Raveendra Wimalasiri"/>
    <x v="1"/>
    <x v="8"/>
    <x v="1"/>
  </r>
  <r>
    <x v="8"/>
    <x v="8"/>
    <x v="42"/>
    <x v="1"/>
    <s v="Feb 4 2023"/>
    <x v="41"/>
    <n v="2"/>
    <x v="75"/>
    <n v="2"/>
    <x v="120"/>
    <s v="Rangpur Riders"/>
    <s v="field first"/>
    <s v="Rangpur Rangers"/>
    <s v="Rangpur Rangers"/>
    <x v="0"/>
    <s v="Mirpur"/>
    <n v="8"/>
    <n v="0"/>
    <s v="8 wickets"/>
    <s v="Wickets"/>
    <n v="8"/>
    <s v="Close Match"/>
    <n v="346"/>
    <x v="0"/>
    <s v="Masudur Rahman"/>
    <s v="Prageeth Rambukwella"/>
    <x v="0"/>
    <x v="25"/>
    <x v="0"/>
  </r>
  <r>
    <x v="8"/>
    <x v="8"/>
    <x v="42"/>
    <x v="1"/>
    <s v="Feb 4 2023"/>
    <x v="41"/>
    <n v="2"/>
    <x v="75"/>
    <n v="2"/>
    <x v="120"/>
    <s v="Rangpur Riders"/>
    <s v="field first"/>
    <s v="Rangpur Rangers"/>
    <s v="Rangpur Rangers"/>
    <x v="0"/>
    <s v="Mirpur"/>
    <n v="8"/>
    <n v="0"/>
    <s v="8 wickets"/>
    <s v="Wickets"/>
    <n v="8"/>
    <s v="Close Match"/>
    <n v="346"/>
    <x v="0"/>
    <s v="Masudur Rahman"/>
    <s v="Prageeth Rambukwella"/>
    <x v="1"/>
    <x v="20"/>
    <x v="1"/>
  </r>
  <r>
    <x v="8"/>
    <x v="8"/>
    <x v="41"/>
    <x v="1"/>
    <s v="Feb 7 2023"/>
    <x v="128"/>
    <n v="8"/>
    <x v="38"/>
    <n v="9"/>
    <x v="151"/>
    <s v="Chattogram Challengers"/>
    <s v="bat first"/>
    <s v="Chattogram Challengers"/>
    <s v="Chattogram Challengers"/>
    <x v="0"/>
    <s v="Mirpur"/>
    <n v="0"/>
    <n v="15"/>
    <s v="15 runs"/>
    <s v="Runs"/>
    <n v="15"/>
    <s v="Normal"/>
    <n v="221"/>
    <x v="0"/>
    <s v="David Millns"/>
    <s v="Mozahiduzzaman"/>
    <x v="0"/>
    <x v="17"/>
    <x v="1"/>
  </r>
  <r>
    <x v="8"/>
    <x v="8"/>
    <x v="41"/>
    <x v="1"/>
    <s v="Feb 7 2023"/>
    <x v="128"/>
    <n v="8"/>
    <x v="38"/>
    <n v="9"/>
    <x v="151"/>
    <s v="Chattogram Challengers"/>
    <s v="bat first"/>
    <s v="Chattogram Challengers"/>
    <s v="Chattogram Challengers"/>
    <x v="0"/>
    <s v="Mirpur"/>
    <n v="0"/>
    <n v="15"/>
    <s v="15 runs"/>
    <s v="Runs"/>
    <n v="15"/>
    <s v="Normal"/>
    <n v="221"/>
    <x v="0"/>
    <s v="David Millns"/>
    <s v="Mozahiduzzaman"/>
    <x v="1"/>
    <x v="26"/>
    <x v="0"/>
  </r>
  <r>
    <x v="8"/>
    <x v="8"/>
    <x v="26"/>
    <x v="1"/>
    <s v="Feb 7 2023"/>
    <x v="35"/>
    <n v="10"/>
    <x v="117"/>
    <n v="5"/>
    <x v="152"/>
    <s v="Comilla Victorians"/>
    <s v="field first"/>
    <s v="Comilla Victorians"/>
    <s v="Comilla Victorians"/>
    <x v="0"/>
    <s v="Mirpur"/>
    <n v="5"/>
    <n v="0"/>
    <s v="5 wickest"/>
    <s v="Wickets"/>
    <n v="5"/>
    <s v="Close Match"/>
    <n v="243"/>
    <x v="0"/>
    <s v="Mahfuzur Rahman"/>
    <s v="Raveendra Wimalasiri"/>
    <x v="0"/>
    <x v="22"/>
    <x v="0"/>
  </r>
  <r>
    <x v="8"/>
    <x v="8"/>
    <x v="26"/>
    <x v="1"/>
    <s v="Feb 7 2023"/>
    <x v="35"/>
    <n v="10"/>
    <x v="117"/>
    <n v="5"/>
    <x v="152"/>
    <s v="Comilla Victorians"/>
    <s v="field first"/>
    <s v="Comilla Victorians"/>
    <s v="Comilla Victorians"/>
    <x v="0"/>
    <s v="Mirpur"/>
    <n v="5"/>
    <n v="0"/>
    <s v="5 wickest"/>
    <s v="Wickets"/>
    <n v="5"/>
    <s v="Close Match"/>
    <n v="243"/>
    <x v="0"/>
    <s v="Mahfuzur Rahman"/>
    <s v="Raveendra Wimalasiri"/>
    <x v="1"/>
    <x v="8"/>
    <x v="1"/>
  </r>
  <r>
    <x v="8"/>
    <x v="8"/>
    <x v="24"/>
    <x v="1"/>
    <s v="Feb 8 2023"/>
    <x v="123"/>
    <n v="8"/>
    <x v="118"/>
    <n v="4"/>
    <x v="144"/>
    <s v="Khulna Tigers"/>
    <s v="bat first"/>
    <s v="Sylhet Strikers"/>
    <s v="Sylhet Strikers"/>
    <x v="0"/>
    <s v="Mirpur"/>
    <n v="6"/>
    <n v="0"/>
    <s v="6 wickets"/>
    <s v="Wickets"/>
    <n v="6"/>
    <s v="Close Match"/>
    <n v="227"/>
    <x v="0"/>
    <s v="David Millns"/>
    <s v="MahfuzurÂ Rahman"/>
    <x v="0"/>
    <x v="16"/>
    <x v="0"/>
  </r>
  <r>
    <x v="8"/>
    <x v="8"/>
    <x v="24"/>
    <x v="1"/>
    <s v="Feb 8 2023"/>
    <x v="123"/>
    <n v="8"/>
    <x v="118"/>
    <n v="4"/>
    <x v="144"/>
    <s v="Khulna Tigers"/>
    <s v="bat first"/>
    <s v="Sylhet Strikers"/>
    <s v="Sylhet Strikers"/>
    <x v="0"/>
    <s v="Mirpur"/>
    <n v="6"/>
    <n v="0"/>
    <s v="6 wickets"/>
    <s v="Wickets"/>
    <n v="6"/>
    <s v="Close Match"/>
    <n v="227"/>
    <x v="0"/>
    <s v="David Millns"/>
    <s v="MahfuzurÂ Rahman"/>
    <x v="1"/>
    <x v="25"/>
    <x v="1"/>
  </r>
  <r>
    <x v="8"/>
    <x v="8"/>
    <x v="21"/>
    <x v="1"/>
    <s v="Feb 8 2023"/>
    <x v="73"/>
    <n v="8"/>
    <x v="45"/>
    <n v="3"/>
    <x v="153"/>
    <s v="Chattogram Challengers"/>
    <s v="bat first"/>
    <s v="Rangpur Rangers"/>
    <s v="Rangpur Rangers"/>
    <x v="0"/>
    <s v="Mirpur"/>
    <n v="7"/>
    <n v="0"/>
    <s v="7 wickets"/>
    <s v="Wickets"/>
    <n v="7"/>
    <s v="Close Match"/>
    <n v="267"/>
    <x v="0"/>
    <s v="Mozahiduzzaman"/>
    <s v="Prageeth Rambukwella"/>
    <x v="0"/>
    <x v="17"/>
    <x v="0"/>
  </r>
  <r>
    <x v="8"/>
    <x v="8"/>
    <x v="21"/>
    <x v="1"/>
    <s v="Feb 8 2023"/>
    <x v="73"/>
    <n v="8"/>
    <x v="45"/>
    <n v="3"/>
    <x v="153"/>
    <s v="Chattogram Challengers"/>
    <s v="bat first"/>
    <s v="Rangpur Rangers"/>
    <s v="Rangpur Rangers"/>
    <x v="0"/>
    <s v="Mirpur"/>
    <n v="7"/>
    <n v="0"/>
    <s v="7 wickets"/>
    <s v="Wickets"/>
    <n v="7"/>
    <s v="Close Match"/>
    <n v="267"/>
    <x v="0"/>
    <s v="Mozahiduzzaman"/>
    <s v="Prageeth Rambukwella"/>
    <x v="1"/>
    <x v="20"/>
    <x v="1"/>
  </r>
  <r>
    <x v="8"/>
    <x v="8"/>
    <x v="19"/>
    <x v="1"/>
    <s v="Feb 10 2023"/>
    <x v="126"/>
    <n v="5"/>
    <x v="10"/>
    <n v="10"/>
    <x v="154"/>
    <s v="Rangpur Riders"/>
    <s v="field first"/>
    <s v="Comilla Victorians"/>
    <s v="Comilla Victorians"/>
    <x v="0"/>
    <s v="Mirpur"/>
    <n v="0"/>
    <n v="70"/>
    <s v="70 runs"/>
    <s v="Runs"/>
    <n v="70"/>
    <s v="Normal"/>
    <n v="284"/>
    <x v="0"/>
    <s v="Mahfuzur Rahman"/>
    <s v="Prageeth Rambukwella"/>
    <x v="0"/>
    <x v="8"/>
    <x v="1"/>
  </r>
  <r>
    <x v="8"/>
    <x v="8"/>
    <x v="19"/>
    <x v="1"/>
    <s v="Feb 10 2023"/>
    <x v="126"/>
    <n v="5"/>
    <x v="10"/>
    <n v="10"/>
    <x v="154"/>
    <s v="Rangpur Riders"/>
    <s v="field first"/>
    <s v="Comilla Victorians"/>
    <s v="Comilla Victorians"/>
    <x v="0"/>
    <s v="Mirpur"/>
    <n v="0"/>
    <n v="70"/>
    <s v="70 runs"/>
    <s v="Runs"/>
    <n v="70"/>
    <s v="Normal"/>
    <n v="284"/>
    <x v="0"/>
    <s v="Mahfuzur Rahman"/>
    <s v="Prageeth Rambukwella"/>
    <x v="1"/>
    <x v="20"/>
    <x v="0"/>
  </r>
  <r>
    <x v="8"/>
    <x v="8"/>
    <x v="17"/>
    <x v="1"/>
    <s v="Feb 10 2023"/>
    <x v="101"/>
    <n v="8"/>
    <x v="96"/>
    <n v="4"/>
    <x v="136"/>
    <s v="Fortune Barishal"/>
    <s v="bat first"/>
    <s v="Khulna Tigers"/>
    <s v="Khulna Tigers"/>
    <x v="0"/>
    <s v="Mirpur"/>
    <n v="6"/>
    <n v="0"/>
    <s v="6 wickets"/>
    <s v="Wickets"/>
    <n v="6"/>
    <s v="Close Match"/>
    <n v="341"/>
    <x v="0"/>
    <s v="Ali Arman"/>
    <s v="Raveendra Wimalasiri"/>
    <x v="0"/>
    <x v="22"/>
    <x v="0"/>
  </r>
  <r>
    <x v="8"/>
    <x v="8"/>
    <x v="17"/>
    <x v="1"/>
    <s v="Feb 10 2023"/>
    <x v="101"/>
    <n v="8"/>
    <x v="96"/>
    <n v="4"/>
    <x v="136"/>
    <s v="Fortune Barishal"/>
    <s v="bat first"/>
    <s v="Khulna Tigers"/>
    <s v="Khulna Tigers"/>
    <x v="0"/>
    <s v="Mirpur"/>
    <n v="6"/>
    <n v="0"/>
    <s v="6 wickets"/>
    <s v="Wickets"/>
    <n v="6"/>
    <s v="Close Match"/>
    <n v="341"/>
    <x v="0"/>
    <s v="Ali Arman"/>
    <s v="Raveendra Wimalasiri"/>
    <x v="1"/>
    <x v="16"/>
    <x v="1"/>
  </r>
  <r>
    <x v="8"/>
    <x v="8"/>
    <x v="31"/>
    <x v="1"/>
    <s v="Feb 12 2023"/>
    <x v="41"/>
    <n v="3"/>
    <x v="96"/>
    <n v="6"/>
    <x v="135"/>
    <s v="Rangpur Riders"/>
    <s v="field first"/>
    <s v="Rangpur Rangers"/>
    <s v="Rangpur Rangers"/>
    <x v="0"/>
    <s v="Mirpur"/>
    <n v="4"/>
    <n v="0"/>
    <s v="4 wickets"/>
    <s v="Wickets"/>
    <n v="4"/>
    <s v="Close Match"/>
    <n v="342"/>
    <x v="0"/>
    <s v="Ali Arman"/>
    <s v="Prageeth Rambukwella"/>
    <x v="0"/>
    <x v="22"/>
    <x v="0"/>
  </r>
  <r>
    <x v="8"/>
    <x v="8"/>
    <x v="31"/>
    <x v="1"/>
    <s v="Feb 12 2023"/>
    <x v="41"/>
    <n v="3"/>
    <x v="96"/>
    <n v="6"/>
    <x v="135"/>
    <s v="Rangpur Riders"/>
    <s v="field first"/>
    <s v="Rangpur Rangers"/>
    <s v="Rangpur Rangers"/>
    <x v="0"/>
    <s v="Mirpur"/>
    <n v="4"/>
    <n v="0"/>
    <s v="4 wickets"/>
    <s v="Wickets"/>
    <n v="4"/>
    <s v="Close Match"/>
    <n v="342"/>
    <x v="0"/>
    <s v="Ali Arman"/>
    <s v="Prageeth Rambukwella"/>
    <x v="1"/>
    <x v="20"/>
    <x v="1"/>
  </r>
  <r>
    <x v="8"/>
    <x v="8"/>
    <x v="50"/>
    <x v="1"/>
    <s v="Feb 12 2023"/>
    <x v="25"/>
    <n v="10"/>
    <x v="6"/>
    <n v="6"/>
    <x v="154"/>
    <s v="Comilla Victorians"/>
    <s v="field first"/>
    <s v="Comilla Victorians"/>
    <s v="Comilla Victorians"/>
    <x v="0"/>
    <s v="Mirpur"/>
    <n v="4"/>
    <n v="0"/>
    <s v="4 wickets"/>
    <s v="Wickets"/>
    <n v="4"/>
    <s v="Close Match"/>
    <n v="255"/>
    <x v="0"/>
    <s v="David Millns"/>
    <s v="Raveendra Wimalasiri"/>
    <x v="0"/>
    <x v="25"/>
    <x v="0"/>
  </r>
  <r>
    <x v="8"/>
    <x v="8"/>
    <x v="50"/>
    <x v="1"/>
    <s v="Feb 12 2023"/>
    <x v="25"/>
    <n v="10"/>
    <x v="6"/>
    <n v="6"/>
    <x v="154"/>
    <s v="Comilla Victorians"/>
    <s v="field first"/>
    <s v="Comilla Victorians"/>
    <s v="Comilla Victorians"/>
    <x v="0"/>
    <s v="Mirpur"/>
    <n v="4"/>
    <n v="0"/>
    <s v="4 wickets"/>
    <s v="Wickets"/>
    <n v="4"/>
    <s v="Close Match"/>
    <n v="255"/>
    <x v="0"/>
    <s v="David Millns"/>
    <s v="Raveendra Wimalasiri"/>
    <x v="1"/>
    <x v="8"/>
    <x v="1"/>
  </r>
  <r>
    <x v="8"/>
    <x v="8"/>
    <x v="51"/>
    <x v="1"/>
    <s v="Feb 14 2023"/>
    <x v="69"/>
    <n v="7"/>
    <x v="27"/>
    <n v="8"/>
    <x v="155"/>
    <s v="Rangpur Riders"/>
    <s v="field first"/>
    <s v="Sylhet Strikers"/>
    <s v="Sylhet Strikers"/>
    <x v="0"/>
    <s v="Mirpur"/>
    <n v="0"/>
    <n v="19"/>
    <s v="19 runs"/>
    <s v="Runs"/>
    <n v="19"/>
    <s v="Normal"/>
    <n v="345"/>
    <x v="0"/>
    <s v="Prageeth Rambukwella"/>
    <s v="Raveendra Wimalasiri"/>
    <x v="0"/>
    <x v="25"/>
    <x v="1"/>
  </r>
  <r>
    <x v="8"/>
    <x v="8"/>
    <x v="51"/>
    <x v="1"/>
    <s v="Feb 14 2023"/>
    <x v="69"/>
    <n v="7"/>
    <x v="27"/>
    <n v="8"/>
    <x v="155"/>
    <s v="Rangpur Riders"/>
    <s v="field first"/>
    <s v="Sylhet Strikers"/>
    <s v="Sylhet Strikers"/>
    <x v="0"/>
    <s v="Mirpur"/>
    <n v="0"/>
    <n v="19"/>
    <s v="19 runs"/>
    <s v="Runs"/>
    <n v="19"/>
    <s v="Normal"/>
    <n v="345"/>
    <x v="0"/>
    <s v="Prageeth Rambukwella"/>
    <s v="Raveendra Wimalasiri"/>
    <x v="1"/>
    <x v="20"/>
    <x v="0"/>
  </r>
  <r>
    <x v="8"/>
    <x v="8"/>
    <x v="0"/>
    <x v="0"/>
    <s v="Feb 16 2023"/>
    <x v="36"/>
    <n v="7"/>
    <x v="75"/>
    <n v="3"/>
    <x v="42"/>
    <s v="Comilla Victorians"/>
    <s v="field first"/>
    <s v="Comilla Victorians"/>
    <s v="Comilla Victorians"/>
    <x v="0"/>
    <s v="Mirpur"/>
    <n v="7"/>
    <n v="0"/>
    <s v="7 wickets"/>
    <s v="Wickets"/>
    <n v="7"/>
    <s v="Close Match"/>
    <n v="351"/>
    <x v="0"/>
    <s v="David Millns"/>
    <s v="TanvirÂ Ahmed"/>
    <x v="0"/>
    <x v="25"/>
    <x v="0"/>
  </r>
  <r>
    <x v="8"/>
    <x v="8"/>
    <x v="0"/>
    <x v="0"/>
    <s v="Feb 16 2023"/>
    <x v="36"/>
    <n v="7"/>
    <x v="75"/>
    <n v="3"/>
    <x v="42"/>
    <s v="Comilla Victorians"/>
    <s v="field first"/>
    <s v="Comilla Victorians"/>
    <s v="Comilla Victorians"/>
    <x v="0"/>
    <s v="Mirpur"/>
    <n v="7"/>
    <n v="0"/>
    <s v="7 wickets"/>
    <s v="Wickets"/>
    <n v="7"/>
    <s v="Close Match"/>
    <n v="351"/>
    <x v="0"/>
    <s v="David Millns"/>
    <s v="TanvirÂ Ahmed"/>
    <x v="1"/>
    <x v="8"/>
    <x v="1"/>
  </r>
  <r>
    <x v="9"/>
    <x v="9"/>
    <x v="2"/>
    <x v="1"/>
    <s v="Jan 19 2024"/>
    <x v="106"/>
    <n v="6"/>
    <x v="53"/>
    <n v="5"/>
    <x v="156"/>
    <s v="Durdanto Dhaka"/>
    <s v="field first"/>
    <s v="Durdanto Dhaka"/>
    <s v="Durdanto Dhaka"/>
    <x v="0"/>
    <s v="Mirpur"/>
    <n v="5"/>
    <n v="0"/>
    <s v="5 wickets"/>
    <s v="Wickets"/>
    <n v="5"/>
    <s v="Close Match"/>
    <n v="290"/>
    <x v="0"/>
    <s v="David Millns"/>
    <s v="MahfuzurÂ Rahman"/>
    <x v="0"/>
    <x v="27"/>
    <x v="0"/>
  </r>
  <r>
    <x v="9"/>
    <x v="9"/>
    <x v="2"/>
    <x v="1"/>
    <s v="Jan 19 2024"/>
    <x v="106"/>
    <n v="6"/>
    <x v="53"/>
    <n v="5"/>
    <x v="156"/>
    <s v="Durdanto Dhaka"/>
    <s v="field first"/>
    <s v="Durdanto Dhaka"/>
    <s v="Durdanto Dhaka"/>
    <x v="0"/>
    <s v="Mirpur"/>
    <n v="5"/>
    <n v="0"/>
    <s v="5 wickets"/>
    <s v="Wickets"/>
    <n v="5"/>
    <s v="Close Match"/>
    <n v="290"/>
    <x v="0"/>
    <s v="David Millns"/>
    <s v="MahfuzurÂ Rahman"/>
    <x v="1"/>
    <x v="28"/>
    <x v="1"/>
  </r>
  <r>
    <x v="9"/>
    <x v="9"/>
    <x v="1"/>
    <x v="1"/>
    <s v="Jan 19 2024"/>
    <x v="126"/>
    <n v="2"/>
    <x v="64"/>
    <n v="3"/>
    <x v="157"/>
    <s v="Chattogram Challengers"/>
    <s v="field first"/>
    <s v="Chattogram Challengers"/>
    <s v="Chattogram Challengers"/>
    <x v="0"/>
    <s v="Mirpur"/>
    <n v="7"/>
    <n v="0"/>
    <s v="7 wickets"/>
    <s v="Wickets"/>
    <n v="7"/>
    <s v="Close Match"/>
    <n v="357"/>
    <x v="0"/>
    <s v="Asif Yaqoob"/>
    <s v="Morshed AliÂ Khan"/>
    <x v="0"/>
    <x v="25"/>
    <x v="0"/>
  </r>
  <r>
    <x v="9"/>
    <x v="9"/>
    <x v="1"/>
    <x v="1"/>
    <s v="Jan 19 2024"/>
    <x v="126"/>
    <n v="2"/>
    <x v="64"/>
    <n v="3"/>
    <x v="157"/>
    <s v="Chattogram Challengers"/>
    <s v="field first"/>
    <s v="Chattogram Challengers"/>
    <s v="Chattogram Challengers"/>
    <x v="0"/>
    <s v="Mirpur"/>
    <n v="7"/>
    <n v="0"/>
    <s v="7 wickets"/>
    <s v="Wickets"/>
    <n v="7"/>
    <s v="Close Match"/>
    <n v="357"/>
    <x v="0"/>
    <s v="Asif Yaqoob"/>
    <s v="Morshed AliÂ Khan"/>
    <x v="1"/>
    <x v="17"/>
    <x v="1"/>
  </r>
  <r>
    <x v="9"/>
    <x v="9"/>
    <x v="39"/>
    <x v="1"/>
    <s v="Jan 20 2024"/>
    <x v="44"/>
    <n v="9"/>
    <x v="60"/>
    <n v="5"/>
    <x v="158"/>
    <s v="Fortune Barishal"/>
    <s v="field first"/>
    <s v="Fortune Barishal "/>
    <s v="Fortune Barishal "/>
    <x v="0"/>
    <s v="Mirpur"/>
    <n v="5"/>
    <n v="0"/>
    <s v="5 wickets"/>
    <s v="Wickets"/>
    <n v="5"/>
    <s v="Close Match"/>
    <n v="272"/>
    <x v="0"/>
    <s v="Ali Arman"/>
    <s v="Asif Yaqoob"/>
    <x v="0"/>
    <x v="6"/>
    <x v="0"/>
  </r>
  <r>
    <x v="9"/>
    <x v="9"/>
    <x v="39"/>
    <x v="1"/>
    <s v="Jan 20 2024"/>
    <x v="44"/>
    <n v="9"/>
    <x v="60"/>
    <n v="5"/>
    <x v="158"/>
    <s v="Fortune Barishal"/>
    <s v="field first"/>
    <s v="Fortune Barishal "/>
    <s v="Fortune Barishal "/>
    <x v="0"/>
    <s v="Mirpur"/>
    <n v="5"/>
    <n v="0"/>
    <s v="5 wickets"/>
    <s v="Wickets"/>
    <n v="5"/>
    <s v="Close Match"/>
    <n v="272"/>
    <x v="0"/>
    <s v="Ali Arman"/>
    <s v="Asif Yaqoob"/>
    <x v="1"/>
    <x v="29"/>
    <x v="1"/>
  </r>
  <r>
    <x v="9"/>
    <x v="9"/>
    <x v="38"/>
    <x v="1"/>
    <s v="Jan 20 2024"/>
    <x v="35"/>
    <n v="10"/>
    <x v="117"/>
    <n v="6"/>
    <x v="132"/>
    <s v="Khulna Tigers"/>
    <s v="field first"/>
    <s v="Khulna Tigers"/>
    <s v="Khulna Tigers"/>
    <x v="0"/>
    <s v="Mirpur"/>
    <n v="4"/>
    <n v="0"/>
    <s v="4 wickets"/>
    <s v="Wickets"/>
    <n v="4"/>
    <s v="Close Match"/>
    <n v="243"/>
    <x v="0"/>
    <s v="David Millns"/>
    <s v="Morshed AliÂ Khan"/>
    <x v="0"/>
    <x v="17"/>
    <x v="0"/>
  </r>
  <r>
    <x v="9"/>
    <x v="9"/>
    <x v="38"/>
    <x v="1"/>
    <s v="Jan 20 2024"/>
    <x v="35"/>
    <n v="10"/>
    <x v="117"/>
    <n v="6"/>
    <x v="132"/>
    <s v="Khulna Tigers"/>
    <s v="field first"/>
    <s v="Khulna Tigers"/>
    <s v="Khulna Tigers"/>
    <x v="0"/>
    <s v="Mirpur"/>
    <n v="4"/>
    <n v="0"/>
    <s v="4 wickets"/>
    <s v="Wickets"/>
    <n v="4"/>
    <s v="Close Match"/>
    <n v="243"/>
    <x v="0"/>
    <s v="David Millns"/>
    <s v="Morshed AliÂ Khan"/>
    <x v="1"/>
    <x v="16"/>
    <x v="1"/>
  </r>
  <r>
    <x v="9"/>
    <x v="9"/>
    <x v="37"/>
    <x v="1"/>
    <s v="Jan 22 2024"/>
    <x v="68"/>
    <n v="8"/>
    <x v="74"/>
    <n v="4"/>
    <x v="159"/>
    <s v="Chattogram Challengers"/>
    <s v="field first"/>
    <s v="Chattogram Challengers"/>
    <s v="Chattogram Challengers"/>
    <x v="0"/>
    <s v="Mirpur"/>
    <n v="6"/>
    <n v="0"/>
    <s v="6 wickets"/>
    <s v="Wickets"/>
    <n v="6"/>
    <s v="Close Match"/>
    <n v="273"/>
    <x v="0"/>
    <s v="Asif Yaqoob"/>
    <s v="Muhammad Kamruzzaman"/>
    <x v="0"/>
    <x v="28"/>
    <x v="0"/>
  </r>
  <r>
    <x v="9"/>
    <x v="9"/>
    <x v="37"/>
    <x v="1"/>
    <s v="Jan 22 2024"/>
    <x v="68"/>
    <n v="8"/>
    <x v="74"/>
    <n v="4"/>
    <x v="159"/>
    <s v="Chattogram Challengers"/>
    <s v="field first"/>
    <s v="Chattogram Challengers"/>
    <s v="Chattogram Challengers"/>
    <x v="0"/>
    <s v="Mirpur"/>
    <n v="6"/>
    <n v="0"/>
    <s v="6 wickets"/>
    <s v="Wickets"/>
    <n v="6"/>
    <s v="Close Match"/>
    <n v="273"/>
    <x v="0"/>
    <s v="Asif Yaqoob"/>
    <s v="Muhammad Kamruzzaman"/>
    <x v="1"/>
    <x v="17"/>
    <x v="1"/>
  </r>
  <r>
    <x v="9"/>
    <x v="9"/>
    <x v="36"/>
    <x v="1"/>
    <s v="Jan 22 2024"/>
    <x v="87"/>
    <n v="4"/>
    <x v="87"/>
    <n v="2"/>
    <x v="33"/>
    <s v="Khulna Tigers"/>
    <s v="field first"/>
    <s v="Khulna Tigers"/>
    <s v="Khulna Tigers"/>
    <x v="0"/>
    <s v="Mirpur"/>
    <n v="8"/>
    <n v="0"/>
    <s v="8 wickets"/>
    <s v="Wickets"/>
    <n v="8"/>
    <s v="Close Match"/>
    <n v="375"/>
    <x v="0"/>
    <s v="David Millns"/>
    <s v="TanvirÂ Ahmed"/>
    <x v="0"/>
    <x v="29"/>
    <x v="0"/>
  </r>
  <r>
    <x v="9"/>
    <x v="9"/>
    <x v="36"/>
    <x v="1"/>
    <s v="Jan 22 2024"/>
    <x v="87"/>
    <n v="4"/>
    <x v="87"/>
    <n v="2"/>
    <x v="33"/>
    <s v="Khulna Tigers"/>
    <s v="field first"/>
    <s v="Khulna Tigers"/>
    <s v="Khulna Tigers"/>
    <x v="0"/>
    <s v="Mirpur"/>
    <n v="8"/>
    <n v="0"/>
    <s v="8 wickets"/>
    <s v="Wickets"/>
    <n v="8"/>
    <s v="Close Match"/>
    <n v="375"/>
    <x v="0"/>
    <s v="David Millns"/>
    <s v="TanvirÂ Ahmed"/>
    <x v="1"/>
    <x v="16"/>
    <x v="1"/>
  </r>
  <r>
    <x v="9"/>
    <x v="9"/>
    <x v="35"/>
    <x v="1"/>
    <s v="Jan 23 2024"/>
    <x v="10"/>
    <n v="8"/>
    <x v="8"/>
    <n v="6"/>
    <x v="147"/>
    <s v="Rangpur Riders"/>
    <s v="field first"/>
    <s v="Rangpur Riders"/>
    <s v="Rangpur Riders"/>
    <x v="0"/>
    <s v="Mirpur"/>
    <n v="4"/>
    <n v="0"/>
    <s v="4 wickets"/>
    <s v="Wickets"/>
    <n v="4"/>
    <s v="Close Match"/>
    <n v="245"/>
    <x v="0"/>
    <s v="David Millns"/>
    <s v="MahfuzurÂ Rahman"/>
    <x v="0"/>
    <x v="25"/>
    <x v="0"/>
  </r>
  <r>
    <x v="9"/>
    <x v="9"/>
    <x v="35"/>
    <x v="1"/>
    <s v="Jan 23 2024"/>
    <x v="10"/>
    <n v="8"/>
    <x v="8"/>
    <n v="6"/>
    <x v="147"/>
    <s v="Rangpur Riders"/>
    <s v="field first"/>
    <s v="Rangpur Riders"/>
    <s v="Rangpur Riders"/>
    <x v="0"/>
    <s v="Mirpur"/>
    <n v="4"/>
    <n v="0"/>
    <s v="4 wickets"/>
    <s v="Wickets"/>
    <n v="4"/>
    <s v="Close Match"/>
    <n v="245"/>
    <x v="0"/>
    <s v="David Millns"/>
    <s v="MahfuzurÂ Rahman"/>
    <x v="1"/>
    <x v="6"/>
    <x v="1"/>
  </r>
  <r>
    <x v="9"/>
    <x v="9"/>
    <x v="34"/>
    <x v="1"/>
    <s v="Jan 23 2024"/>
    <x v="12"/>
    <n v="9"/>
    <x v="12"/>
    <n v="6"/>
    <x v="160"/>
    <s v="Comilla Victorians"/>
    <s v="field first"/>
    <s v="Comilla Victorians"/>
    <s v="Comilla Victorians"/>
    <x v="0"/>
    <s v="Mirpur"/>
    <n v="4"/>
    <n v="0"/>
    <s v="4 wickets"/>
    <s v="Wickets"/>
    <n v="4"/>
    <s v="Close Match"/>
    <n v="323"/>
    <x v="0"/>
    <s v="Asif Yaqoob"/>
    <s v="Moniruzzaman"/>
    <x v="0"/>
    <x v="29"/>
    <x v="0"/>
  </r>
  <r>
    <x v="9"/>
    <x v="9"/>
    <x v="34"/>
    <x v="1"/>
    <s v="Jan 23 2024"/>
    <x v="12"/>
    <n v="9"/>
    <x v="12"/>
    <n v="6"/>
    <x v="160"/>
    <s v="Comilla Victorians"/>
    <s v="field first"/>
    <s v="Comilla Victorians"/>
    <s v="Comilla Victorians"/>
    <x v="0"/>
    <s v="Mirpur"/>
    <n v="4"/>
    <n v="0"/>
    <s v="4 wickets"/>
    <s v="Wickets"/>
    <n v="4"/>
    <s v="Close Match"/>
    <n v="323"/>
    <x v="0"/>
    <s v="Asif Yaqoob"/>
    <s v="Moniruzzaman"/>
    <x v="1"/>
    <x v="8"/>
    <x v="1"/>
  </r>
  <r>
    <x v="9"/>
    <x v="9"/>
    <x v="33"/>
    <x v="1"/>
    <s v="Jan 26 2024"/>
    <x v="27"/>
    <n v="6"/>
    <x v="13"/>
    <n v="10"/>
    <x v="131"/>
    <s v="Rangpur Riders"/>
    <s v="field first"/>
    <s v="Khulna Tigers"/>
    <s v="Khulna Tigers"/>
    <x v="4"/>
    <s v="Sylhet"/>
    <n v="0"/>
    <n v="28"/>
    <s v="28 runs"/>
    <s v="Runs"/>
    <n v="28"/>
    <s v="Normal"/>
    <n v="292"/>
    <x v="0"/>
    <s v="Asif Yaqoob"/>
    <s v="Muhammad Kamruzzaman"/>
    <x v="0"/>
    <x v="16"/>
    <x v="1"/>
  </r>
  <r>
    <x v="9"/>
    <x v="9"/>
    <x v="33"/>
    <x v="1"/>
    <s v="Jan 26 2024"/>
    <x v="27"/>
    <n v="6"/>
    <x v="13"/>
    <n v="10"/>
    <x v="131"/>
    <s v="Rangpur Riders"/>
    <s v="field first"/>
    <s v="Khulna Tigers"/>
    <s v="Khulna Tigers"/>
    <x v="4"/>
    <s v="Sylhet"/>
    <n v="0"/>
    <n v="28"/>
    <s v="28 runs"/>
    <s v="Runs"/>
    <n v="28"/>
    <s v="Normal"/>
    <n v="292"/>
    <x v="0"/>
    <s v="Asif Yaqoob"/>
    <s v="Muhammad Kamruzzaman"/>
    <x v="1"/>
    <x v="6"/>
    <x v="0"/>
  </r>
  <r>
    <x v="9"/>
    <x v="9"/>
    <x v="32"/>
    <x v="1"/>
    <s v="Jan 26 2024"/>
    <x v="125"/>
    <n v="8"/>
    <x v="119"/>
    <n v="10"/>
    <x v="121"/>
    <s v="Sylhet Strikers"/>
    <s v="field first"/>
    <s v="Comilla Victorians"/>
    <s v="Comilla Victorians "/>
    <x v="4"/>
    <s v="Sylhet"/>
    <n v="0"/>
    <n v="52"/>
    <s v="52 runs"/>
    <s v="Runs"/>
    <n v="52"/>
    <s v="Normal"/>
    <n v="208"/>
    <x v="0"/>
    <s v="David Millns"/>
    <s v="MahfuzurÂ Rahman"/>
    <x v="0"/>
    <x v="27"/>
    <x v="1"/>
  </r>
  <r>
    <x v="9"/>
    <x v="9"/>
    <x v="32"/>
    <x v="1"/>
    <s v="Jan 26 2024"/>
    <x v="125"/>
    <n v="8"/>
    <x v="119"/>
    <n v="10"/>
    <x v="121"/>
    <s v="Sylhet Strikers"/>
    <s v="field first"/>
    <s v="Comilla Victorians"/>
    <s v="Comilla Victorians "/>
    <x v="4"/>
    <s v="Sylhet"/>
    <n v="0"/>
    <n v="52"/>
    <s v="52 runs"/>
    <s v="Runs"/>
    <n v="52"/>
    <s v="Normal"/>
    <n v="208"/>
    <x v="0"/>
    <s v="David Millns"/>
    <s v="MahfuzurÂ Rahman"/>
    <x v="1"/>
    <x v="25"/>
    <x v="0"/>
  </r>
  <r>
    <x v="9"/>
    <x v="9"/>
    <x v="30"/>
    <x v="1"/>
    <s v="Jan 27 2024"/>
    <x v="23"/>
    <n v="4"/>
    <x v="98"/>
    <n v="7"/>
    <x v="161"/>
    <s v="Fortune Barishal"/>
    <s v="field first"/>
    <s v="Chattogram Challengers"/>
    <s v="Chattogram Challengers"/>
    <x v="4"/>
    <s v="Sylhet"/>
    <n v="0"/>
    <n v="10"/>
    <s v="10 runs"/>
    <s v="Runs"/>
    <n v="10"/>
    <s v="Close Match"/>
    <n v="376"/>
    <x v="0"/>
    <s v="David Millns"/>
    <s v="MorshedÂ AliÂ Khan"/>
    <x v="0"/>
    <x v="17"/>
    <x v="1"/>
  </r>
  <r>
    <x v="9"/>
    <x v="9"/>
    <x v="30"/>
    <x v="1"/>
    <s v="Jan 27 2024"/>
    <x v="23"/>
    <n v="4"/>
    <x v="98"/>
    <n v="7"/>
    <x v="161"/>
    <s v="Fortune Barishal"/>
    <s v="field first"/>
    <s v="Chattogram Challengers"/>
    <s v="Chattogram Challengers"/>
    <x v="4"/>
    <s v="Sylhet"/>
    <n v="0"/>
    <n v="10"/>
    <s v="10 runs"/>
    <s v="Runs"/>
    <n v="10"/>
    <s v="Close Match"/>
    <n v="376"/>
    <x v="0"/>
    <s v="David Millns"/>
    <s v="MorshedÂ AliÂ Khan"/>
    <x v="1"/>
    <x v="29"/>
    <x v="0"/>
  </r>
  <r>
    <x v="9"/>
    <x v="9"/>
    <x v="28"/>
    <x v="1"/>
    <s v="Jan 27 2024"/>
    <x v="63"/>
    <n v="8"/>
    <x v="97"/>
    <n v="10"/>
    <x v="162"/>
    <s v="Durdanto Dhaka"/>
    <s v="field first"/>
    <s v="Rangpur Riders"/>
    <s v="Rangpur Riders"/>
    <x v="4"/>
    <s v="Sylhet"/>
    <n v="0"/>
    <n v="79"/>
    <s v="79 runs"/>
    <s v="Runs"/>
    <n v="79"/>
    <s v="Normal"/>
    <n v="287"/>
    <x v="0"/>
    <s v="Asif Yaqoob"/>
    <s v="TanvirÂ Ahmed"/>
    <x v="0"/>
    <x v="6"/>
    <x v="1"/>
  </r>
  <r>
    <x v="9"/>
    <x v="9"/>
    <x v="28"/>
    <x v="1"/>
    <s v="Jan 27 2024"/>
    <x v="63"/>
    <n v="8"/>
    <x v="97"/>
    <n v="10"/>
    <x v="162"/>
    <s v="Durdanto Dhaka"/>
    <s v="field first"/>
    <s v="Rangpur Riders"/>
    <s v="Rangpur Riders"/>
    <x v="4"/>
    <s v="Sylhet"/>
    <n v="0"/>
    <n v="79"/>
    <s v="79 runs"/>
    <s v="Runs"/>
    <n v="79"/>
    <s v="Normal"/>
    <n v="287"/>
    <x v="0"/>
    <s v="Asif Yaqoob"/>
    <s v="TanvirÂ Ahmed"/>
    <x v="1"/>
    <x v="28"/>
    <x v="0"/>
  </r>
  <r>
    <x v="9"/>
    <x v="9"/>
    <x v="27"/>
    <x v="1"/>
    <s v="Jan 29 2024"/>
    <x v="15"/>
    <n v="4"/>
    <x v="60"/>
    <n v="2"/>
    <x v="163"/>
    <s v="Sylhet Strikers"/>
    <s v="bat first"/>
    <s v="Chattogram Challengers"/>
    <s v="Chattogram Challengers"/>
    <x v="4"/>
    <s v="Sylhet"/>
    <n v="8"/>
    <n v="0"/>
    <s v="8 wickets"/>
    <s v="Wickets"/>
    <n v="8"/>
    <s v="Close Match"/>
    <n v="275"/>
    <x v="0"/>
    <s v="David Millns"/>
    <s v="Moniruzzaman"/>
    <x v="0"/>
    <x v="25"/>
    <x v="0"/>
  </r>
  <r>
    <x v="9"/>
    <x v="9"/>
    <x v="27"/>
    <x v="1"/>
    <s v="Jan 29 2024"/>
    <x v="15"/>
    <n v="4"/>
    <x v="60"/>
    <n v="2"/>
    <x v="163"/>
    <s v="Sylhet Strikers"/>
    <s v="bat first"/>
    <s v="Chattogram Challengers"/>
    <s v="Chattogram Challengers"/>
    <x v="4"/>
    <s v="Sylhet"/>
    <n v="8"/>
    <n v="0"/>
    <s v="8 wickets"/>
    <s v="Wickets"/>
    <n v="8"/>
    <s v="Close Match"/>
    <n v="275"/>
    <x v="0"/>
    <s v="David Millns"/>
    <s v="Moniruzzaman"/>
    <x v="1"/>
    <x v="17"/>
    <x v="1"/>
  </r>
  <r>
    <x v="9"/>
    <x v="9"/>
    <x v="25"/>
    <x v="1"/>
    <s v="Jan 29 2024"/>
    <x v="125"/>
    <n v="9"/>
    <x v="34"/>
    <n v="0"/>
    <x v="116"/>
    <s v="Durdanto Dhaka"/>
    <s v="bat first"/>
    <s v="Khulna Tigers"/>
    <s v="Khulna Tigers"/>
    <x v="4"/>
    <s v="Sylhet"/>
    <n v="10"/>
    <n v="0"/>
    <s v="10wickets"/>
    <s v="Wickets"/>
    <n v="10"/>
    <s v="Close Match"/>
    <n v="261"/>
    <x v="0"/>
    <s v="Ali Arman"/>
    <s v="Asif Yaqoob"/>
    <x v="0"/>
    <x v="28"/>
    <x v="0"/>
  </r>
  <r>
    <x v="9"/>
    <x v="9"/>
    <x v="25"/>
    <x v="1"/>
    <s v="Jan 29 2024"/>
    <x v="125"/>
    <n v="9"/>
    <x v="34"/>
    <n v="0"/>
    <x v="116"/>
    <s v="Durdanto Dhaka"/>
    <s v="bat first"/>
    <s v="Khulna Tigers"/>
    <s v="Khulna Tigers"/>
    <x v="4"/>
    <s v="Sylhet"/>
    <n v="10"/>
    <n v="0"/>
    <s v="10wickets"/>
    <s v="Wickets"/>
    <n v="10"/>
    <s v="Close Match"/>
    <n v="261"/>
    <x v="0"/>
    <s v="Ali Arman"/>
    <s v="Asif Yaqoob"/>
    <x v="1"/>
    <x v="16"/>
    <x v="1"/>
  </r>
  <r>
    <x v="9"/>
    <x v="9"/>
    <x v="23"/>
    <x v="1"/>
    <s v="Jan 30 2024"/>
    <x v="6"/>
    <n v="5"/>
    <x v="25"/>
    <n v="6"/>
    <x v="147"/>
    <s v="Rangpur Riders"/>
    <s v="bat first"/>
    <s v="Rangpur Riders"/>
    <s v="Rangpur Riders"/>
    <x v="4"/>
    <s v="Sylhet"/>
    <n v="0"/>
    <n v="8"/>
    <s v="8 runs"/>
    <s v="Runs"/>
    <n v="8"/>
    <s v="Close Match"/>
    <n v="322"/>
    <x v="0"/>
    <s v="Asif Yaqoob"/>
    <s v="Muhammad Kamruzzaman"/>
    <x v="0"/>
    <x v="6"/>
    <x v="1"/>
  </r>
  <r>
    <x v="9"/>
    <x v="9"/>
    <x v="23"/>
    <x v="1"/>
    <s v="Jan 30 2024"/>
    <x v="6"/>
    <n v="5"/>
    <x v="25"/>
    <n v="6"/>
    <x v="147"/>
    <s v="Rangpur Riders"/>
    <s v="bat first"/>
    <s v="Rangpur Riders"/>
    <s v="Rangpur Riders"/>
    <x v="4"/>
    <s v="Sylhet"/>
    <n v="0"/>
    <n v="8"/>
    <s v="8 runs"/>
    <s v="Runs"/>
    <n v="8"/>
    <s v="Close Match"/>
    <n v="322"/>
    <x v="0"/>
    <s v="Asif Yaqoob"/>
    <s v="Muhammad Kamruzzaman"/>
    <x v="1"/>
    <x v="8"/>
    <x v="0"/>
  </r>
  <r>
    <x v="9"/>
    <x v="9"/>
    <x v="22"/>
    <x v="1"/>
    <s v="Jan 30 2024"/>
    <x v="107"/>
    <n v="5"/>
    <x v="74"/>
    <n v="10"/>
    <x v="28"/>
    <s v="Sylhet Strikers"/>
    <s v="field first"/>
    <s v="Fortune Barishal "/>
    <s v="Fortune Barishal "/>
    <x v="4"/>
    <s v="Sylhet"/>
    <n v="0"/>
    <n v="49"/>
    <s v="49 runs"/>
    <s v="Runs"/>
    <n v="49"/>
    <s v="Normal"/>
    <n v="323"/>
    <x v="0"/>
    <s v="David Millns"/>
    <s v="MahfuzurÂ Rahman"/>
    <x v="0"/>
    <x v="29"/>
    <x v="1"/>
  </r>
  <r>
    <x v="9"/>
    <x v="9"/>
    <x v="22"/>
    <x v="1"/>
    <s v="Jan 30 2024"/>
    <x v="107"/>
    <n v="5"/>
    <x v="74"/>
    <n v="10"/>
    <x v="28"/>
    <s v="Sylhet Strikers"/>
    <s v="field first"/>
    <s v="Fortune Barishal "/>
    <s v="Fortune Barishal "/>
    <x v="4"/>
    <s v="Sylhet"/>
    <n v="0"/>
    <n v="49"/>
    <s v="49 runs"/>
    <s v="Runs"/>
    <n v="49"/>
    <s v="Normal"/>
    <n v="323"/>
    <x v="0"/>
    <s v="David Millns"/>
    <s v="MahfuzurÂ Rahman"/>
    <x v="1"/>
    <x v="25"/>
    <x v="0"/>
  </r>
  <r>
    <x v="9"/>
    <x v="9"/>
    <x v="20"/>
    <x v="1"/>
    <s v="Feb 2 2024"/>
    <x v="39"/>
    <n v="8"/>
    <x v="77"/>
    <n v="9"/>
    <x v="164"/>
    <s v="Durdanto Dhaka"/>
    <s v="field first"/>
    <s v="Sylhet Strikers"/>
    <s v="Sylhet Strikers"/>
    <x v="4"/>
    <s v="Sylhet"/>
    <n v="0"/>
    <n v="15"/>
    <s v="15 runs"/>
    <s v="Runs"/>
    <n v="15"/>
    <s v="Normal"/>
    <n v="269"/>
    <x v="0"/>
    <s v="Ali Arman"/>
    <s v="Asif Yaqoob"/>
    <x v="0"/>
    <x v="25"/>
    <x v="1"/>
  </r>
  <r>
    <x v="9"/>
    <x v="9"/>
    <x v="20"/>
    <x v="1"/>
    <s v="Feb 2 2024"/>
    <x v="39"/>
    <n v="8"/>
    <x v="77"/>
    <n v="9"/>
    <x v="164"/>
    <s v="Durdanto Dhaka"/>
    <s v="field first"/>
    <s v="Sylhet Strikers"/>
    <s v="Sylhet Strikers"/>
    <x v="4"/>
    <s v="Sylhet"/>
    <n v="0"/>
    <n v="15"/>
    <s v="15 runs"/>
    <s v="Runs"/>
    <n v="15"/>
    <s v="Normal"/>
    <n v="269"/>
    <x v="0"/>
    <s v="Ali Arman"/>
    <s v="Asif Yaqoob"/>
    <x v="1"/>
    <x v="28"/>
    <x v="0"/>
  </r>
  <r>
    <x v="9"/>
    <x v="9"/>
    <x v="18"/>
    <x v="1"/>
    <s v="Feb 2 2024"/>
    <x v="53"/>
    <n v="10"/>
    <x v="120"/>
    <n v="3"/>
    <x v="154"/>
    <s v="Comilla Victorians"/>
    <s v="field first"/>
    <s v="Comilla Victorians"/>
    <s v="Comilla Victorians"/>
    <x v="4"/>
    <s v="Sylhet"/>
    <n v="7"/>
    <n v="0"/>
    <s v="7 wickets"/>
    <s v="Wickets"/>
    <n v="7"/>
    <s v="Close Match"/>
    <n v="145"/>
    <x v="1"/>
    <s v="David Millns"/>
    <s v="TanvirÂ Ahmed"/>
    <x v="0"/>
    <x v="17"/>
    <x v="0"/>
  </r>
  <r>
    <x v="9"/>
    <x v="9"/>
    <x v="18"/>
    <x v="1"/>
    <s v="Feb 2 2024"/>
    <x v="53"/>
    <n v="10"/>
    <x v="120"/>
    <n v="3"/>
    <x v="154"/>
    <s v="Comilla Victorians"/>
    <s v="field first"/>
    <s v="Comilla Victorians"/>
    <s v="Comilla Victorians"/>
    <x v="4"/>
    <s v="Sylhet"/>
    <n v="7"/>
    <n v="0"/>
    <s v="7 wickets"/>
    <s v="Wickets"/>
    <n v="7"/>
    <s v="Close Match"/>
    <n v="145"/>
    <x v="1"/>
    <s v="David Millns"/>
    <s v="TanvirÂ Ahmed"/>
    <x v="1"/>
    <x v="8"/>
    <x v="1"/>
  </r>
  <r>
    <x v="9"/>
    <x v="9"/>
    <x v="16"/>
    <x v="1"/>
    <s v="Feb 3 2024"/>
    <x v="58"/>
    <n v="8"/>
    <x v="32"/>
    <n v="5"/>
    <x v="86"/>
    <s v="Fortune Barishal"/>
    <s v="field first"/>
    <s v="Fortune Barishal "/>
    <s v="Fortune Barishal "/>
    <x v="4"/>
    <s v="Sylhet"/>
    <n v="5"/>
    <n v="0"/>
    <s v="5 wickets"/>
    <s v="Wickets"/>
    <n v="5"/>
    <s v="Close Match"/>
    <n v="311"/>
    <x v="0"/>
    <s v="David Millns"/>
    <s v="Morshed AliÂ Khan"/>
    <x v="0"/>
    <x v="16"/>
    <x v="0"/>
  </r>
  <r>
    <x v="9"/>
    <x v="9"/>
    <x v="16"/>
    <x v="1"/>
    <s v="Feb 3 2024"/>
    <x v="58"/>
    <n v="8"/>
    <x v="32"/>
    <n v="5"/>
    <x v="86"/>
    <s v="Fortune Barishal"/>
    <s v="field first"/>
    <s v="Fortune Barishal "/>
    <s v="Fortune Barishal "/>
    <x v="4"/>
    <s v="Sylhet"/>
    <n v="5"/>
    <n v="0"/>
    <s v="5 wickets"/>
    <s v="Wickets"/>
    <n v="5"/>
    <s v="Close Match"/>
    <n v="311"/>
    <x v="0"/>
    <s v="David Millns"/>
    <s v="Morshed AliÂ Khan"/>
    <x v="1"/>
    <x v="29"/>
    <x v="1"/>
  </r>
  <r>
    <x v="9"/>
    <x v="9"/>
    <x v="14"/>
    <x v="1"/>
    <s v="Feb 3 2024"/>
    <x v="91"/>
    <n v="7"/>
    <x v="121"/>
    <n v="10"/>
    <x v="150"/>
    <s v="Sylhet Strikers"/>
    <s v="field first"/>
    <s v="Rangpur Riders"/>
    <s v="Rangpur Riders"/>
    <x v="4"/>
    <s v="Sylhet"/>
    <n v="0"/>
    <n v="77"/>
    <s v="77 runs"/>
    <s v="Runs"/>
    <n v="77"/>
    <s v="Normal"/>
    <n v="247"/>
    <x v="0"/>
    <s v="Asif Yaqoob"/>
    <s v="Moniruzzaman"/>
    <x v="0"/>
    <x v="6"/>
    <x v="1"/>
  </r>
  <r>
    <x v="9"/>
    <x v="9"/>
    <x v="14"/>
    <x v="1"/>
    <s v="Feb 3 2024"/>
    <x v="91"/>
    <n v="7"/>
    <x v="121"/>
    <n v="10"/>
    <x v="150"/>
    <s v="Sylhet Strikers"/>
    <s v="field first"/>
    <s v="Rangpur Riders"/>
    <s v="Rangpur Riders"/>
    <x v="4"/>
    <s v="Sylhet"/>
    <n v="0"/>
    <n v="77"/>
    <s v="77 runs"/>
    <s v="Runs"/>
    <n v="77"/>
    <s v="Normal"/>
    <n v="247"/>
    <x v="0"/>
    <s v="Asif Yaqoob"/>
    <s v="Moniruzzaman"/>
    <x v="1"/>
    <x v="25"/>
    <x v="0"/>
  </r>
  <r>
    <x v="9"/>
    <x v="9"/>
    <x v="12"/>
    <x v="1"/>
    <s v="Feb 6 2024"/>
    <x v="36"/>
    <n v="4"/>
    <x v="65"/>
    <n v="10"/>
    <x v="16"/>
    <s v="Durdanto Dhaka"/>
    <s v="field first"/>
    <s v="Rangpur Riders"/>
    <s v="Rangpur Riders"/>
    <x v="0"/>
    <s v="Mirpur"/>
    <n v="0"/>
    <n v="60"/>
    <s v="60 runs"/>
    <s v="Runs"/>
    <n v="60"/>
    <s v="Normal"/>
    <n v="290"/>
    <x v="0"/>
    <s v="Asif Yaqoob"/>
    <s v="MahfuzurÂ Rahman"/>
    <x v="0"/>
    <x v="6"/>
    <x v="1"/>
  </r>
  <r>
    <x v="9"/>
    <x v="9"/>
    <x v="12"/>
    <x v="1"/>
    <s v="Feb 6 2024"/>
    <x v="36"/>
    <n v="4"/>
    <x v="65"/>
    <n v="10"/>
    <x v="16"/>
    <s v="Durdanto Dhaka"/>
    <s v="field first"/>
    <s v="Rangpur Riders"/>
    <s v="Rangpur Riders"/>
    <x v="0"/>
    <s v="Mirpur"/>
    <n v="0"/>
    <n v="60"/>
    <s v="60 runs"/>
    <s v="Runs"/>
    <n v="60"/>
    <s v="Normal"/>
    <n v="290"/>
    <x v="0"/>
    <s v="Asif Yaqoob"/>
    <s v="MahfuzurÂ Rahman"/>
    <x v="1"/>
    <x v="28"/>
    <x v="0"/>
  </r>
  <r>
    <x v="9"/>
    <x v="9"/>
    <x v="11"/>
    <x v="1"/>
    <s v="Feb 6 2024"/>
    <x v="26"/>
    <n v="5"/>
    <x v="9"/>
    <n v="8"/>
    <x v="128"/>
    <s v="Fortune Barishal"/>
    <s v="field first"/>
    <s v="Chattogram Challengers"/>
    <s v="Chattogram Challengers"/>
    <x v="0"/>
    <s v="Mirpur"/>
    <n v="0"/>
    <n v="16"/>
    <s v="16 runs"/>
    <s v="Runs"/>
    <n v="16"/>
    <s v="Normal"/>
    <n v="274"/>
    <x v="0"/>
    <s v="David Millns"/>
    <s v="Morshed AliÂ Khan"/>
    <x v="0"/>
    <x v="17"/>
    <x v="1"/>
  </r>
  <r>
    <x v="9"/>
    <x v="9"/>
    <x v="11"/>
    <x v="1"/>
    <s v="Feb 6 2024"/>
    <x v="26"/>
    <n v="5"/>
    <x v="9"/>
    <n v="8"/>
    <x v="128"/>
    <s v="Fortune Barishal"/>
    <s v="field first"/>
    <s v="Chattogram Challengers"/>
    <s v="Chattogram Challengers"/>
    <x v="0"/>
    <s v="Mirpur"/>
    <n v="0"/>
    <n v="16"/>
    <s v="16 runs"/>
    <s v="Runs"/>
    <n v="16"/>
    <s v="Normal"/>
    <n v="274"/>
    <x v="0"/>
    <s v="David Millns"/>
    <s v="Morshed AliÂ Khan"/>
    <x v="1"/>
    <x v="29"/>
    <x v="0"/>
  </r>
  <r>
    <x v="9"/>
    <x v="9"/>
    <x v="9"/>
    <x v="1"/>
    <s v="Feb 7 2024"/>
    <x v="11"/>
    <n v="7"/>
    <x v="65"/>
    <n v="10"/>
    <x v="165"/>
    <s v="Comilla Victorians"/>
    <s v="bat first"/>
    <s v="Comilla Victorians"/>
    <s v="Comilla Victorians "/>
    <x v="0"/>
    <s v="Mirpur"/>
    <n v="0"/>
    <n v="34"/>
    <s v="34 runs"/>
    <s v="Runs"/>
    <n v="34"/>
    <s v="Normal"/>
    <n v="264"/>
    <x v="0"/>
    <s v="David Millns"/>
    <s v="Moniruzzaman"/>
    <x v="0"/>
    <x v="27"/>
    <x v="1"/>
  </r>
  <r>
    <x v="9"/>
    <x v="9"/>
    <x v="9"/>
    <x v="1"/>
    <s v="Feb 7 2024"/>
    <x v="11"/>
    <n v="7"/>
    <x v="65"/>
    <n v="10"/>
    <x v="165"/>
    <s v="Comilla Victorians"/>
    <s v="bat first"/>
    <s v="Comilla Victorians"/>
    <s v="Comilla Victorians "/>
    <x v="0"/>
    <s v="Mirpur"/>
    <n v="0"/>
    <n v="34"/>
    <s v="34 runs"/>
    <s v="Runs"/>
    <n v="34"/>
    <s v="Normal"/>
    <n v="264"/>
    <x v="0"/>
    <s v="David Millns"/>
    <s v="Moniruzzaman"/>
    <x v="1"/>
    <x v="16"/>
    <x v="0"/>
  </r>
  <r>
    <x v="9"/>
    <x v="9"/>
    <x v="8"/>
    <x v="1"/>
    <s v="Feb 7 2024"/>
    <x v="8"/>
    <n v="8"/>
    <x v="9"/>
    <n v="5"/>
    <x v="133"/>
    <s v="Sylhet Strikers"/>
    <s v="field first"/>
    <s v="Sylhet Strikers"/>
    <s v="Sylhet Strikers"/>
    <x v="0"/>
    <s v="Mirpur"/>
    <n v="5"/>
    <n v="0"/>
    <s v="5 wickets"/>
    <s v="Wickets"/>
    <n v="5"/>
    <s v="Close Match"/>
    <n v="253"/>
    <x v="0"/>
    <s v="Mahfuzur Rahman"/>
    <s v="TanvirÂ Ahmed"/>
    <x v="0"/>
    <x v="28"/>
    <x v="0"/>
  </r>
  <r>
    <x v="9"/>
    <x v="9"/>
    <x v="8"/>
    <x v="1"/>
    <s v="Feb 7 2024"/>
    <x v="8"/>
    <n v="8"/>
    <x v="9"/>
    <n v="5"/>
    <x v="133"/>
    <s v="Sylhet Strikers"/>
    <s v="field first"/>
    <s v="Sylhet Strikers"/>
    <s v="Sylhet Strikers"/>
    <x v="0"/>
    <s v="Mirpur"/>
    <n v="5"/>
    <n v="0"/>
    <s v="5 wickets"/>
    <s v="Wickets"/>
    <n v="5"/>
    <s v="Close Match"/>
    <n v="253"/>
    <x v="0"/>
    <s v="Mahfuzur Rahman"/>
    <s v="TanvirÂ Ahmed"/>
    <x v="1"/>
    <x v="25"/>
    <x v="1"/>
  </r>
  <r>
    <x v="9"/>
    <x v="9"/>
    <x v="7"/>
    <x v="1"/>
    <s v="Feb 9 2024"/>
    <x v="32"/>
    <n v="3"/>
    <x v="43"/>
    <n v="5"/>
    <x v="166"/>
    <s v="Khulna Tigers"/>
    <s v="bat first"/>
    <s v="Sylhet Strikers"/>
    <s v="Sylhet Strikers"/>
    <x v="0"/>
    <s v="Mirpur"/>
    <n v="5"/>
    <n v="0"/>
    <s v="5 wickets"/>
    <s v="Wickets"/>
    <n v="5"/>
    <s v="Close Match"/>
    <n v="312"/>
    <x v="0"/>
    <s v="Asif Yaqoob"/>
    <s v="MahfuzurÂ Rahman"/>
    <x v="0"/>
    <x v="16"/>
    <x v="0"/>
  </r>
  <r>
    <x v="9"/>
    <x v="9"/>
    <x v="7"/>
    <x v="1"/>
    <s v="Feb 9 2024"/>
    <x v="32"/>
    <n v="3"/>
    <x v="43"/>
    <n v="5"/>
    <x v="166"/>
    <s v="Khulna Tigers"/>
    <s v="bat first"/>
    <s v="Sylhet Strikers"/>
    <s v="Sylhet Strikers"/>
    <x v="0"/>
    <s v="Mirpur"/>
    <n v="5"/>
    <n v="0"/>
    <s v="5 wickets"/>
    <s v="Wickets"/>
    <n v="5"/>
    <s v="Close Match"/>
    <n v="312"/>
    <x v="0"/>
    <s v="Asif Yaqoob"/>
    <s v="MahfuzurÂ Rahman"/>
    <x v="1"/>
    <x v="25"/>
    <x v="1"/>
  </r>
  <r>
    <x v="9"/>
    <x v="9"/>
    <x v="6"/>
    <x v="1"/>
    <s v="Feb 9 2024"/>
    <x v="36"/>
    <n v="4"/>
    <x v="75"/>
    <n v="6"/>
    <x v="140"/>
    <s v="Durdanto Dhaka"/>
    <s v="bat first"/>
    <s v="Comilla Victorians"/>
    <s v="Comilla Victorians"/>
    <x v="0"/>
    <s v="Mirpur"/>
    <n v="4"/>
    <n v="0"/>
    <s v="4 wickets"/>
    <s v="Wickets"/>
    <n v="4"/>
    <s v="Close Match"/>
    <n v="351"/>
    <x v="0"/>
    <s v="David Millns"/>
    <s v="TanvirÂ Ahmed"/>
    <x v="0"/>
    <x v="28"/>
    <x v="0"/>
  </r>
  <r>
    <x v="9"/>
    <x v="9"/>
    <x v="6"/>
    <x v="1"/>
    <s v="Feb 9 2024"/>
    <x v="36"/>
    <n v="4"/>
    <x v="75"/>
    <n v="6"/>
    <x v="140"/>
    <s v="Durdanto Dhaka"/>
    <s v="bat first"/>
    <s v="Comilla Victorians"/>
    <s v="Comilla Victorians"/>
    <x v="0"/>
    <s v="Mirpur"/>
    <n v="4"/>
    <n v="0"/>
    <s v="4 wickets"/>
    <s v="Wickets"/>
    <n v="4"/>
    <s v="Close Match"/>
    <n v="351"/>
    <x v="0"/>
    <s v="David Millns"/>
    <s v="TanvirÂ Ahmed"/>
    <x v="1"/>
    <x v="8"/>
    <x v="1"/>
  </r>
  <r>
    <x v="9"/>
    <x v="9"/>
    <x v="5"/>
    <x v="1"/>
    <s v="Feb 10 2024"/>
    <x v="100"/>
    <n v="3"/>
    <x v="36"/>
    <n v="6"/>
    <x v="167"/>
    <s v="Rangpur Riders"/>
    <s v="bat first"/>
    <s v="Rangpur Riders"/>
    <s v="Rangpur Riders"/>
    <x v="0"/>
    <s v="Mirpur"/>
    <n v="0"/>
    <n v="53"/>
    <s v="53 runs"/>
    <s v="Runs"/>
    <n v="53"/>
    <s v="Normal"/>
    <n v="369"/>
    <x v="0"/>
    <s v="Asif Yaqoob"/>
    <s v="Moniruzzaman"/>
    <x v="0"/>
    <x v="6"/>
    <x v="1"/>
  </r>
  <r>
    <x v="9"/>
    <x v="9"/>
    <x v="5"/>
    <x v="1"/>
    <s v="Feb 10 2024"/>
    <x v="100"/>
    <n v="3"/>
    <x v="36"/>
    <n v="6"/>
    <x v="167"/>
    <s v="Rangpur Riders"/>
    <s v="bat first"/>
    <s v="Rangpur Riders"/>
    <s v="Rangpur Riders"/>
    <x v="0"/>
    <s v="Mirpur"/>
    <n v="0"/>
    <n v="53"/>
    <s v="53 runs"/>
    <s v="Runs"/>
    <n v="53"/>
    <s v="Normal"/>
    <n v="369"/>
    <x v="0"/>
    <s v="Asif Yaqoob"/>
    <s v="Moniruzzaman"/>
    <x v="1"/>
    <x v="17"/>
    <x v="0"/>
  </r>
  <r>
    <x v="9"/>
    <x v="9"/>
    <x v="4"/>
    <x v="1"/>
    <s v="Feb 10 2024"/>
    <x v="55"/>
    <n v="4"/>
    <x v="47"/>
    <n v="10"/>
    <x v="88"/>
    <s v="Fortune Barishal"/>
    <s v="bat first"/>
    <s v="Fortune Barishal "/>
    <s v="Fortune Barishal "/>
    <x v="0"/>
    <s v="Mirpur"/>
    <n v="0"/>
    <n v="40"/>
    <s v="40 runs"/>
    <s v="Runs"/>
    <n v="40"/>
    <s v="Normal"/>
    <n v="338"/>
    <x v="0"/>
    <s v="David Millns"/>
    <s v="MahfuzurÂ Rahman"/>
    <x v="0"/>
    <x v="29"/>
    <x v="1"/>
  </r>
  <r>
    <x v="9"/>
    <x v="9"/>
    <x v="4"/>
    <x v="1"/>
    <s v="Feb 10 2024"/>
    <x v="55"/>
    <n v="4"/>
    <x v="47"/>
    <n v="10"/>
    <x v="88"/>
    <s v="Fortune Barishal"/>
    <s v="bat first"/>
    <s v="Fortune Barishal "/>
    <s v="Fortune Barishal "/>
    <x v="0"/>
    <s v="Mirpur"/>
    <n v="0"/>
    <n v="40"/>
    <s v="40 runs"/>
    <s v="Runs"/>
    <n v="40"/>
    <s v="Normal"/>
    <n v="338"/>
    <x v="0"/>
    <s v="David Millns"/>
    <s v="MahfuzurÂ Rahman"/>
    <x v="1"/>
    <x v="28"/>
    <x v="0"/>
  </r>
  <r>
    <x v="9"/>
    <x v="9"/>
    <x v="3"/>
    <x v="1"/>
    <s v="Feb 13 2024"/>
    <x v="111"/>
    <n v="3"/>
    <x v="54"/>
    <n v="10"/>
    <x v="138"/>
    <s v="Chattogram Challengers"/>
    <s v="field first"/>
    <s v="Comilla Victorians"/>
    <s v="Comilla Victorians "/>
    <x v="1"/>
    <s v="Chattogram"/>
    <n v="0"/>
    <n v="73"/>
    <s v="73 runs"/>
    <s v="Runs"/>
    <n v="73"/>
    <s v="Normal"/>
    <n v="405"/>
    <x v="0"/>
    <s v="Deighton Butler"/>
    <s v="MasudurÂ Rahman"/>
    <x v="0"/>
    <x v="27"/>
    <x v="1"/>
  </r>
  <r>
    <x v="9"/>
    <x v="9"/>
    <x v="3"/>
    <x v="1"/>
    <s v="Feb 13 2024"/>
    <x v="111"/>
    <n v="3"/>
    <x v="54"/>
    <n v="10"/>
    <x v="138"/>
    <s v="Chattogram Challengers"/>
    <s v="field first"/>
    <s v="Comilla Victorians"/>
    <s v="Comilla Victorians "/>
    <x v="1"/>
    <s v="Chattogram"/>
    <n v="0"/>
    <n v="73"/>
    <s v="73 runs"/>
    <s v="Runs"/>
    <n v="73"/>
    <s v="Normal"/>
    <n v="405"/>
    <x v="0"/>
    <s v="Deighton Butler"/>
    <s v="MasudurÂ Rahman"/>
    <x v="1"/>
    <x v="17"/>
    <x v="0"/>
  </r>
  <r>
    <x v="9"/>
    <x v="9"/>
    <x v="48"/>
    <x v="1"/>
    <s v="Feb 13 2024"/>
    <x v="129"/>
    <n v="5"/>
    <x v="20"/>
    <n v="10"/>
    <x v="168"/>
    <s v="Rangpur Riders"/>
    <s v="bat first"/>
    <s v="Rangpur Riders"/>
    <s v="Rangpur Riders"/>
    <x v="1"/>
    <s v="Chattogram"/>
    <n v="0"/>
    <n v="78"/>
    <s v="78 runs"/>
    <s v="Runs"/>
    <n v="78"/>
    <s v="Normal"/>
    <n v="360"/>
    <x v="0"/>
    <s v="David Millns"/>
    <s v="MahfuzurÂ Rahman"/>
    <x v="0"/>
    <x v="6"/>
    <x v="1"/>
  </r>
  <r>
    <x v="9"/>
    <x v="9"/>
    <x v="48"/>
    <x v="1"/>
    <s v="Feb 13 2024"/>
    <x v="129"/>
    <n v="5"/>
    <x v="20"/>
    <n v="10"/>
    <x v="168"/>
    <s v="Rangpur Riders"/>
    <s v="bat first"/>
    <s v="Rangpur Riders"/>
    <s v="Rangpur Riders"/>
    <x v="1"/>
    <s v="Chattogram"/>
    <n v="0"/>
    <n v="78"/>
    <s v="78 runs"/>
    <s v="Runs"/>
    <n v="78"/>
    <s v="Normal"/>
    <n v="360"/>
    <x v="0"/>
    <s v="David Millns"/>
    <s v="MahfuzurÂ Rahman"/>
    <x v="1"/>
    <x v="16"/>
    <x v="0"/>
  </r>
  <r>
    <x v="9"/>
    <x v="9"/>
    <x v="53"/>
    <x v="1"/>
    <s v="Feb 14 2024"/>
    <x v="107"/>
    <n v="6"/>
    <x v="43"/>
    <n v="8"/>
    <x v="48"/>
    <s v="Fortune Barishal "/>
    <s v="bat first"/>
    <s v="Fortune Barishal "/>
    <s v="Fortune Barishal "/>
    <x v="1"/>
    <s v="Chattogram"/>
    <n v="0"/>
    <n v="27"/>
    <s v="27 runs"/>
    <s v="Runs"/>
    <n v="27"/>
    <s v="Normal"/>
    <n v="345"/>
    <x v="0"/>
    <s v="David Millns"/>
    <s v="Gazi Sohel"/>
    <x v="0"/>
    <x v="29"/>
    <x v="1"/>
  </r>
  <r>
    <x v="9"/>
    <x v="9"/>
    <x v="53"/>
    <x v="1"/>
    <s v="Feb 14 2024"/>
    <x v="107"/>
    <n v="6"/>
    <x v="43"/>
    <n v="8"/>
    <x v="48"/>
    <s v="Fortune Barishal "/>
    <s v="bat first"/>
    <s v="Fortune Barishal "/>
    <s v="Fortune Barishal "/>
    <x v="1"/>
    <s v="Chattogram"/>
    <n v="0"/>
    <n v="27"/>
    <s v="27 runs"/>
    <s v="Runs"/>
    <n v="27"/>
    <s v="Normal"/>
    <n v="345"/>
    <x v="0"/>
    <s v="David Millns"/>
    <s v="Gazi Sohel"/>
    <x v="1"/>
    <x v="28"/>
    <x v="0"/>
  </r>
  <r>
    <x v="9"/>
    <x v="9"/>
    <x v="46"/>
    <x v="1"/>
    <s v="Feb 14 2024"/>
    <x v="56"/>
    <n v="8"/>
    <x v="72"/>
    <n v="3"/>
    <x v="140"/>
    <s v="Khulna Tigers"/>
    <s v="bat first"/>
    <s v="Comilla Victorians "/>
    <s v="Comilla Victorians "/>
    <x v="1"/>
    <s v="Chattogram"/>
    <n v="7"/>
    <n v="0"/>
    <s v="7 wickets"/>
    <s v="Wickets"/>
    <n v="7"/>
    <s v="Close Match"/>
    <n v="332"/>
    <x v="0"/>
    <s v="Deighton Butler"/>
    <s v="Tanvir Ahmed"/>
    <x v="0"/>
    <x v="16"/>
    <x v="0"/>
  </r>
  <r>
    <x v="9"/>
    <x v="9"/>
    <x v="46"/>
    <x v="1"/>
    <s v="Feb 14 2024"/>
    <x v="56"/>
    <n v="8"/>
    <x v="72"/>
    <n v="3"/>
    <x v="140"/>
    <s v="Khulna Tigers"/>
    <s v="bat first"/>
    <s v="Comilla Victorians "/>
    <s v="Comilla Victorians "/>
    <x v="1"/>
    <s v="Chattogram"/>
    <n v="7"/>
    <n v="0"/>
    <s v="7 wickets"/>
    <s v="Wickets"/>
    <n v="7"/>
    <s v="Close Match"/>
    <n v="332"/>
    <x v="0"/>
    <s v="Deighton Butler"/>
    <s v="Tanvir Ahmed"/>
    <x v="1"/>
    <x v="27"/>
    <x v="1"/>
  </r>
  <r>
    <x v="9"/>
    <x v="9"/>
    <x v="45"/>
    <x v="1"/>
    <s v="Feb 16 2024"/>
    <x v="13"/>
    <n v="7"/>
    <x v="34"/>
    <n v="5"/>
    <x v="169"/>
    <s v="Durdanto Dhaka"/>
    <s v="bat first"/>
    <s v="Khulna Tigers"/>
    <s v="Khulna Tigers"/>
    <x v="1"/>
    <s v="Chattogram"/>
    <n v="5"/>
    <n v="0"/>
    <s v="5 wickets"/>
    <s v="Wickets"/>
    <n v="5"/>
    <s v="Close Match"/>
    <n v="259"/>
    <x v="0"/>
    <s v="David Millns"/>
    <s v="Masudur Rahman"/>
    <x v="0"/>
    <x v="28"/>
    <x v="0"/>
  </r>
  <r>
    <x v="9"/>
    <x v="9"/>
    <x v="45"/>
    <x v="1"/>
    <s v="Feb 16 2024"/>
    <x v="13"/>
    <n v="7"/>
    <x v="34"/>
    <n v="5"/>
    <x v="169"/>
    <s v="Durdanto Dhaka"/>
    <s v="bat first"/>
    <s v="Khulna Tigers"/>
    <s v="Khulna Tigers"/>
    <x v="1"/>
    <s v="Chattogram"/>
    <n v="5"/>
    <n v="0"/>
    <s v="5 wickets"/>
    <s v="Wickets"/>
    <n v="5"/>
    <s v="Close Match"/>
    <n v="259"/>
    <x v="0"/>
    <s v="David Millns"/>
    <s v="Masudur Rahman"/>
    <x v="1"/>
    <x v="16"/>
    <x v="1"/>
  </r>
  <r>
    <x v="9"/>
    <x v="9"/>
    <x v="44"/>
    <x v="1"/>
    <s v="Feb 16 2024"/>
    <x v="87"/>
    <n v="8"/>
    <x v="23"/>
    <n v="6"/>
    <x v="104"/>
    <s v="Rangpur Riders"/>
    <s v="bat first"/>
    <s v="Rangpur Riders"/>
    <s v="Rangpur Riders"/>
    <x v="1"/>
    <s v="Chattogram"/>
    <n v="0"/>
    <n v="18"/>
    <s v="18 runs"/>
    <s v="Runs"/>
    <n v="18"/>
    <s v="Normal"/>
    <n v="356"/>
    <x v="0"/>
    <s v="Deighton Butler"/>
    <s v="Gazi Sohel"/>
    <x v="0"/>
    <x v="6"/>
    <x v="1"/>
  </r>
  <r>
    <x v="9"/>
    <x v="9"/>
    <x v="44"/>
    <x v="1"/>
    <s v="Feb 16 2024"/>
    <x v="87"/>
    <n v="8"/>
    <x v="23"/>
    <n v="6"/>
    <x v="104"/>
    <s v="Rangpur Riders"/>
    <s v="bat first"/>
    <s v="Rangpur Riders"/>
    <s v="Rangpur Riders"/>
    <x v="1"/>
    <s v="Chattogram"/>
    <n v="0"/>
    <n v="18"/>
    <s v="18 runs"/>
    <s v="Runs"/>
    <n v="18"/>
    <s v="Normal"/>
    <n v="356"/>
    <x v="0"/>
    <s v="Deighton Butler"/>
    <s v="Gazi Sohel"/>
    <x v="1"/>
    <x v="17"/>
    <x v="0"/>
  </r>
  <r>
    <x v="9"/>
    <x v="9"/>
    <x v="43"/>
    <x v="1"/>
    <s v="Feb 17 2024"/>
    <x v="63"/>
    <n v="6"/>
    <x v="58"/>
    <n v="8"/>
    <x v="170"/>
    <s v="Fortune Barishal "/>
    <s v="bat first"/>
    <s v="Fortune Barishal "/>
    <s v="Fortune Barishal"/>
    <x v="1"/>
    <s v="Chattogram"/>
    <n v="0"/>
    <n v="18"/>
    <s v="18 runs"/>
    <s v="Runs"/>
    <n v="18"/>
    <s v="Normal"/>
    <n v="348"/>
    <x v="0"/>
    <s v="Deighton Butler"/>
    <s v="Tanvir Ahmed"/>
    <x v="0"/>
    <x v="22"/>
    <x v="1"/>
  </r>
  <r>
    <x v="9"/>
    <x v="9"/>
    <x v="43"/>
    <x v="1"/>
    <s v="Feb 17 2024"/>
    <x v="63"/>
    <n v="6"/>
    <x v="58"/>
    <n v="8"/>
    <x v="170"/>
    <s v="Fortune Barishal "/>
    <s v="bat first"/>
    <s v="Fortune Barishal "/>
    <s v="Fortune Barishal"/>
    <x v="1"/>
    <s v="Chattogram"/>
    <n v="0"/>
    <n v="18"/>
    <s v="18 runs"/>
    <s v="Runs"/>
    <n v="18"/>
    <s v="Normal"/>
    <n v="348"/>
    <x v="0"/>
    <s v="Deighton Butler"/>
    <s v="Tanvir Ahmed"/>
    <x v="1"/>
    <x v="25"/>
    <x v="0"/>
  </r>
  <r>
    <x v="9"/>
    <x v="9"/>
    <x v="42"/>
    <x v="1"/>
    <s v="Feb 17 2024"/>
    <x v="37"/>
    <n v="6"/>
    <x v="47"/>
    <n v="5"/>
    <x v="171"/>
    <s v="Chattogram Challengers"/>
    <s v="bat first"/>
    <s v="Chattogram Challengers"/>
    <s v="Chattogram Challengers"/>
    <x v="1"/>
    <s v="Chattogram"/>
    <n v="0"/>
    <n v="10"/>
    <s v="10 runs"/>
    <s v="Runs"/>
    <n v="10"/>
    <s v="Close Match"/>
    <n v="308"/>
    <x v="0"/>
    <s v="David Millns"/>
    <s v="MahfuzurÂ Rahman"/>
    <x v="0"/>
    <x v="17"/>
    <x v="1"/>
  </r>
  <r>
    <x v="9"/>
    <x v="9"/>
    <x v="42"/>
    <x v="1"/>
    <s v="Feb 17 2024"/>
    <x v="37"/>
    <n v="6"/>
    <x v="47"/>
    <n v="5"/>
    <x v="171"/>
    <s v="Chattogram Challengers"/>
    <s v="bat first"/>
    <s v="Chattogram Challengers"/>
    <s v="Chattogram Challengers"/>
    <x v="1"/>
    <s v="Chattogram"/>
    <n v="0"/>
    <n v="10"/>
    <s v="10 runs"/>
    <s v="Runs"/>
    <n v="10"/>
    <s v="Close Match"/>
    <n v="308"/>
    <x v="0"/>
    <s v="David Millns"/>
    <s v="MahfuzurÂ Rahman"/>
    <x v="1"/>
    <x v="28"/>
    <x v="0"/>
  </r>
  <r>
    <x v="9"/>
    <x v="9"/>
    <x v="41"/>
    <x v="1"/>
    <s v="Feb 19 2024"/>
    <x v="126"/>
    <n v="5"/>
    <x v="58"/>
    <n v="6"/>
    <x v="133"/>
    <s v="Sylhet Strikers"/>
    <s v="bat first"/>
    <s v="Sylhet Strikers"/>
    <s v="Sylhet Strikers"/>
    <x v="1"/>
    <s v="Chattogram"/>
    <n v="0"/>
    <n v="12"/>
    <s v="12 runs"/>
    <s v="Runs"/>
    <n v="12"/>
    <s v="Normal"/>
    <n v="342"/>
    <x v="0"/>
    <s v="Deighton Butler"/>
    <s v="Gazi Sohel"/>
    <x v="0"/>
    <x v="25"/>
    <x v="1"/>
  </r>
  <r>
    <x v="9"/>
    <x v="9"/>
    <x v="41"/>
    <x v="1"/>
    <s v="Feb 19 2024"/>
    <x v="126"/>
    <n v="5"/>
    <x v="58"/>
    <n v="6"/>
    <x v="133"/>
    <s v="Sylhet Strikers"/>
    <s v="bat first"/>
    <s v="Sylhet Strikers"/>
    <s v="Sylhet Strikers"/>
    <x v="1"/>
    <s v="Chattogram"/>
    <n v="0"/>
    <n v="12"/>
    <s v="12 runs"/>
    <s v="Runs"/>
    <n v="12"/>
    <s v="Normal"/>
    <n v="342"/>
    <x v="0"/>
    <s v="Deighton Butler"/>
    <s v="Gazi Sohel"/>
    <x v="1"/>
    <x v="27"/>
    <x v="0"/>
  </r>
  <r>
    <x v="9"/>
    <x v="9"/>
    <x v="26"/>
    <x v="1"/>
    <s v="Feb 19 2024"/>
    <x v="93"/>
    <n v="9"/>
    <x v="31"/>
    <n v="9"/>
    <x v="172"/>
    <s v="Fortune Barishal "/>
    <s v="bat first"/>
    <s v="Rangpur Riders"/>
    <s v="Rangpur Riders"/>
    <x v="1"/>
    <s v="Chattogram"/>
    <n v="1"/>
    <n v="0"/>
    <s v="1 wickets"/>
    <s v="Wickets"/>
    <n v="1"/>
    <s v="Close Match"/>
    <n v="306"/>
    <x v="0"/>
    <s v="David Millns"/>
    <s v="Tanvir Ahmed"/>
    <x v="0"/>
    <x v="29"/>
    <x v="0"/>
  </r>
  <r>
    <x v="9"/>
    <x v="9"/>
    <x v="26"/>
    <x v="1"/>
    <s v="Feb 19 2024"/>
    <x v="93"/>
    <n v="9"/>
    <x v="31"/>
    <n v="9"/>
    <x v="172"/>
    <s v="Fortune Barishal "/>
    <s v="bat first"/>
    <s v="Rangpur Riders"/>
    <s v="Rangpur Riders"/>
    <x v="1"/>
    <s v="Chattogram"/>
    <n v="1"/>
    <n v="0"/>
    <s v="1 wickets"/>
    <s v="Wickets"/>
    <n v="1"/>
    <s v="Close Match"/>
    <n v="306"/>
    <x v="0"/>
    <s v="David Millns"/>
    <s v="Tanvir Ahmed"/>
    <x v="1"/>
    <x v="6"/>
    <x v="1"/>
  </r>
  <r>
    <x v="9"/>
    <x v="9"/>
    <x v="24"/>
    <x v="1"/>
    <s v="Feb 20 2024"/>
    <x v="17"/>
    <n v="4"/>
    <x v="77"/>
    <n v="10"/>
    <x v="171"/>
    <s v="Chattogram Challengers"/>
    <s v="bat first"/>
    <s v="Chattogram Challengers"/>
    <s v="Chattogram Challengers"/>
    <x v="1"/>
    <s v="Chattogram"/>
    <n v="0"/>
    <n v="65"/>
    <s v="65 runs"/>
    <s v="Runs"/>
    <n v="65"/>
    <s v="Normal"/>
    <n v="319"/>
    <x v="0"/>
    <s v="David Millns"/>
    <s v="Morshed Ali Khan"/>
    <x v="0"/>
    <x v="17"/>
    <x v="1"/>
  </r>
  <r>
    <x v="9"/>
    <x v="9"/>
    <x v="24"/>
    <x v="1"/>
    <s v="Feb 20 2024"/>
    <x v="17"/>
    <n v="4"/>
    <x v="77"/>
    <n v="10"/>
    <x v="171"/>
    <s v="Chattogram Challengers"/>
    <s v="bat first"/>
    <s v="Chattogram Challengers"/>
    <s v="Chattogram Challengers"/>
    <x v="1"/>
    <s v="Chattogram"/>
    <n v="0"/>
    <n v="65"/>
    <s v="65 runs"/>
    <s v="Runs"/>
    <n v="65"/>
    <s v="Normal"/>
    <n v="319"/>
    <x v="0"/>
    <s v="David Millns"/>
    <s v="Morshed Ali Khan"/>
    <x v="1"/>
    <x v="16"/>
    <x v="0"/>
  </r>
  <r>
    <x v="9"/>
    <x v="9"/>
    <x v="21"/>
    <x v="1"/>
    <s v="Feb 20 2024"/>
    <x v="4"/>
    <n v="10"/>
    <x v="4"/>
    <n v="4"/>
    <x v="21"/>
    <s v="Comilla Victorians "/>
    <s v="field first"/>
    <s v="Comilla Victorians"/>
    <s v="Comilla Victorians "/>
    <x v="1"/>
    <s v="Chattogram"/>
    <n v="6"/>
    <n v="0"/>
    <s v="6 wickets"/>
    <s v="Wickets"/>
    <n v="6"/>
    <s v="Close Match"/>
    <n v="301"/>
    <x v="0"/>
    <s v="Deighton Butler"/>
    <s v="Masudur Rahman"/>
    <x v="0"/>
    <x v="6"/>
    <x v="0"/>
  </r>
  <r>
    <x v="9"/>
    <x v="9"/>
    <x v="21"/>
    <x v="1"/>
    <s v="Feb 20 2024"/>
    <x v="4"/>
    <n v="10"/>
    <x v="4"/>
    <n v="4"/>
    <x v="21"/>
    <s v="Comilla Victorians "/>
    <s v="field first"/>
    <s v="Comilla Victorians"/>
    <s v="Comilla Victorians "/>
    <x v="1"/>
    <s v="Chattogram"/>
    <n v="6"/>
    <n v="0"/>
    <s v="6 wickets"/>
    <s v="Wickets"/>
    <n v="6"/>
    <s v="Close Match"/>
    <n v="301"/>
    <x v="0"/>
    <s v="Deighton Butler"/>
    <s v="Masudur Rahman"/>
    <x v="1"/>
    <x v="27"/>
    <x v="1"/>
  </r>
  <r>
    <x v="9"/>
    <x v="9"/>
    <x v="19"/>
    <x v="1"/>
    <s v="Feb 23 2024"/>
    <x v="0"/>
    <n v="8"/>
    <x v="20"/>
    <n v="4"/>
    <x v="48"/>
    <s v="Fortune Barishal "/>
    <s v="field first"/>
    <s v="Fortune Barishal "/>
    <s v="Fortune Barishal "/>
    <x v="0"/>
    <s v="Mirpur"/>
    <n v="6"/>
    <n v="0"/>
    <s v="6 wickets"/>
    <s v="Wickets"/>
    <n v="6"/>
    <s v="Close Match"/>
    <n v="281"/>
    <x v="0"/>
    <s v="Deighton Butler"/>
    <s v="Gazi Sohel"/>
    <x v="0"/>
    <x v="8"/>
    <x v="0"/>
  </r>
  <r>
    <x v="9"/>
    <x v="9"/>
    <x v="19"/>
    <x v="1"/>
    <s v="Feb 23 2024"/>
    <x v="0"/>
    <n v="8"/>
    <x v="20"/>
    <n v="4"/>
    <x v="48"/>
    <s v="Fortune Barishal "/>
    <s v="field first"/>
    <s v="Fortune Barishal "/>
    <s v="Fortune Barishal "/>
    <x v="0"/>
    <s v="Mirpur"/>
    <n v="6"/>
    <n v="0"/>
    <s v="6 wickets"/>
    <s v="Wickets"/>
    <n v="6"/>
    <s v="Close Match"/>
    <n v="281"/>
    <x v="0"/>
    <s v="Deighton Butler"/>
    <s v="Gazi Sohel"/>
    <x v="1"/>
    <x v="29"/>
    <x v="1"/>
  </r>
  <r>
    <x v="9"/>
    <x v="9"/>
    <x v="17"/>
    <x v="1"/>
    <s v="Feb 23 2024"/>
    <x v="13"/>
    <n v="8"/>
    <x v="6"/>
    <n v="4"/>
    <x v="133"/>
    <s v="Sylhet Strikers"/>
    <s v="field first"/>
    <s v="Sylhet Strikers"/>
    <s v="Sylhet Strikers"/>
    <x v="0"/>
    <s v="Mirpur"/>
    <n v="6"/>
    <n v="0"/>
    <s v="6 wickets"/>
    <s v="Wickets"/>
    <n v="6"/>
    <s v="Close Match"/>
    <n v="258"/>
    <x v="0"/>
    <s v="David Millns"/>
    <s v="Tanvir Ahmed"/>
    <x v="0"/>
    <x v="16"/>
    <x v="0"/>
  </r>
  <r>
    <x v="9"/>
    <x v="9"/>
    <x v="17"/>
    <x v="1"/>
    <s v="Feb 23 2024"/>
    <x v="13"/>
    <n v="8"/>
    <x v="6"/>
    <n v="4"/>
    <x v="133"/>
    <s v="Sylhet Strikers"/>
    <s v="field first"/>
    <s v="Sylhet Strikers"/>
    <s v="Sylhet Strikers"/>
    <x v="0"/>
    <s v="Mirpur"/>
    <n v="6"/>
    <n v="0"/>
    <s v="6 wickets"/>
    <s v="Wickets"/>
    <n v="6"/>
    <s v="Close Match"/>
    <n v="258"/>
    <x v="0"/>
    <s v="David Millns"/>
    <s v="Tanvir Ahmed"/>
    <x v="1"/>
    <x v="25"/>
    <x v="1"/>
  </r>
  <r>
    <x v="9"/>
    <x v="9"/>
    <x v="31"/>
    <x v="1"/>
    <s v="Feb 26 2024"/>
    <x v="29"/>
    <n v="9"/>
    <x v="55"/>
    <n v="3"/>
    <x v="170"/>
    <s v="Fortune Barishal"/>
    <s v="field first"/>
    <s v="Fortune Barishal"/>
    <s v="Fortune Barishal "/>
    <x v="0"/>
    <s v="Mirpur"/>
    <n v="7"/>
    <n v="0"/>
    <s v="7 wickets"/>
    <s v="Wickets"/>
    <n v="7"/>
    <s v="Close Match"/>
    <n v="271"/>
    <x v="0"/>
    <s v="David Millns"/>
    <s v="Masudur Rahman"/>
    <x v="0"/>
    <x v="17"/>
    <x v="0"/>
  </r>
  <r>
    <x v="9"/>
    <x v="9"/>
    <x v="31"/>
    <x v="1"/>
    <s v="Feb 26 2024"/>
    <x v="29"/>
    <n v="9"/>
    <x v="55"/>
    <n v="3"/>
    <x v="170"/>
    <s v="Fortune Barishal"/>
    <s v="field first"/>
    <s v="Fortune Barishal"/>
    <s v="Fortune Barishal "/>
    <x v="0"/>
    <s v="Mirpur"/>
    <n v="7"/>
    <n v="0"/>
    <s v="7 wickets"/>
    <s v="Wickets"/>
    <n v="7"/>
    <s v="Close Match"/>
    <n v="271"/>
    <x v="0"/>
    <s v="David Millns"/>
    <s v="Masudur Rahman"/>
    <x v="1"/>
    <x v="29"/>
    <x v="1"/>
  </r>
  <r>
    <x v="9"/>
    <x v="9"/>
    <x v="54"/>
    <x v="1"/>
    <s v="Feb 26 2024"/>
    <x v="92"/>
    <n v="6"/>
    <x v="63"/>
    <n v="4"/>
    <x v="44"/>
    <s v="Comilla Victorians"/>
    <s v="field first"/>
    <s v="Comilla Victorians"/>
    <s v="Comilla Victorians"/>
    <x v="0"/>
    <s v="Mirpur"/>
    <n v="6"/>
    <n v="0"/>
    <s v="6 wickets"/>
    <s v="Wickets"/>
    <n v="6"/>
    <s v="Close Match"/>
    <n v="371"/>
    <x v="0"/>
    <s v="Deighton Butler"/>
    <s v="Sharfuddoula"/>
    <x v="0"/>
    <x v="6"/>
    <x v="0"/>
  </r>
  <r>
    <x v="9"/>
    <x v="9"/>
    <x v="54"/>
    <x v="1"/>
    <s v="Feb 26 2024"/>
    <x v="92"/>
    <n v="6"/>
    <x v="63"/>
    <n v="4"/>
    <x v="44"/>
    <s v="Comilla Victorians"/>
    <s v="field first"/>
    <s v="Comilla Victorians"/>
    <s v="Comilla Victorians"/>
    <x v="0"/>
    <s v="Mirpur"/>
    <n v="6"/>
    <n v="0"/>
    <s v="6 wickets"/>
    <s v="Wickets"/>
    <n v="6"/>
    <s v="Close Match"/>
    <n v="371"/>
    <x v="0"/>
    <s v="Deighton Butler"/>
    <s v="Sharfuddoula"/>
    <x v="1"/>
    <x v="8"/>
    <x v="1"/>
  </r>
  <r>
    <x v="9"/>
    <x v="9"/>
    <x v="55"/>
    <x v="1"/>
    <s v="Feb 28 2024"/>
    <x v="11"/>
    <n v="7"/>
    <x v="71"/>
    <n v="4"/>
    <x v="26"/>
    <s v="Fortune Barishal"/>
    <s v="field first"/>
    <s v="Fortune Barishal"/>
    <s v="Fortune Barishal "/>
    <x v="0"/>
    <s v="Mirpur"/>
    <n v="6"/>
    <n v="0"/>
    <s v="6 wickets"/>
    <s v="Wickets"/>
    <n v="6"/>
    <s v="Close Match"/>
    <n v="301"/>
    <x v="0"/>
    <s v="Deighton Butler"/>
    <s v="GaziÂ Sohel"/>
    <x v="0"/>
    <x v="6"/>
    <x v="0"/>
  </r>
  <r>
    <x v="9"/>
    <x v="9"/>
    <x v="55"/>
    <x v="1"/>
    <s v="Feb 28 2024"/>
    <x v="11"/>
    <n v="7"/>
    <x v="71"/>
    <n v="4"/>
    <x v="26"/>
    <s v="Fortune Barishal"/>
    <s v="field first"/>
    <s v="Fortune Barishal"/>
    <s v="Fortune Barishal "/>
    <x v="0"/>
    <s v="Mirpur"/>
    <n v="6"/>
    <n v="0"/>
    <s v="6 wickets"/>
    <s v="Wickets"/>
    <n v="6"/>
    <s v="Close Match"/>
    <n v="301"/>
    <x v="0"/>
    <s v="Deighton Butler"/>
    <s v="GaziÂ Sohel"/>
    <x v="1"/>
    <x v="29"/>
    <x v="1"/>
  </r>
  <r>
    <x v="9"/>
    <x v="9"/>
    <x v="0"/>
    <x v="0"/>
    <s v="Mar 01 2024"/>
    <x v="43"/>
    <n v="6"/>
    <x v="25"/>
    <n v="4"/>
    <x v="170"/>
    <s v="Fortune Barishal"/>
    <s v="field first"/>
    <s v="Fortune Barishal"/>
    <s v="Fortune Barishal "/>
    <x v="0"/>
    <s v="Mirpur"/>
    <n v="6"/>
    <n v="0"/>
    <s v="6 wickets"/>
    <s v="Wickets"/>
    <n v="6"/>
    <s v="Close Match"/>
    <n v="311"/>
    <x v="0"/>
    <s v="David Millns"/>
    <s v="Sharfuddoula"/>
    <x v="0"/>
    <x v="27"/>
    <x v="0"/>
  </r>
  <r>
    <x v="9"/>
    <x v="9"/>
    <x v="0"/>
    <x v="0"/>
    <s v="Mar 01 2024"/>
    <x v="43"/>
    <n v="6"/>
    <x v="25"/>
    <n v="4"/>
    <x v="170"/>
    <s v="Fortune Barishal"/>
    <s v="field first"/>
    <s v="Fortune Barishal"/>
    <s v="Fortune Barishal "/>
    <x v="0"/>
    <s v="Mirpur"/>
    <n v="6"/>
    <n v="0"/>
    <s v="6 wickets"/>
    <s v="Wickets"/>
    <n v="6"/>
    <s v="Close Match"/>
    <n v="311"/>
    <x v="0"/>
    <s v="David Millns"/>
    <s v="Sharfuddoula"/>
    <x v="1"/>
    <x v="29"/>
    <x v="1"/>
  </r>
  <r>
    <x v="10"/>
    <x v="10"/>
    <x v="2"/>
    <x v="1"/>
    <s v="Dec 30 2024"/>
    <x v="16"/>
    <n v="3"/>
    <x v="122"/>
    <n v="6"/>
    <x v="28"/>
    <s v="Fortune Barishal"/>
    <s v="field first"/>
    <s v="Fortune Barishal"/>
    <s v="Fortune Barishal"/>
    <x v="0"/>
    <s v="Mirpur"/>
    <n v="4"/>
    <n v="0"/>
    <s v="4 wickets"/>
    <s v="Wickets"/>
    <n v="4"/>
    <s v="Close Match"/>
    <n v="397"/>
    <x v="0"/>
    <s v="Asif Yaqoob"/>
    <s v="Masudur Rahman"/>
    <x v="0"/>
    <x v="30"/>
    <x v="0"/>
  </r>
  <r>
    <x v="10"/>
    <x v="10"/>
    <x v="2"/>
    <x v="1"/>
    <s v="Dec 30 2024"/>
    <x v="16"/>
    <n v="3"/>
    <x v="122"/>
    <n v="6"/>
    <x v="28"/>
    <s v="Fortune Barishal"/>
    <s v="field first"/>
    <s v="Fortune Barishal"/>
    <s v="Fortune Barishal"/>
    <x v="0"/>
    <s v="Mirpur"/>
    <n v="4"/>
    <n v="0"/>
    <s v="4 wickets"/>
    <s v="Wickets"/>
    <n v="4"/>
    <s v="Close Match"/>
    <n v="397"/>
    <x v="0"/>
    <s v="Asif Yaqoob"/>
    <s v="Masudur Rahman"/>
    <x v="1"/>
    <x v="22"/>
    <x v="1"/>
  </r>
  <r>
    <x v="10"/>
    <x v="10"/>
    <x v="1"/>
    <x v="1"/>
    <s v="Dec 30 2024"/>
    <x v="65"/>
    <n v="6"/>
    <x v="4"/>
    <n v="9"/>
    <x v="145"/>
    <s v="Dhaka Capital"/>
    <s v="field first"/>
    <s v="Rangpur Riders"/>
    <s v="Rangpur Riders"/>
    <x v="0"/>
    <s v="Mirpur"/>
    <n v="0"/>
    <n v="40"/>
    <s v="40 runs"/>
    <s v="Runs"/>
    <n v="40"/>
    <s v="Normal"/>
    <n v="347"/>
    <x v="0"/>
    <s v="Mahfuzur Rahman"/>
    <s v="RR Wimalasiri"/>
    <x v="0"/>
    <x v="6"/>
    <x v="1"/>
  </r>
  <r>
    <x v="10"/>
    <x v="10"/>
    <x v="1"/>
    <x v="1"/>
    <s v="Dec 30 2024"/>
    <x v="65"/>
    <n v="6"/>
    <x v="4"/>
    <n v="9"/>
    <x v="145"/>
    <s v="Dhaka Capital"/>
    <s v="field first"/>
    <s v="Rangpur Riders"/>
    <s v="Rangpur Riders"/>
    <x v="0"/>
    <s v="Mirpur"/>
    <n v="0"/>
    <n v="40"/>
    <s v="40 runs"/>
    <s v="Runs"/>
    <n v="40"/>
    <s v="Normal"/>
    <n v="347"/>
    <x v="0"/>
    <s v="Mahfuzur Rahman"/>
    <s v="RR Wimalasiri"/>
    <x v="1"/>
    <x v="31"/>
    <x v="0"/>
  </r>
  <r>
    <x v="10"/>
    <x v="10"/>
    <x v="39"/>
    <x v="1"/>
    <s v="Dec 31 2024"/>
    <x v="130"/>
    <n v="4"/>
    <x v="54"/>
    <n v="10"/>
    <x v="173"/>
    <s v="Chittagong Kings"/>
    <s v="field first"/>
    <s v="Khulna Tigers"/>
    <s v="Khulna Tigers"/>
    <x v="0"/>
    <s v="Mirpur"/>
    <n v="0"/>
    <n v="37"/>
    <s v="37 runs"/>
    <s v="Runs"/>
    <n v="37"/>
    <s v="Normal"/>
    <n v="369"/>
    <x v="0"/>
    <s v="Tanvir Ahmed"/>
    <s v="RR Wimalasiri"/>
    <x v="0"/>
    <x v="16"/>
    <x v="1"/>
  </r>
  <r>
    <x v="10"/>
    <x v="10"/>
    <x v="39"/>
    <x v="1"/>
    <s v="Dec 31 2024"/>
    <x v="130"/>
    <n v="4"/>
    <x v="54"/>
    <n v="10"/>
    <x v="173"/>
    <s v="Chittagong Kings"/>
    <s v="field first"/>
    <s v="Khulna Tigers"/>
    <s v="Khulna Tigers"/>
    <x v="0"/>
    <s v="Mirpur"/>
    <n v="0"/>
    <n v="37"/>
    <s v="37 runs"/>
    <s v="Runs"/>
    <n v="37"/>
    <s v="Normal"/>
    <n v="369"/>
    <x v="0"/>
    <s v="Tanvir Ahmed"/>
    <s v="RR Wimalasiri"/>
    <x v="1"/>
    <x v="4"/>
    <x v="0"/>
  </r>
  <r>
    <x v="10"/>
    <x v="10"/>
    <x v="38"/>
    <x v="1"/>
    <s v="Dec 31 2024"/>
    <x v="58"/>
    <n v="6"/>
    <x v="18"/>
    <n v="9"/>
    <x v="174"/>
    <s v="Rangpur Riders"/>
    <s v="bat first"/>
    <s v="Rangpur Riders"/>
    <s v="Rangpur Riders"/>
    <x v="0"/>
    <s v="Mirpur"/>
    <n v="0"/>
    <n v="34"/>
    <s v="34 runs"/>
    <s v="Runs"/>
    <n v="34"/>
    <s v="Normal"/>
    <n v="276"/>
    <x v="0"/>
    <s v="Asif Yaqoob"/>
    <s v="Gazi Sohel"/>
    <x v="0"/>
    <x v="6"/>
    <x v="1"/>
  </r>
  <r>
    <x v="10"/>
    <x v="10"/>
    <x v="38"/>
    <x v="1"/>
    <s v="Dec 31 2024"/>
    <x v="58"/>
    <n v="6"/>
    <x v="18"/>
    <n v="9"/>
    <x v="174"/>
    <s v="Rangpur Riders"/>
    <s v="bat first"/>
    <s v="Rangpur Riders"/>
    <s v="Rangpur Riders"/>
    <x v="0"/>
    <s v="Mirpur"/>
    <n v="0"/>
    <n v="34"/>
    <s v="34 runs"/>
    <s v="Runs"/>
    <n v="34"/>
    <s v="Normal"/>
    <n v="276"/>
    <x v="0"/>
    <s v="Asif Yaqoob"/>
    <s v="Gazi Sohel"/>
    <x v="1"/>
    <x v="25"/>
    <x v="0"/>
  </r>
  <r>
    <x v="10"/>
    <x v="10"/>
    <x v="37"/>
    <x v="1"/>
    <s v="Jan 2 2025"/>
    <x v="48"/>
    <n v="9"/>
    <x v="86"/>
    <n v="3"/>
    <x v="12"/>
    <s v="Dhaka Capital"/>
    <s v="bat first"/>
    <s v="Durbar Rajshahi"/>
    <s v="Durbar Rajshahi"/>
    <x v="0"/>
    <s v="Mirpur"/>
    <n v="7"/>
    <n v="0"/>
    <s v="7 wickets"/>
    <s v="Wickets"/>
    <n v="7"/>
    <s v="Close Match"/>
    <n v="353"/>
    <x v="0"/>
    <s v="Mahfuzur Rahman"/>
    <s v="RR Wimalasiri"/>
    <x v="0"/>
    <x v="31"/>
    <x v="0"/>
  </r>
  <r>
    <x v="10"/>
    <x v="10"/>
    <x v="37"/>
    <x v="1"/>
    <s v="Jan 2 2025"/>
    <x v="48"/>
    <n v="9"/>
    <x v="86"/>
    <n v="3"/>
    <x v="12"/>
    <s v="Dhaka Capital"/>
    <s v="bat first"/>
    <s v="Durbar Rajshahi"/>
    <s v="Durbar Rajshahi"/>
    <x v="0"/>
    <s v="Mirpur"/>
    <n v="7"/>
    <n v="0"/>
    <s v="7 wickets"/>
    <s v="Wickets"/>
    <n v="7"/>
    <s v="Close Match"/>
    <n v="353"/>
    <x v="0"/>
    <s v="Mahfuzur Rahman"/>
    <s v="RR Wimalasiri"/>
    <x v="1"/>
    <x v="30"/>
    <x v="1"/>
  </r>
  <r>
    <x v="10"/>
    <x v="10"/>
    <x v="36"/>
    <x v="1"/>
    <s v="Jan 2 2025"/>
    <x v="8"/>
    <n v="10"/>
    <x v="51"/>
    <n v="2"/>
    <x v="175"/>
    <s v="Rangpur Riders"/>
    <s v="field first"/>
    <s v="Rangpur Riders"/>
    <s v="Rangpur Riders"/>
    <x v="0"/>
    <s v="Mirpur"/>
    <n v="8"/>
    <n v="0"/>
    <s v="8 wickets"/>
    <s v="Wickets"/>
    <n v="8"/>
    <s v="Close Match"/>
    <n v="252"/>
    <x v="0"/>
    <s v="Mahfuzur Rahman"/>
    <s v="Morshed Ali Khan"/>
    <x v="0"/>
    <x v="22"/>
    <x v="0"/>
  </r>
  <r>
    <x v="10"/>
    <x v="10"/>
    <x v="36"/>
    <x v="1"/>
    <s v="Jan 2 2025"/>
    <x v="8"/>
    <n v="10"/>
    <x v="51"/>
    <n v="2"/>
    <x v="175"/>
    <s v="Rangpur Riders"/>
    <s v="field first"/>
    <s v="Rangpur Riders"/>
    <s v="Rangpur Riders"/>
    <x v="0"/>
    <s v="Mirpur"/>
    <n v="8"/>
    <n v="0"/>
    <s v="8 wickets"/>
    <s v="Wickets"/>
    <n v="8"/>
    <s v="Close Match"/>
    <n v="252"/>
    <x v="0"/>
    <s v="Mahfuzur Rahman"/>
    <s v="Morshed Ali Khan"/>
    <x v="1"/>
    <x v="6"/>
    <x v="1"/>
  </r>
  <r>
    <x v="10"/>
    <x v="10"/>
    <x v="35"/>
    <x v="1"/>
    <s v="Jan 3 2025"/>
    <x v="129"/>
    <n v="5"/>
    <x v="118"/>
    <n v="10"/>
    <x v="141"/>
    <s v="Durbar Rajshahi"/>
    <s v="field first"/>
    <s v="Chittagong Kings"/>
    <s v="Chittagong Kings"/>
    <x v="0"/>
    <s v="Mirpur"/>
    <n v="0"/>
    <n v="105"/>
    <s v="105 runs"/>
    <s v="Runs"/>
    <n v="105"/>
    <s v="Normal"/>
    <n v="333"/>
    <x v="0"/>
    <s v="Muhammad Kamruzzaman"/>
    <s v="Asif Yaqoob"/>
    <x v="0"/>
    <x v="4"/>
    <x v="1"/>
  </r>
  <r>
    <x v="10"/>
    <x v="10"/>
    <x v="35"/>
    <x v="1"/>
    <s v="Jan 3 2025"/>
    <x v="129"/>
    <n v="5"/>
    <x v="118"/>
    <n v="10"/>
    <x v="141"/>
    <s v="Durbar Rajshahi"/>
    <s v="field first"/>
    <s v="Chittagong Kings"/>
    <s v="Chittagong Kings"/>
    <x v="0"/>
    <s v="Mirpur"/>
    <n v="0"/>
    <n v="105"/>
    <s v="105 runs"/>
    <s v="Runs"/>
    <n v="105"/>
    <s v="Normal"/>
    <n v="333"/>
    <x v="0"/>
    <s v="Muhammad Kamruzzaman"/>
    <s v="Asif Yaqoob"/>
    <x v="1"/>
    <x v="30"/>
    <x v="0"/>
  </r>
  <r>
    <x v="10"/>
    <x v="10"/>
    <x v="34"/>
    <x v="1"/>
    <s v="Jan 3 2025"/>
    <x v="99"/>
    <n v="8"/>
    <x v="39"/>
    <n v="6"/>
    <x v="97"/>
    <s v="Dhaka Capital"/>
    <s v="field first"/>
    <s v="Khulna Tigers"/>
    <s v="Khulna Tigers"/>
    <x v="0"/>
    <s v="Mirpur"/>
    <n v="0"/>
    <n v="20"/>
    <s v="20 runs"/>
    <s v="Runs"/>
    <n v="20"/>
    <s v="Normal"/>
    <n v="326"/>
    <x v="0"/>
    <s v="RR Wimalasiri"/>
    <s v="Gazi Sohel"/>
    <x v="0"/>
    <x v="16"/>
    <x v="1"/>
  </r>
  <r>
    <x v="10"/>
    <x v="10"/>
    <x v="34"/>
    <x v="1"/>
    <s v="Jan 3 2025"/>
    <x v="99"/>
    <n v="8"/>
    <x v="39"/>
    <n v="6"/>
    <x v="97"/>
    <s v="Dhaka Capital"/>
    <s v="field first"/>
    <s v="Khulna Tigers"/>
    <s v="Khulna Tigers"/>
    <x v="0"/>
    <s v="Mirpur"/>
    <n v="0"/>
    <n v="20"/>
    <s v="20 runs"/>
    <s v="Runs"/>
    <n v="20"/>
    <s v="Normal"/>
    <n v="326"/>
    <x v="0"/>
    <s v="RR Wimalasiri"/>
    <s v="Gazi Sohel"/>
    <x v="1"/>
    <x v="31"/>
    <x v="0"/>
  </r>
  <r>
    <x v="10"/>
    <x v="10"/>
    <x v="33"/>
    <x v="1"/>
    <s v="Jan 6 2025"/>
    <x v="57"/>
    <n v="4"/>
    <x v="123"/>
    <n v="2"/>
    <x v="117"/>
    <s v="Rangpur Riders"/>
    <s v="field first"/>
    <s v="Rangpur Riders"/>
    <s v="Rangpur Riders"/>
    <x v="4"/>
    <s v="SylhetI"/>
    <n v="8"/>
    <n v="0"/>
    <s v="8 wickets"/>
    <s v="Wickets"/>
    <n v="8"/>
    <s v="Close Match"/>
    <n v="415"/>
    <x v="0"/>
    <s v="Asif Yaqoob"/>
    <s v="Moniruzzaman"/>
    <x v="0"/>
    <x v="25"/>
    <x v="0"/>
  </r>
  <r>
    <x v="10"/>
    <x v="10"/>
    <x v="33"/>
    <x v="1"/>
    <s v="Jan 6 2025"/>
    <x v="57"/>
    <n v="4"/>
    <x v="123"/>
    <n v="2"/>
    <x v="117"/>
    <s v="Rangpur Riders"/>
    <s v="field first"/>
    <s v="Rangpur Riders"/>
    <s v="Rangpur Riders"/>
    <x v="4"/>
    <s v="SylhetI"/>
    <n v="8"/>
    <n v="0"/>
    <s v="8 wickets"/>
    <s v="Wickets"/>
    <n v="8"/>
    <s v="Close Match"/>
    <n v="415"/>
    <x v="0"/>
    <s v="Asif Yaqoob"/>
    <s v="Moniruzzaman"/>
    <x v="1"/>
    <x v="6"/>
    <x v="1"/>
  </r>
  <r>
    <x v="10"/>
    <x v="10"/>
    <x v="32"/>
    <x v="1"/>
    <s v="Jan 6 2025"/>
    <x v="18"/>
    <n v="4"/>
    <x v="23"/>
    <n v="3"/>
    <x v="48"/>
    <s v="Fortune Barishal"/>
    <s v="field first"/>
    <s v="Fortune Barishal"/>
    <s v="Fortune Barishal"/>
    <x v="4"/>
    <s v="SylhetI"/>
    <n v="7"/>
    <n v="0"/>
    <s v="7 wickets"/>
    <s v="Wickets"/>
    <n v="7"/>
    <s v="Close Match"/>
    <n v="337"/>
    <x v="0"/>
    <s v="RR Wimalasiri"/>
    <s v="Mahfuzur Rahman"/>
    <x v="0"/>
    <x v="30"/>
    <x v="0"/>
  </r>
  <r>
    <x v="10"/>
    <x v="10"/>
    <x v="32"/>
    <x v="1"/>
    <s v="Jan 6 2025"/>
    <x v="18"/>
    <n v="4"/>
    <x v="23"/>
    <n v="3"/>
    <x v="48"/>
    <s v="Fortune Barishal"/>
    <s v="field first"/>
    <s v="Fortune Barishal"/>
    <s v="Fortune Barishal"/>
    <x v="4"/>
    <s v="SylhetI"/>
    <n v="7"/>
    <n v="0"/>
    <s v="7 wickets"/>
    <s v="Wickets"/>
    <n v="7"/>
    <s v="Close Match"/>
    <n v="337"/>
    <x v="0"/>
    <s v="RR Wimalasiri"/>
    <s v="Mahfuzur Rahman"/>
    <x v="1"/>
    <x v="22"/>
    <x v="1"/>
  </r>
  <r>
    <x v="10"/>
    <x v="10"/>
    <x v="30"/>
    <x v="1"/>
    <s v="Jan 7 2025"/>
    <x v="42"/>
    <n v="10"/>
    <x v="19"/>
    <n v="3"/>
    <x v="174"/>
    <s v="Rangpur Riders"/>
    <s v="field first"/>
    <s v="Rangpur Riders"/>
    <s v="Rangpur Riders"/>
    <x v="4"/>
    <s v="SylhetI"/>
    <n v="7"/>
    <n v="0"/>
    <s v="7 wickets"/>
    <s v="Wickets"/>
    <n v="7"/>
    <s v="Close Match"/>
    <n v="224"/>
    <x v="0"/>
    <s v="RR Wimalasiri"/>
    <s v="Tanvir Ahmed"/>
    <x v="0"/>
    <x v="31"/>
    <x v="0"/>
  </r>
  <r>
    <x v="10"/>
    <x v="10"/>
    <x v="30"/>
    <x v="1"/>
    <s v="Jan 7 2025"/>
    <x v="42"/>
    <n v="10"/>
    <x v="19"/>
    <n v="3"/>
    <x v="174"/>
    <s v="Rangpur Riders"/>
    <s v="field first"/>
    <s v="Rangpur Riders"/>
    <s v="Rangpur Riders"/>
    <x v="4"/>
    <s v="SylhetI"/>
    <n v="7"/>
    <n v="0"/>
    <s v="7 wickets"/>
    <s v="Wickets"/>
    <n v="7"/>
    <s v="Close Match"/>
    <n v="224"/>
    <x v="0"/>
    <s v="RR Wimalasiri"/>
    <s v="Tanvir Ahmed"/>
    <x v="1"/>
    <x v="6"/>
    <x v="1"/>
  </r>
  <r>
    <x v="10"/>
    <x v="10"/>
    <x v="28"/>
    <x v="1"/>
    <s v="Jan 7 2025"/>
    <x v="25"/>
    <n v="10"/>
    <x v="24"/>
    <n v="3"/>
    <x v="176"/>
    <s v="Fortune Barishal"/>
    <s v="field first"/>
    <s v="Fortune Barishal"/>
    <s v="Fortune Barishal"/>
    <x v="4"/>
    <s v="SylhetI"/>
    <n v="7"/>
    <n v="0"/>
    <s v="7 wickets"/>
    <s v="Wickets"/>
    <n v="7"/>
    <s v="Close Match"/>
    <n v="251"/>
    <x v="0"/>
    <s v="Asif Yaqoob"/>
    <s v="Morshed Ali Khan"/>
    <x v="0"/>
    <x v="25"/>
    <x v="0"/>
  </r>
  <r>
    <x v="10"/>
    <x v="10"/>
    <x v="28"/>
    <x v="1"/>
    <s v="Jan 7 2025"/>
    <x v="25"/>
    <n v="10"/>
    <x v="24"/>
    <n v="3"/>
    <x v="176"/>
    <s v="Fortune Barishal"/>
    <s v="field first"/>
    <s v="Fortune Barishal"/>
    <s v="Fortune Barishal"/>
    <x v="4"/>
    <s v="SylhetI"/>
    <n v="7"/>
    <n v="0"/>
    <s v="7 wickets"/>
    <s v="Wickets"/>
    <n v="7"/>
    <s v="Close Match"/>
    <n v="251"/>
    <x v="0"/>
    <s v="Asif Yaqoob"/>
    <s v="Morshed Ali Khan"/>
    <x v="1"/>
    <x v="22"/>
    <x v="1"/>
  </r>
  <r>
    <x v="10"/>
    <x v="10"/>
    <x v="27"/>
    <x v="1"/>
    <s v="Jan 9 2025"/>
    <x v="16"/>
    <n v="5"/>
    <x v="124"/>
    <n v="7"/>
    <x v="150"/>
    <s v="Rangpur Riders"/>
    <s v="field first"/>
    <s v="Rangpur Riders"/>
    <s v="Rangpur Riders"/>
    <x v="4"/>
    <s v="SylhetI"/>
    <n v="3"/>
    <n v="0"/>
    <s v="3 wickets"/>
    <s v="Wickets"/>
    <n v="3"/>
    <s v="Close Match"/>
    <n v="399"/>
    <x v="0"/>
    <s v="Ali Arman"/>
    <s v="Asif Yaqoob"/>
    <x v="0"/>
    <x v="22"/>
    <x v="0"/>
  </r>
  <r>
    <x v="10"/>
    <x v="10"/>
    <x v="27"/>
    <x v="1"/>
    <s v="Jan 9 2025"/>
    <x v="16"/>
    <n v="5"/>
    <x v="124"/>
    <n v="7"/>
    <x v="150"/>
    <s v="Rangpur Riders"/>
    <s v="field first"/>
    <s v="Rangpur Riders"/>
    <s v="Rangpur Riders"/>
    <x v="4"/>
    <s v="SylhetI"/>
    <n v="3"/>
    <n v="0"/>
    <s v="3 wickets"/>
    <s v="Wickets"/>
    <n v="3"/>
    <s v="Close Match"/>
    <n v="399"/>
    <x v="0"/>
    <s v="Ali Arman"/>
    <s v="Asif Yaqoob"/>
    <x v="1"/>
    <x v="6"/>
    <x v="1"/>
  </r>
  <r>
    <x v="10"/>
    <x v="10"/>
    <x v="25"/>
    <x v="1"/>
    <s v="Jan 9 2025"/>
    <x v="126"/>
    <n v="5"/>
    <x v="64"/>
    <n v="3"/>
    <x v="158"/>
    <s v="Chittagong Kings"/>
    <s v="field first"/>
    <s v="Chittagong Kings"/>
    <s v="Chittagong Kings"/>
    <x v="4"/>
    <s v="SylhetI"/>
    <n v="7"/>
    <n v="0"/>
    <s v="7 wickets"/>
    <s v="Wickets"/>
    <n v="7"/>
    <s v="Close Match"/>
    <n v="357"/>
    <x v="0"/>
    <s v="Gazi Sohel"/>
    <s v="Morshed Ali Khan"/>
    <x v="0"/>
    <x v="31"/>
    <x v="0"/>
  </r>
  <r>
    <x v="10"/>
    <x v="10"/>
    <x v="25"/>
    <x v="1"/>
    <s v="Jan 9 2025"/>
    <x v="126"/>
    <n v="5"/>
    <x v="64"/>
    <n v="3"/>
    <x v="158"/>
    <s v="Chittagong Kings"/>
    <s v="field first"/>
    <s v="Chittagong Kings"/>
    <s v="Chittagong Kings"/>
    <x v="4"/>
    <s v="SylhetI"/>
    <n v="7"/>
    <n v="0"/>
    <s v="7 wickets"/>
    <s v="Wickets"/>
    <n v="7"/>
    <s v="Close Match"/>
    <n v="357"/>
    <x v="0"/>
    <s v="Gazi Sohel"/>
    <s v="Morshed Ali Khan"/>
    <x v="1"/>
    <x v="4"/>
    <x v="1"/>
  </r>
  <r>
    <x v="10"/>
    <x v="10"/>
    <x v="23"/>
    <x v="1"/>
    <s v="Jan 10 2025"/>
    <x v="124"/>
    <n v="5"/>
    <x v="11"/>
    <n v="10"/>
    <x v="177"/>
    <s v="Khulna Tigers"/>
    <s v="field first"/>
    <s v="Durbar Rajshahi"/>
    <s v="Durbar Rajshahi"/>
    <x v="4"/>
    <s v="SylhetI"/>
    <n v="0"/>
    <n v="28"/>
    <s v="28 runs"/>
    <s v="Runs"/>
    <n v="28"/>
    <s v="Normal"/>
    <n v="328"/>
    <x v="0"/>
    <s v="RR Wimalasiri"/>
    <s v="Tanvir Ahmed"/>
    <x v="0"/>
    <x v="30"/>
    <x v="1"/>
  </r>
  <r>
    <x v="10"/>
    <x v="10"/>
    <x v="23"/>
    <x v="1"/>
    <s v="Jan 10 2025"/>
    <x v="124"/>
    <n v="5"/>
    <x v="11"/>
    <n v="10"/>
    <x v="177"/>
    <s v="Khulna Tigers"/>
    <s v="field first"/>
    <s v="Durbar Rajshahi"/>
    <s v="Durbar Rajshahi"/>
    <x v="4"/>
    <s v="SylhetI"/>
    <n v="0"/>
    <n v="28"/>
    <s v="28 runs"/>
    <s v="Runs"/>
    <n v="28"/>
    <s v="Normal"/>
    <n v="328"/>
    <x v="0"/>
    <s v="RR Wimalasiri"/>
    <s v="Tanvir Ahmed"/>
    <x v="1"/>
    <x v="16"/>
    <x v="0"/>
  </r>
  <r>
    <x v="10"/>
    <x v="10"/>
    <x v="22"/>
    <x v="1"/>
    <s v="Jan 10 2025"/>
    <x v="23"/>
    <n v="6"/>
    <x v="99"/>
    <n v="7"/>
    <x v="110"/>
    <s v="Dhaka Capital"/>
    <s v="bat first"/>
    <s v="Sylhet Strikers"/>
    <s v="Sylhet Strikers"/>
    <x v="4"/>
    <s v="SylhetI"/>
    <n v="3"/>
    <n v="0"/>
    <s v="3 wickets"/>
    <s v="Wickets"/>
    <n v="3"/>
    <s v="Close Match"/>
    <n v="388"/>
    <x v="0"/>
    <s v="Asif Yaqoob"/>
    <s v="Masudur Rahman"/>
    <x v="0"/>
    <x v="31"/>
    <x v="0"/>
  </r>
  <r>
    <x v="10"/>
    <x v="10"/>
    <x v="22"/>
    <x v="1"/>
    <s v="Jan 10 2025"/>
    <x v="23"/>
    <n v="6"/>
    <x v="99"/>
    <n v="7"/>
    <x v="110"/>
    <s v="Dhaka Capital"/>
    <s v="bat first"/>
    <s v="Sylhet Strikers"/>
    <s v="Sylhet Strikers"/>
    <x v="4"/>
    <s v="SylhetI"/>
    <n v="3"/>
    <n v="0"/>
    <s v="3 wickets"/>
    <s v="Wickets"/>
    <n v="3"/>
    <s v="Close Match"/>
    <n v="388"/>
    <x v="0"/>
    <s v="Asif Yaqoob"/>
    <s v="Masudur Rahman"/>
    <x v="1"/>
    <x v="25"/>
    <x v="1"/>
  </r>
  <r>
    <x v="10"/>
    <x v="10"/>
    <x v="20"/>
    <x v="1"/>
    <s v="Jan 12 2025"/>
    <x v="69"/>
    <n v="5"/>
    <x v="35"/>
    <n v="9"/>
    <x v="110"/>
    <s v="Khulna Tigers"/>
    <s v="field first"/>
    <s v="Sylhet Strikers"/>
    <s v="Sylhet Strikers"/>
    <x v="4"/>
    <s v="SylhetI"/>
    <n v="0"/>
    <n v="8"/>
    <s v="8 runs"/>
    <s v="Runs"/>
    <n v="8"/>
    <s v="Close Match"/>
    <n v="356"/>
    <x v="0"/>
    <s v="RR Wimalasiri"/>
    <s v="Gazi Sohel"/>
    <x v="0"/>
    <x v="25"/>
    <x v="1"/>
  </r>
  <r>
    <x v="10"/>
    <x v="10"/>
    <x v="20"/>
    <x v="1"/>
    <s v="Jan 12 2025"/>
    <x v="69"/>
    <n v="5"/>
    <x v="35"/>
    <n v="9"/>
    <x v="110"/>
    <s v="Khulna Tigers"/>
    <s v="field first"/>
    <s v="Sylhet Strikers"/>
    <s v="Sylhet Strikers"/>
    <x v="4"/>
    <s v="SylhetI"/>
    <n v="0"/>
    <n v="8"/>
    <s v="8 runs"/>
    <s v="Runs"/>
    <n v="8"/>
    <s v="Close Match"/>
    <n v="356"/>
    <x v="0"/>
    <s v="RR Wimalasiri"/>
    <s v="Gazi Sohel"/>
    <x v="1"/>
    <x v="16"/>
    <x v="0"/>
  </r>
  <r>
    <x v="10"/>
    <x v="10"/>
    <x v="18"/>
    <x v="1"/>
    <s v="Jan 12 2025"/>
    <x v="131"/>
    <n v="1"/>
    <x v="125"/>
    <n v="10"/>
    <x v="44"/>
    <s v="Durbar Rajshahi"/>
    <s v="field first"/>
    <s v="Dhaka Capital"/>
    <s v="Dhaka Capital"/>
    <x v="4"/>
    <s v="SylhetI"/>
    <n v="0"/>
    <n v="149"/>
    <s v="149 runs"/>
    <s v="Runs"/>
    <n v="149"/>
    <s v="Normal"/>
    <n v="359"/>
    <x v="0"/>
    <s v="Asif Yaqoob"/>
    <s v="Morshed Ali Khan"/>
    <x v="0"/>
    <x v="31"/>
    <x v="1"/>
  </r>
  <r>
    <x v="10"/>
    <x v="10"/>
    <x v="18"/>
    <x v="1"/>
    <s v="Jan 12 2025"/>
    <x v="131"/>
    <n v="1"/>
    <x v="125"/>
    <n v="10"/>
    <x v="44"/>
    <s v="Durbar Rajshahi"/>
    <s v="field first"/>
    <s v="Dhaka Capital"/>
    <s v="Dhaka Capital"/>
    <x v="4"/>
    <s v="SylhetI"/>
    <n v="0"/>
    <n v="149"/>
    <s v="149 runs"/>
    <s v="Runs"/>
    <n v="149"/>
    <s v="Normal"/>
    <n v="359"/>
    <x v="0"/>
    <s v="Asif Yaqoob"/>
    <s v="Morshed Ali Khan"/>
    <x v="1"/>
    <x v="30"/>
    <x v="0"/>
  </r>
  <r>
    <x v="10"/>
    <x v="10"/>
    <x v="16"/>
    <x v="1"/>
    <s v="Jan 13 2025"/>
    <x v="130"/>
    <n v="6"/>
    <x v="113"/>
    <n v="8"/>
    <x v="178"/>
    <s v="Sylhet Strikers"/>
    <s v="field first"/>
    <s v="Chittagong Kings"/>
    <s v="Chittagong Kings"/>
    <x v="4"/>
    <s v="SylhetI"/>
    <n v="0"/>
    <n v="30"/>
    <s v="30 runs"/>
    <s v="Runs"/>
    <n v="30"/>
    <s v="Normal"/>
    <n v="376"/>
    <x v="0"/>
    <s v="Ali Arman"/>
    <s v="Asif Yaqoob"/>
    <x v="0"/>
    <x v="4"/>
    <x v="1"/>
  </r>
  <r>
    <x v="10"/>
    <x v="10"/>
    <x v="16"/>
    <x v="1"/>
    <s v="Jan 13 2025"/>
    <x v="130"/>
    <n v="6"/>
    <x v="113"/>
    <n v="8"/>
    <x v="178"/>
    <s v="Sylhet Strikers"/>
    <s v="field first"/>
    <s v="Chittagong Kings"/>
    <s v="Chittagong Kings"/>
    <x v="4"/>
    <s v="SylhetI"/>
    <n v="0"/>
    <n v="30"/>
    <s v="30 runs"/>
    <s v="Runs"/>
    <n v="30"/>
    <s v="Normal"/>
    <n v="376"/>
    <x v="0"/>
    <s v="Ali Arman"/>
    <s v="Asif Yaqoob"/>
    <x v="1"/>
    <x v="25"/>
    <x v="0"/>
  </r>
  <r>
    <x v="10"/>
    <x v="10"/>
    <x v="14"/>
    <x v="1"/>
    <s v="Jan 13 2025"/>
    <x v="107"/>
    <n v="5"/>
    <x v="115"/>
    <n v="9"/>
    <x v="179"/>
    <s v="Rangpur Riders"/>
    <s v="bat first"/>
    <s v="Rangpur Riders"/>
    <s v="Rangpur Riders"/>
    <x v="4"/>
    <s v="SylhetI"/>
    <n v="0"/>
    <n v="8"/>
    <s v="8 runs"/>
    <s v="Runs"/>
    <n v="8"/>
    <s v="Close Match"/>
    <n v="364"/>
    <x v="0"/>
    <s v="Masudur Rahman"/>
    <s v="RR Wimalasiri"/>
    <x v="0"/>
    <x v="6"/>
    <x v="1"/>
  </r>
  <r>
    <x v="10"/>
    <x v="10"/>
    <x v="14"/>
    <x v="1"/>
    <s v="Jan 13 2025"/>
    <x v="107"/>
    <n v="5"/>
    <x v="115"/>
    <n v="9"/>
    <x v="179"/>
    <s v="Rangpur Riders"/>
    <s v="bat first"/>
    <s v="Rangpur Riders"/>
    <s v="Rangpur Riders"/>
    <x v="4"/>
    <s v="SylhetI"/>
    <n v="0"/>
    <n v="8"/>
    <s v="8 runs"/>
    <s v="Runs"/>
    <n v="8"/>
    <s v="Close Match"/>
    <n v="364"/>
    <x v="0"/>
    <s v="Masudur Rahman"/>
    <s v="RR Wimalasiri"/>
    <x v="1"/>
    <x v="16"/>
    <x v="0"/>
  </r>
  <r>
    <x v="10"/>
    <x v="10"/>
    <x v="12"/>
    <x v="1"/>
    <s v="Jan 16 2025"/>
    <x v="19"/>
    <n v="10"/>
    <x v="21"/>
    <n v="10"/>
    <x v="48"/>
    <s v="Dhaka Capital"/>
    <s v="bat first"/>
    <s v="Fortune Barishal"/>
    <s v="Fortune Barishal"/>
    <x v="1"/>
    <s v="Chattogram"/>
    <n v="8"/>
    <n v="0"/>
    <s v="8 wickets"/>
    <s v="Wickets"/>
    <n v="8"/>
    <s v="Close Match"/>
    <n v="284"/>
    <x v="0"/>
    <s v="Moniruzzaman"/>
    <s v="Asif Yaqoob"/>
    <x v="0"/>
    <x v="31"/>
    <x v="0"/>
  </r>
  <r>
    <x v="10"/>
    <x v="10"/>
    <x v="12"/>
    <x v="1"/>
    <s v="Jan 16 2025"/>
    <x v="19"/>
    <n v="10"/>
    <x v="21"/>
    <n v="10"/>
    <x v="48"/>
    <s v="Dhaka Capital"/>
    <s v="bat first"/>
    <s v="Fortune Barishal"/>
    <s v="Fortune Barishal"/>
    <x v="1"/>
    <s v="Chattogram"/>
    <n v="8"/>
    <n v="0"/>
    <s v="8 wickets"/>
    <s v="Wickets"/>
    <n v="8"/>
    <s v="Close Match"/>
    <n v="284"/>
    <x v="0"/>
    <s v="Moniruzzaman"/>
    <s v="Asif Yaqoob"/>
    <x v="1"/>
    <x v="22"/>
    <x v="1"/>
  </r>
  <r>
    <x v="10"/>
    <x v="10"/>
    <x v="11"/>
    <x v="1"/>
    <s v="Jan 16 2025"/>
    <x v="132"/>
    <n v="7"/>
    <x v="31"/>
    <n v="9"/>
    <x v="178"/>
    <s v="Khulna Tigers"/>
    <s v="field first"/>
    <s v="Chittagong Kings"/>
    <s v="Chittagong Kings"/>
    <x v="1"/>
    <s v="Chattogram"/>
    <n v="0"/>
    <n v="45"/>
    <s v="45 runs"/>
    <s v="Runs"/>
    <n v="45"/>
    <s v="Normal"/>
    <n v="355"/>
    <x v="0"/>
    <s v="Sharfuddoula"/>
    <s v="Mahfuzur Rahman"/>
    <x v="0"/>
    <x v="4"/>
    <x v="1"/>
  </r>
  <r>
    <x v="10"/>
    <x v="10"/>
    <x v="11"/>
    <x v="1"/>
    <s v="Jan 16 2025"/>
    <x v="132"/>
    <n v="7"/>
    <x v="31"/>
    <n v="9"/>
    <x v="178"/>
    <s v="Khulna Tigers"/>
    <s v="field first"/>
    <s v="Chittagong Kings"/>
    <s v="Chittagong Kings"/>
    <x v="1"/>
    <s v="Chattogram"/>
    <n v="0"/>
    <n v="45"/>
    <s v="45 runs"/>
    <s v="Runs"/>
    <n v="45"/>
    <s v="Normal"/>
    <n v="355"/>
    <x v="0"/>
    <s v="Sharfuddoula"/>
    <s v="Mahfuzur Rahman"/>
    <x v="1"/>
    <x v="16"/>
    <x v="0"/>
  </r>
  <r>
    <x v="10"/>
    <x v="10"/>
    <x v="9"/>
    <x v="1"/>
    <s v="Jan 17 2025"/>
    <x v="2"/>
    <n v="7"/>
    <x v="126"/>
    <n v="10"/>
    <x v="180"/>
    <s v="Durbar Rajshahi"/>
    <s v="bat first"/>
    <s v="Durbar Rajshahi"/>
    <s v="Durbar Rajshahi"/>
    <x v="1"/>
    <s v="Chattogram"/>
    <n v="0"/>
    <n v="65"/>
    <s v="65 runs"/>
    <s v="Runs"/>
    <n v="65"/>
    <s v="Normal"/>
    <n v="303"/>
    <x v="0"/>
    <s v="Ali Arman"/>
    <s v="RR Wimalasiri"/>
    <x v="0"/>
    <x v="30"/>
    <x v="1"/>
  </r>
  <r>
    <x v="10"/>
    <x v="10"/>
    <x v="9"/>
    <x v="1"/>
    <s v="Jan 17 2025"/>
    <x v="2"/>
    <n v="7"/>
    <x v="126"/>
    <n v="10"/>
    <x v="180"/>
    <s v="Durbar Rajshahi"/>
    <s v="bat first"/>
    <s v="Durbar Rajshahi"/>
    <s v="Durbar Rajshahi"/>
    <x v="1"/>
    <s v="Chattogram"/>
    <n v="0"/>
    <n v="65"/>
    <s v="65 runs"/>
    <s v="Runs"/>
    <n v="65"/>
    <s v="Normal"/>
    <n v="303"/>
    <x v="0"/>
    <s v="Ali Arman"/>
    <s v="RR Wimalasiri"/>
    <x v="1"/>
    <x v="25"/>
    <x v="0"/>
  </r>
  <r>
    <x v="10"/>
    <x v="10"/>
    <x v="8"/>
    <x v="1"/>
    <s v="Jan 17 2025"/>
    <x v="56"/>
    <n v="7"/>
    <x v="34"/>
    <n v="8"/>
    <x v="145"/>
    <s v="Chittagong Kings"/>
    <s v="field first"/>
    <s v="Rangpur Riders"/>
    <s v="Rangpur Riders"/>
    <x v="1"/>
    <s v="Chattogram"/>
    <n v="0"/>
    <n v="33"/>
    <s v="33 runs"/>
    <s v="Runs"/>
    <n v="33"/>
    <s v="Normal"/>
    <n v="295"/>
    <x v="0"/>
    <s v="Masudur Rahman"/>
    <s v="Sharfuddoula"/>
    <x v="0"/>
    <x v="6"/>
    <x v="1"/>
  </r>
  <r>
    <x v="10"/>
    <x v="10"/>
    <x v="8"/>
    <x v="1"/>
    <s v="Jan 17 2025"/>
    <x v="56"/>
    <n v="7"/>
    <x v="34"/>
    <n v="8"/>
    <x v="145"/>
    <s v="Chittagong Kings"/>
    <s v="field first"/>
    <s v="Rangpur Riders"/>
    <s v="Rangpur Riders"/>
    <x v="1"/>
    <s v="Chattogram"/>
    <n v="0"/>
    <n v="33"/>
    <s v="33 runs"/>
    <s v="Runs"/>
    <n v="33"/>
    <s v="Normal"/>
    <n v="295"/>
    <x v="0"/>
    <s v="Masudur Rahman"/>
    <s v="Sharfuddoula"/>
    <x v="1"/>
    <x v="4"/>
    <x v="0"/>
  </r>
  <r>
    <x v="10"/>
    <x v="10"/>
    <x v="7"/>
    <x v="1"/>
    <s v="Jan 19 2025"/>
    <x v="35"/>
    <n v="8"/>
    <x v="117"/>
    <n v="4"/>
    <x v="101"/>
    <s v="Fortune Barishal"/>
    <s v="field first"/>
    <s v="Fortune Barishal"/>
    <s v="Fortune Barishal"/>
    <x v="1"/>
    <s v="Chattogram"/>
    <n v="6"/>
    <n v="0"/>
    <s v="6 wickets"/>
    <s v="Wickets"/>
    <n v="6"/>
    <s v="Close Match"/>
    <n v="243"/>
    <x v="0"/>
    <s v="Sharfuddoula"/>
    <s v="Tanvir Ahmed"/>
    <x v="0"/>
    <x v="4"/>
    <x v="0"/>
  </r>
  <r>
    <x v="10"/>
    <x v="10"/>
    <x v="7"/>
    <x v="1"/>
    <s v="Jan 19 2025"/>
    <x v="35"/>
    <n v="8"/>
    <x v="117"/>
    <n v="4"/>
    <x v="101"/>
    <s v="Fortune Barishal"/>
    <s v="field first"/>
    <s v="Fortune Barishal"/>
    <s v="Fortune Barishal"/>
    <x v="1"/>
    <s v="Chattogram"/>
    <n v="6"/>
    <n v="0"/>
    <s v="6 wickets"/>
    <s v="Wickets"/>
    <n v="6"/>
    <s v="Close Match"/>
    <n v="243"/>
    <x v="0"/>
    <s v="Sharfuddoula"/>
    <s v="Tanvir Ahmed"/>
    <x v="1"/>
    <x v="22"/>
    <x v="1"/>
  </r>
  <r>
    <x v="10"/>
    <x v="10"/>
    <x v="6"/>
    <x v="1"/>
    <s v="Jan 19 2025"/>
    <x v="133"/>
    <n v="4"/>
    <x v="124"/>
    <n v="4"/>
    <x v="125"/>
    <s v="Khulna Tigers"/>
    <s v="bat first"/>
    <s v="Khulna Tigers"/>
    <s v="Khulna Tigers"/>
    <x v="1"/>
    <s v="Chattogram"/>
    <n v="0"/>
    <n v="7"/>
    <s v="7 runs"/>
    <s v="Runs"/>
    <n v="7"/>
    <s v="Close Match"/>
    <n v="411"/>
    <x v="0"/>
    <s v="Asif Yaqoob"/>
    <s v="Gazi Sohel"/>
    <x v="0"/>
    <x v="16"/>
    <x v="1"/>
  </r>
  <r>
    <x v="10"/>
    <x v="10"/>
    <x v="6"/>
    <x v="1"/>
    <s v="Jan 19 2025"/>
    <x v="133"/>
    <n v="4"/>
    <x v="124"/>
    <n v="4"/>
    <x v="125"/>
    <s v="Khulna Tigers"/>
    <s v="bat first"/>
    <s v="Khulna Tigers"/>
    <s v="Khulna Tigers"/>
    <x v="1"/>
    <s v="Chattogram"/>
    <n v="0"/>
    <n v="7"/>
    <s v="7 runs"/>
    <s v="Runs"/>
    <n v="7"/>
    <s v="Close Match"/>
    <n v="411"/>
    <x v="0"/>
    <s v="Asif Yaqoob"/>
    <s v="Gazi Sohel"/>
    <x v="1"/>
    <x v="30"/>
    <x v="0"/>
  </r>
  <r>
    <x v="10"/>
    <x v="10"/>
    <x v="5"/>
    <x v="1"/>
    <s v="Jan 20 2025"/>
    <x v="65"/>
    <n v="6"/>
    <x v="57"/>
    <n v="7"/>
    <x v="103"/>
    <s v="Dhaka Capital"/>
    <s v="bat first"/>
    <s v="Dhaka Capital"/>
    <s v="Dhaka Capital"/>
    <x v="1"/>
    <s v="Chattogram"/>
    <n v="0"/>
    <n v="6"/>
    <s v="6 runs"/>
    <s v="Runs"/>
    <n v="6"/>
    <s v="Close Match"/>
    <n v="386"/>
    <x v="0"/>
    <s v="Muhammad Kamruzzaman"/>
    <s v="Morshed Ali Khan"/>
    <x v="0"/>
    <x v="31"/>
    <x v="1"/>
  </r>
  <r>
    <x v="10"/>
    <x v="10"/>
    <x v="5"/>
    <x v="1"/>
    <s v="Jan 20 2025"/>
    <x v="65"/>
    <n v="6"/>
    <x v="57"/>
    <n v="7"/>
    <x v="103"/>
    <s v="Dhaka Capital"/>
    <s v="bat first"/>
    <s v="Dhaka Capital"/>
    <s v="Dhaka Capital"/>
    <x v="1"/>
    <s v="Chattogram"/>
    <n v="0"/>
    <n v="6"/>
    <s v="6 runs"/>
    <s v="Runs"/>
    <n v="6"/>
    <s v="Close Match"/>
    <n v="386"/>
    <x v="0"/>
    <s v="Muhammad Kamruzzaman"/>
    <s v="Morshed Ali Khan"/>
    <x v="1"/>
    <x v="25"/>
    <x v="0"/>
  </r>
  <r>
    <x v="10"/>
    <x v="10"/>
    <x v="4"/>
    <x v="1"/>
    <s v="Jan 20 2025"/>
    <x v="1"/>
    <n v="8"/>
    <x v="127"/>
    <n v="10"/>
    <x v="74"/>
    <s v="Durbar Rajshahi"/>
    <s v="field first"/>
    <s v="Chittagong Kings"/>
    <s v="Chittagong Kings"/>
    <x v="1"/>
    <s v="Chattogram"/>
    <n v="0"/>
    <n v="111"/>
    <s v="111 runs"/>
    <s v="Runs"/>
    <n v="111"/>
    <s v="Normal"/>
    <n v="271"/>
    <x v="0"/>
    <s v="Masudur Rahman"/>
    <s v="Gazi Sohel"/>
    <x v="0"/>
    <x v="4"/>
    <x v="1"/>
  </r>
  <r>
    <x v="10"/>
    <x v="10"/>
    <x v="4"/>
    <x v="1"/>
    <s v="Jan 20 2025"/>
    <x v="1"/>
    <n v="8"/>
    <x v="127"/>
    <n v="10"/>
    <x v="74"/>
    <s v="Durbar Rajshahi"/>
    <s v="field first"/>
    <s v="Chittagong Kings"/>
    <s v="Chittagong Kings"/>
    <x v="1"/>
    <s v="Chattogram"/>
    <n v="0"/>
    <n v="111"/>
    <s v="111 runs"/>
    <s v="Runs"/>
    <n v="111"/>
    <s v="Normal"/>
    <n v="271"/>
    <x v="0"/>
    <s v="Masudur Rahman"/>
    <s v="Gazi Sohel"/>
    <x v="1"/>
    <x v="30"/>
    <x v="0"/>
  </r>
  <r>
    <x v="10"/>
    <x v="10"/>
    <x v="3"/>
    <x v="1"/>
    <s v="Jan 21 2025"/>
    <x v="95"/>
    <n v="6"/>
    <x v="47"/>
    <n v="2"/>
    <x v="171"/>
    <s v="Chittagong Kings"/>
    <s v="bat first"/>
    <s v="Dhaka Capital"/>
    <s v="Dhaka Capital"/>
    <x v="1"/>
    <s v="Chattogram"/>
    <n v="8"/>
    <n v="0"/>
    <s v="8 wickets"/>
    <s v="Wickets"/>
    <n v="8"/>
    <s v="Close Match"/>
    <n v="297"/>
    <x v="0"/>
    <s v="Muhammad Kamruzzaman"/>
    <s v="Gazi Sohel"/>
    <x v="0"/>
    <x v="4"/>
    <x v="0"/>
  </r>
  <r>
    <x v="10"/>
    <x v="10"/>
    <x v="3"/>
    <x v="1"/>
    <s v="Jan 21 2025"/>
    <x v="95"/>
    <n v="6"/>
    <x v="47"/>
    <n v="2"/>
    <x v="171"/>
    <s v="Chittagong Kings"/>
    <s v="bat first"/>
    <s v="Dhaka Capital"/>
    <s v="Dhaka Capital"/>
    <x v="1"/>
    <s v="Chattogram"/>
    <n v="8"/>
    <n v="0"/>
    <s v="8 wickets"/>
    <s v="Wickets"/>
    <n v="8"/>
    <s v="Close Match"/>
    <n v="297"/>
    <x v="0"/>
    <s v="Muhammad Kamruzzaman"/>
    <s v="Gazi Sohel"/>
    <x v="1"/>
    <x v="31"/>
    <x v="1"/>
  </r>
  <r>
    <x v="10"/>
    <x v="10"/>
    <x v="48"/>
    <x v="1"/>
    <s v="Jan 21 2025"/>
    <x v="46"/>
    <n v="9"/>
    <x v="7"/>
    <n v="6"/>
    <x v="181"/>
    <s v="Khulna Tigers"/>
    <s v="field first"/>
    <s v="Fortune Barishal"/>
    <s v="Fortune Barishal"/>
    <x v="1"/>
    <s v="Chattogram"/>
    <n v="0"/>
    <n v="7"/>
    <s v="7 runs"/>
    <s v="Runs"/>
    <n v="7"/>
    <s v="Close Match"/>
    <n v="327"/>
    <x v="0"/>
    <s v="Sharfuddoula"/>
    <s v="Morshed Ali Khan"/>
    <x v="0"/>
    <x v="22"/>
    <x v="1"/>
  </r>
  <r>
    <x v="10"/>
    <x v="10"/>
    <x v="48"/>
    <x v="1"/>
    <s v="Jan 21 2025"/>
    <x v="46"/>
    <n v="9"/>
    <x v="7"/>
    <n v="6"/>
    <x v="181"/>
    <s v="Khulna Tigers"/>
    <s v="field first"/>
    <s v="Fortune Barishal"/>
    <s v="Fortune Barishal"/>
    <x v="1"/>
    <s v="Chattogram"/>
    <n v="0"/>
    <n v="7"/>
    <s v="7 runs"/>
    <s v="Runs"/>
    <n v="7"/>
    <s v="Close Match"/>
    <n v="327"/>
    <x v="0"/>
    <s v="Sharfuddoula"/>
    <s v="Morshed Ali Khan"/>
    <x v="1"/>
    <x v="16"/>
    <x v="0"/>
  </r>
  <r>
    <x v="10"/>
    <x v="10"/>
    <x v="47"/>
    <x v="1"/>
    <s v="Jan 23 2025"/>
    <x v="41"/>
    <n v="9"/>
    <x v="26"/>
    <n v="10"/>
    <x v="177"/>
    <s v="Rangpur Riders"/>
    <s v="field first"/>
    <s v="Durbar Rajshahi"/>
    <s v="Durbar Rajshahi"/>
    <x v="1"/>
    <s v="Chattogram"/>
    <n v="0"/>
    <n v="24"/>
    <s v="24 runs"/>
    <s v="Runs"/>
    <n v="24"/>
    <s v="Normal"/>
    <n v="316"/>
    <x v="0"/>
    <s v="Gazi Sohel"/>
    <s v="Tanvir Ahmed"/>
    <x v="0"/>
    <x v="30"/>
    <x v="1"/>
  </r>
  <r>
    <x v="10"/>
    <x v="10"/>
    <x v="47"/>
    <x v="1"/>
    <s v="Jan 23 2025"/>
    <x v="41"/>
    <n v="9"/>
    <x v="26"/>
    <n v="10"/>
    <x v="177"/>
    <s v="Rangpur Riders"/>
    <s v="field first"/>
    <s v="Durbar Rajshahi"/>
    <s v="Durbar Rajshahi"/>
    <x v="1"/>
    <s v="Chattogram"/>
    <n v="0"/>
    <n v="24"/>
    <s v="24 runs"/>
    <s v="Runs"/>
    <n v="24"/>
    <s v="Normal"/>
    <n v="316"/>
    <x v="0"/>
    <s v="Gazi Sohel"/>
    <s v="Tanvir Ahmed"/>
    <x v="1"/>
    <x v="6"/>
    <x v="0"/>
  </r>
  <r>
    <x v="10"/>
    <x v="10"/>
    <x v="46"/>
    <x v="1"/>
    <s v="Jan 23 2025"/>
    <x v="28"/>
    <n v="9"/>
    <x v="32"/>
    <n v="4"/>
    <x v="97"/>
    <s v="Sylhet Strikers"/>
    <s v="bat first"/>
    <s v="Khulna Tigers"/>
    <s v="Khulna Tigers"/>
    <x v="1"/>
    <s v="Chattogram"/>
    <n v="6"/>
    <n v="0"/>
    <s v="6 wickets"/>
    <s v="Wickets"/>
    <n v="6"/>
    <s v="Close Match"/>
    <n v="308"/>
    <x v="0"/>
    <s v="Masudur Rahman"/>
    <s v="Morshed Ali Khan"/>
    <x v="0"/>
    <x v="25"/>
    <x v="0"/>
  </r>
  <r>
    <x v="10"/>
    <x v="10"/>
    <x v="46"/>
    <x v="1"/>
    <s v="Jan 23 2025"/>
    <x v="28"/>
    <n v="9"/>
    <x v="32"/>
    <n v="4"/>
    <x v="97"/>
    <s v="Sylhet Strikers"/>
    <s v="bat first"/>
    <s v="Khulna Tigers"/>
    <s v="Khulna Tigers"/>
    <x v="1"/>
    <s v="Chattogram"/>
    <n v="6"/>
    <n v="0"/>
    <s v="6 wickets"/>
    <s v="Wickets"/>
    <n v="6"/>
    <s v="Close Match"/>
    <n v="308"/>
    <x v="0"/>
    <s v="Masudur Rahman"/>
    <s v="Morshed Ali Khan"/>
    <x v="1"/>
    <x v="16"/>
    <x v="1"/>
  </r>
  <r>
    <x v="10"/>
    <x v="10"/>
    <x v="45"/>
    <x v="1"/>
    <s v="Jan 26 2025"/>
    <x v="3"/>
    <n v="10"/>
    <x v="3"/>
    <n v="2"/>
    <x v="182"/>
    <s v="Sylhet Strikers"/>
    <s v="bat first"/>
    <s v="Fortune Barishal"/>
    <s v="Fortune Barishal"/>
    <x v="0"/>
    <s v="Mirpur"/>
    <n v="8"/>
    <n v="0"/>
    <s v="8 wickets"/>
    <s v="Wickets"/>
    <n v="8"/>
    <s v="Close Match"/>
    <n v="236"/>
    <x v="0"/>
    <s v="RR Wimalasiri"/>
    <s v="Tanvir Ahmed"/>
    <x v="0"/>
    <x v="25"/>
    <x v="0"/>
  </r>
  <r>
    <x v="10"/>
    <x v="10"/>
    <x v="45"/>
    <x v="1"/>
    <s v="Jan 26 2025"/>
    <x v="3"/>
    <n v="10"/>
    <x v="3"/>
    <n v="2"/>
    <x v="182"/>
    <s v="Sylhet Strikers"/>
    <s v="bat first"/>
    <s v="Fortune Barishal"/>
    <s v="Fortune Barishal"/>
    <x v="0"/>
    <s v="Mirpur"/>
    <n v="8"/>
    <n v="0"/>
    <s v="8 wickets"/>
    <s v="Wickets"/>
    <n v="8"/>
    <s v="Close Match"/>
    <n v="236"/>
    <x v="0"/>
    <s v="RR Wimalasiri"/>
    <s v="Tanvir Ahmed"/>
    <x v="1"/>
    <x v="22"/>
    <x v="1"/>
  </r>
  <r>
    <x v="10"/>
    <x v="10"/>
    <x v="44"/>
    <x v="1"/>
    <s v="Jan 26 2025"/>
    <x v="90"/>
    <n v="9"/>
    <x v="22"/>
    <n v="8"/>
    <x v="66"/>
    <s v="Rangpur Riders"/>
    <s v="field first"/>
    <s v="Durbar Rajshahi"/>
    <s v="Durbar Rajshahi"/>
    <x v="0"/>
    <s v="Mirpur"/>
    <n v="2"/>
    <n v="0"/>
    <s v="2 runs"/>
    <s v="Wickets"/>
    <n v="2"/>
    <s v="Close Match"/>
    <n v="236"/>
    <x v="0"/>
    <s v="Muhammad Kamruzzaman"/>
    <s v="Sharfuddoula"/>
    <x v="0"/>
    <x v="30"/>
    <x v="1"/>
  </r>
  <r>
    <x v="10"/>
    <x v="10"/>
    <x v="44"/>
    <x v="1"/>
    <s v="Jan 26 2025"/>
    <x v="90"/>
    <n v="9"/>
    <x v="22"/>
    <n v="8"/>
    <x v="66"/>
    <s v="Rangpur Riders"/>
    <s v="field first"/>
    <s v="Durbar Rajshahi"/>
    <s v="Durbar Rajshahi"/>
    <x v="0"/>
    <s v="Mirpur"/>
    <n v="2"/>
    <n v="0"/>
    <s v="2 runs"/>
    <s v="Wickets"/>
    <n v="2"/>
    <s v="Close Match"/>
    <n v="236"/>
    <x v="0"/>
    <s v="Muhammad Kamruzzaman"/>
    <s v="Sharfuddoula"/>
    <x v="1"/>
    <x v="6"/>
    <x v="0"/>
  </r>
  <r>
    <x v="10"/>
    <x v="10"/>
    <x v="43"/>
    <x v="1"/>
    <s v="Jan 27 2025"/>
    <x v="87"/>
    <n v="5"/>
    <x v="87"/>
    <n v="5"/>
    <x v="101"/>
    <s v="Fortune Barishal"/>
    <s v="field first"/>
    <s v="Fortune Barishal"/>
    <s v="Fortune Barishal"/>
    <x v="0"/>
    <s v="Mirpur"/>
    <n v="0"/>
    <n v="5"/>
    <s v="5 wickets"/>
    <s v="Runs"/>
    <n v="5"/>
    <s v="Close Match"/>
    <n v="375"/>
    <x v="0"/>
    <s v="Mahfuzur Rahman"/>
    <s v="Sharfuddoula"/>
    <x v="0"/>
    <x v="16"/>
    <x v="0"/>
  </r>
  <r>
    <x v="10"/>
    <x v="10"/>
    <x v="43"/>
    <x v="1"/>
    <s v="Jan 27 2025"/>
    <x v="87"/>
    <n v="5"/>
    <x v="87"/>
    <n v="5"/>
    <x v="101"/>
    <s v="Fortune Barishal"/>
    <s v="field first"/>
    <s v="Fortune Barishal"/>
    <s v="Fortune Barishal"/>
    <x v="0"/>
    <s v="Mirpur"/>
    <n v="0"/>
    <n v="5"/>
    <s v="5 wickets"/>
    <s v="Runs"/>
    <n v="5"/>
    <s v="Close Match"/>
    <n v="375"/>
    <x v="0"/>
    <s v="Mahfuzur Rahman"/>
    <s v="Sharfuddoula"/>
    <x v="1"/>
    <x v="22"/>
    <x v="1"/>
  </r>
  <r>
    <x v="10"/>
    <x v="10"/>
    <x v="42"/>
    <x v="1"/>
    <s v="Jan 27 2025"/>
    <x v="114"/>
    <n v="9"/>
    <x v="18"/>
    <n v="5"/>
    <x v="183"/>
    <s v="Durbar Rajshahi"/>
    <s v="field first"/>
    <s v="Durbar Rajshahi"/>
    <s v="Rangpur Riders"/>
    <x v="0"/>
    <s v="Mirpur"/>
    <n v="0"/>
    <n v="5"/>
    <s v="5 wickets"/>
    <s v="Runs"/>
    <n v="5"/>
    <s v="Close Match"/>
    <n v="238"/>
    <x v="0"/>
    <s v="Asif Yaqoob"/>
    <s v="Sajedul Islam"/>
    <x v="0"/>
    <x v="25"/>
    <x v="0"/>
  </r>
  <r>
    <x v="10"/>
    <x v="10"/>
    <x v="42"/>
    <x v="1"/>
    <s v="Jan 27 2025"/>
    <x v="114"/>
    <n v="9"/>
    <x v="18"/>
    <n v="5"/>
    <x v="183"/>
    <s v="Durbar Rajshahi"/>
    <s v="field first"/>
    <s v="Durbar Rajshahi"/>
    <s v="Rangpur Riders"/>
    <x v="0"/>
    <s v="Mirpur"/>
    <n v="0"/>
    <n v="5"/>
    <s v="5 wickets"/>
    <s v="Runs"/>
    <n v="5"/>
    <s v="Close Match"/>
    <n v="238"/>
    <x v="0"/>
    <s v="Asif Yaqoob"/>
    <s v="Sajedul Islam"/>
    <x v="1"/>
    <x v="6"/>
    <x v="1"/>
  </r>
  <r>
    <x v="10"/>
    <x v="10"/>
    <x v="41"/>
    <x v="1"/>
    <s v="Jan 28 2025"/>
    <x v="106"/>
    <n v="5"/>
    <x v="62"/>
    <n v="5"/>
    <x v="184"/>
    <s v="Chittagong Kings"/>
    <s v="field first"/>
    <s v="Chittagong Kings"/>
    <s v="Chittagong Kings"/>
    <x v="0"/>
    <s v="Mirpur"/>
    <n v="0"/>
    <n v="5"/>
    <s v="5 wickets"/>
    <s v="Runs"/>
    <n v="5"/>
    <s v="Close Match"/>
    <n v="291"/>
    <x v="0"/>
    <s v="Asif Yaqoob"/>
    <s v="Morshed Ali Khan"/>
    <x v="0"/>
    <x v="6"/>
    <x v="0"/>
  </r>
  <r>
    <x v="10"/>
    <x v="10"/>
    <x v="41"/>
    <x v="1"/>
    <s v="Jan 28 2025"/>
    <x v="106"/>
    <n v="5"/>
    <x v="62"/>
    <n v="5"/>
    <x v="184"/>
    <s v="Chittagong Kings"/>
    <s v="field first"/>
    <s v="Chittagong Kings"/>
    <s v="Chittagong Kings"/>
    <x v="0"/>
    <s v="Mirpur"/>
    <n v="0"/>
    <n v="5"/>
    <s v="5 wickets"/>
    <s v="Runs"/>
    <n v="5"/>
    <s v="Close Match"/>
    <n v="291"/>
    <x v="0"/>
    <s v="Asif Yaqoob"/>
    <s v="Morshed Ali Khan"/>
    <x v="1"/>
    <x v="4"/>
    <x v="1"/>
  </r>
  <r>
    <x v="10"/>
    <x v="10"/>
    <x v="26"/>
    <x v="1"/>
    <s v="Jan 28 2025"/>
    <x v="134"/>
    <n v="10"/>
    <x v="128"/>
    <n v="1"/>
    <x v="154"/>
    <s v="Fortune Barishal"/>
    <s v="field first"/>
    <s v="Fortune Barishal"/>
    <s v="Fortune Barishal"/>
    <x v="0"/>
    <s v="Mirpur"/>
    <n v="0"/>
    <n v="9"/>
    <s v="9 wickets"/>
    <s v="Runs"/>
    <n v="9"/>
    <s v="Close Match"/>
    <n v="150"/>
    <x v="1"/>
    <s v="Mahfuzur Rahman"/>
    <s v="Sharfuddoula"/>
    <x v="0"/>
    <x v="31"/>
    <x v="0"/>
  </r>
  <r>
    <x v="10"/>
    <x v="10"/>
    <x v="26"/>
    <x v="1"/>
    <s v="Jan 28 2025"/>
    <x v="134"/>
    <n v="10"/>
    <x v="128"/>
    <n v="1"/>
    <x v="154"/>
    <s v="Fortune Barishal"/>
    <s v="field first"/>
    <s v="Fortune Barishal"/>
    <s v="Fortune Barishal"/>
    <x v="0"/>
    <s v="Mirpur"/>
    <n v="0"/>
    <n v="9"/>
    <s v="9 wickets"/>
    <s v="Runs"/>
    <n v="9"/>
    <s v="Close Match"/>
    <n v="150"/>
    <x v="1"/>
    <s v="Mahfuzur Rahman"/>
    <s v="Sharfuddoula"/>
    <x v="1"/>
    <x v="22"/>
    <x v="1"/>
  </r>
  <r>
    <x v="10"/>
    <x v="10"/>
    <x v="24"/>
    <x v="1"/>
    <s v="Jan 30 2025"/>
    <x v="135"/>
    <n v="4"/>
    <x v="35"/>
    <n v="9"/>
    <x v="130"/>
    <s v="Khulna Tigers"/>
    <s v="bat first"/>
    <s v="Khulna Tigers"/>
    <s v="Khulna Tigers"/>
    <x v="0"/>
    <s v="Mirpur"/>
    <n v="46"/>
    <n v="0"/>
    <s v="46 runs"/>
    <s v="Wickets"/>
    <n v="46"/>
    <s v="Normal"/>
    <n v="394"/>
    <x v="0"/>
    <s v="Tanvir Ahmed"/>
    <s v="RR Wimalasiri"/>
    <x v="0"/>
    <x v="16"/>
    <x v="1"/>
  </r>
  <r>
    <x v="10"/>
    <x v="10"/>
    <x v="24"/>
    <x v="1"/>
    <s v="Jan 30 2025"/>
    <x v="135"/>
    <n v="4"/>
    <x v="35"/>
    <n v="9"/>
    <x v="130"/>
    <s v="Khulna Tigers"/>
    <s v="bat first"/>
    <s v="Khulna Tigers"/>
    <s v="Khulna Tigers"/>
    <x v="0"/>
    <s v="Mirpur"/>
    <n v="46"/>
    <n v="0"/>
    <s v="46 runs"/>
    <s v="Wickets"/>
    <n v="46"/>
    <s v="Normal"/>
    <n v="394"/>
    <x v="0"/>
    <s v="Tanvir Ahmed"/>
    <s v="RR Wimalasiri"/>
    <x v="1"/>
    <x v="6"/>
    <x v="0"/>
  </r>
  <r>
    <x v="10"/>
    <x v="10"/>
    <x v="21"/>
    <x v="1"/>
    <s v="Jan 30 2025"/>
    <x v="65"/>
    <n v="8"/>
    <x v="92"/>
    <n v="10"/>
    <x v="156"/>
    <s v="Sylhet Strikers"/>
    <s v="field first"/>
    <s v="Chittagong Kings"/>
    <s v="Chittagong Kings"/>
    <x v="0"/>
    <s v="Mirpur"/>
    <n v="96"/>
    <n v="0"/>
    <s v="96 runs"/>
    <s v="Wickets"/>
    <n v="96"/>
    <s v="Normal"/>
    <n v="296"/>
    <x v="0"/>
    <s v="Gazi Sohel"/>
    <s v="Morshed Ali Khan"/>
    <x v="0"/>
    <x v="4"/>
    <x v="1"/>
  </r>
  <r>
    <x v="10"/>
    <x v="10"/>
    <x v="21"/>
    <x v="1"/>
    <s v="Jan 30 2025"/>
    <x v="65"/>
    <n v="8"/>
    <x v="92"/>
    <n v="10"/>
    <x v="156"/>
    <s v="Sylhet Strikers"/>
    <s v="field first"/>
    <s v="Chittagong Kings"/>
    <s v="Chittagong Kings"/>
    <x v="0"/>
    <s v="Mirpur"/>
    <n v="96"/>
    <n v="0"/>
    <s v="96 runs"/>
    <s v="Wickets"/>
    <n v="96"/>
    <s v="Normal"/>
    <n v="296"/>
    <x v="0"/>
    <s v="Gazi Sohel"/>
    <s v="Morshed Ali Khan"/>
    <x v="1"/>
    <x v="25"/>
    <x v="0"/>
  </r>
  <r>
    <x v="10"/>
    <x v="10"/>
    <x v="19"/>
    <x v="1"/>
    <s v="Feb 1 2025"/>
    <x v="52"/>
    <n v="9"/>
    <x v="51"/>
    <n v="4"/>
    <x v="97"/>
    <s v="Dhaka Capital"/>
    <s v="bat first"/>
    <s v="Khulna Tigers"/>
    <s v="Khulna Tigers"/>
    <x v="0"/>
    <s v="Mirpur"/>
    <n v="0"/>
    <n v="6"/>
    <s v="6 wickets"/>
    <s v="Runs"/>
    <n v="6"/>
    <s v="Close Match"/>
    <n v="251"/>
    <x v="0"/>
    <s v="Mahfuzur Rahman"/>
    <s v="Morshed Ali Khan"/>
    <x v="0"/>
    <x v="31"/>
    <x v="0"/>
  </r>
  <r>
    <x v="10"/>
    <x v="10"/>
    <x v="19"/>
    <x v="1"/>
    <s v="Feb 1 2025"/>
    <x v="52"/>
    <n v="9"/>
    <x v="51"/>
    <n v="4"/>
    <x v="97"/>
    <s v="Dhaka Capital"/>
    <s v="bat first"/>
    <s v="Khulna Tigers"/>
    <s v="Khulna Tigers"/>
    <x v="0"/>
    <s v="Mirpur"/>
    <n v="0"/>
    <n v="6"/>
    <s v="6 wickets"/>
    <s v="Runs"/>
    <n v="6"/>
    <s v="Close Match"/>
    <n v="251"/>
    <x v="0"/>
    <s v="Mahfuzur Rahman"/>
    <s v="Morshed Ali Khan"/>
    <x v="1"/>
    <x v="16"/>
    <x v="1"/>
  </r>
  <r>
    <x v="10"/>
    <x v="10"/>
    <x v="17"/>
    <x v="1"/>
    <s v="Feb 1 2025"/>
    <x v="38"/>
    <n v="4"/>
    <x v="1"/>
    <n v="7"/>
    <x v="185"/>
    <s v="Fortune Barishal"/>
    <s v="field first"/>
    <s v="Chittagong Kings"/>
    <s v="Chittagong Kings"/>
    <x v="0"/>
    <s v="Mirpur"/>
    <n v="24"/>
    <n v="0"/>
    <s v="24 runs"/>
    <s v="Wickets"/>
    <n v="24"/>
    <s v="Normal"/>
    <n v="388"/>
    <x v="0"/>
    <s v="Masudur Rahman"/>
    <s v="RR Wimalasiri"/>
    <x v="0"/>
    <x v="4"/>
    <x v="1"/>
  </r>
  <r>
    <x v="10"/>
    <x v="10"/>
    <x v="17"/>
    <x v="1"/>
    <s v="Feb 1 2025"/>
    <x v="38"/>
    <n v="4"/>
    <x v="1"/>
    <n v="7"/>
    <x v="185"/>
    <s v="Fortune Barishal"/>
    <s v="field first"/>
    <s v="Chittagong Kings"/>
    <s v="Chittagong Kings"/>
    <x v="0"/>
    <s v="Mirpur"/>
    <n v="24"/>
    <n v="0"/>
    <s v="24 runs"/>
    <s v="Wickets"/>
    <n v="24"/>
    <s v="Normal"/>
    <n v="388"/>
    <x v="0"/>
    <s v="Masudur Rahman"/>
    <s v="RR Wimalasiri"/>
    <x v="1"/>
    <x v="22"/>
    <x v="0"/>
  </r>
  <r>
    <x v="10"/>
    <x v="10"/>
    <x v="31"/>
    <x v="1"/>
    <s v="Feb 3 2025"/>
    <x v="136"/>
    <n v="10"/>
    <x v="76"/>
    <n v="1"/>
    <x v="134"/>
    <s v="Rangpur Riders"/>
    <s v="bat first"/>
    <s v="Khulna Tigers"/>
    <s v="Khulna Tigers"/>
    <x v="0"/>
    <s v="Mirpur"/>
    <n v="0"/>
    <n v="9"/>
    <s v="9 wickets"/>
    <s v="Runs"/>
    <n v="9"/>
    <s v="Close Match"/>
    <n v="174"/>
    <x v="0"/>
    <s v="RR Wimalasiri"/>
    <s v="Masudur Rahman"/>
    <x v="0"/>
    <x v="6"/>
    <x v="0"/>
  </r>
  <r>
    <x v="10"/>
    <x v="10"/>
    <x v="31"/>
    <x v="1"/>
    <s v="Feb 3 2025"/>
    <x v="136"/>
    <n v="10"/>
    <x v="76"/>
    <n v="1"/>
    <x v="134"/>
    <s v="Rangpur Riders"/>
    <s v="bat first"/>
    <s v="Khulna Tigers"/>
    <s v="Khulna Tigers"/>
    <x v="0"/>
    <s v="Mirpur"/>
    <n v="0"/>
    <n v="9"/>
    <s v="9 wickets"/>
    <s v="Runs"/>
    <n v="9"/>
    <s v="Close Match"/>
    <n v="174"/>
    <x v="0"/>
    <s v="RR Wimalasiri"/>
    <s v="Masudur Rahman"/>
    <x v="1"/>
    <x v="16"/>
    <x v="1"/>
  </r>
  <r>
    <x v="10"/>
    <x v="10"/>
    <x v="56"/>
    <x v="1"/>
    <s v="Feb 3 2025"/>
    <x v="11"/>
    <n v="9"/>
    <x v="11"/>
    <n v="1"/>
    <x v="186"/>
    <s v="Fortune Barishal"/>
    <s v="field first"/>
    <s v="Fortune Barishal"/>
    <s v="Fortune Barishal"/>
    <x v="0"/>
    <s v="Mirpur"/>
    <n v="0"/>
    <n v="9"/>
    <s v="9 wickets"/>
    <s v="Runs"/>
    <n v="9"/>
    <s v="Close Match"/>
    <n v="299"/>
    <x v="0"/>
    <s v="Asif Yaqoob"/>
    <s v="Morshed Ali Khan"/>
    <x v="0"/>
    <x v="4"/>
    <x v="0"/>
  </r>
  <r>
    <x v="10"/>
    <x v="10"/>
    <x v="56"/>
    <x v="1"/>
    <s v="Feb 3 2025"/>
    <x v="11"/>
    <n v="9"/>
    <x v="11"/>
    <n v="1"/>
    <x v="186"/>
    <s v="Fortune Barishal"/>
    <s v="field first"/>
    <s v="Fortune Barishal"/>
    <s v="Fortune Barishal"/>
    <x v="0"/>
    <s v="Mirpur"/>
    <n v="0"/>
    <n v="9"/>
    <s v="9 wickets"/>
    <s v="Runs"/>
    <n v="9"/>
    <s v="Close Match"/>
    <n v="299"/>
    <x v="0"/>
    <s v="Asif Yaqoob"/>
    <s v="Morshed Ali Khan"/>
    <x v="1"/>
    <x v="22"/>
    <x v="1"/>
  </r>
  <r>
    <x v="10"/>
    <x v="10"/>
    <x v="57"/>
    <x v="1"/>
    <s v="Feb 5 2025"/>
    <x v="31"/>
    <n v="6"/>
    <x v="95"/>
    <n v="8"/>
    <x v="121"/>
    <s v="Chittagong Kings"/>
    <s v="field first"/>
    <s v="Chittagong Kings"/>
    <s v="Chittagong Kings"/>
    <x v="0"/>
    <s v="Mirpur"/>
    <n v="0"/>
    <n v="2"/>
    <s v="2 wickets"/>
    <s v="Runs"/>
    <n v="2"/>
    <s v="Close Match"/>
    <n v="327"/>
    <x v="0"/>
    <s v="Gazi Sohel"/>
    <s v="RR Wimalasiri"/>
    <x v="0"/>
    <x v="16"/>
    <x v="0"/>
  </r>
  <r>
    <x v="10"/>
    <x v="10"/>
    <x v="57"/>
    <x v="1"/>
    <s v="Feb 5 2025"/>
    <x v="31"/>
    <n v="6"/>
    <x v="95"/>
    <n v="8"/>
    <x v="121"/>
    <s v="Chittagong Kings"/>
    <s v="field first"/>
    <s v="Chittagong Kings"/>
    <s v="Chittagong Kings"/>
    <x v="0"/>
    <s v="Mirpur"/>
    <n v="0"/>
    <n v="2"/>
    <s v="2 wickets"/>
    <s v="Runs"/>
    <n v="2"/>
    <s v="Close Match"/>
    <n v="327"/>
    <x v="0"/>
    <s v="Gazi Sohel"/>
    <s v="RR Wimalasiri"/>
    <x v="1"/>
    <x v="4"/>
    <x v="1"/>
  </r>
  <r>
    <x v="10"/>
    <x v="10"/>
    <x v="0"/>
    <x v="0"/>
    <s v="Feb 7 2025"/>
    <x v="47"/>
    <n v="7"/>
    <x v="99"/>
    <n v="7"/>
    <x v="48"/>
    <s v="Fortune Barishal"/>
    <s v="field first"/>
    <s v="Fortune Barishal"/>
    <s v="Fortune Barishal"/>
    <x v="0"/>
    <s v="Mirpur"/>
    <n v="0"/>
    <n v="3"/>
    <s v="3 wickets"/>
    <s v="Runs"/>
    <n v="3"/>
    <s v="Close Match"/>
    <n v="389"/>
    <x v="0"/>
    <s v="Gazi Sohel"/>
    <s v="Masudur Rahman"/>
    <x v="0"/>
    <x v="4"/>
    <x v="0"/>
  </r>
  <r>
    <x v="10"/>
    <x v="10"/>
    <x v="0"/>
    <x v="0"/>
    <s v="Feb 7 2025"/>
    <x v="47"/>
    <n v="7"/>
    <x v="99"/>
    <n v="7"/>
    <x v="48"/>
    <s v="Fortune Barishal"/>
    <s v="field first"/>
    <s v="Fortune Barishal"/>
    <s v="Fortune Barishal"/>
    <x v="0"/>
    <s v="Mirpur"/>
    <n v="0"/>
    <n v="3"/>
    <s v="3 wickets"/>
    <s v="Runs"/>
    <n v="3"/>
    <s v="Close Match"/>
    <n v="389"/>
    <x v="0"/>
    <s v="Gazi Sohel"/>
    <s v="Masudur Rahman"/>
    <x v="1"/>
    <x v="2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23105-8174-4F52-BBC9-3296F3D4FD65}" name="Avg Total Runs by 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21:B333" firstHeaderRow="1" firstDataRow="1" firstDataCol="1"/>
  <pivotFields count="30">
    <pivotField showAll="0">
      <items count="12">
        <item x="0"/>
        <item x="1"/>
        <item x="2"/>
        <item x="3"/>
        <item x="4"/>
        <item x="5"/>
        <item x="6"/>
        <item x="7"/>
        <item x="8"/>
        <item x="9"/>
        <item x="10"/>
        <item t="default"/>
      </items>
    </pivotField>
    <pivotField axis="axisRow" showAll="0">
      <items count="12">
        <item x="0"/>
        <item x="1"/>
        <item x="2"/>
        <item x="3"/>
        <item x="4"/>
        <item x="5"/>
        <item x="6"/>
        <item x="7"/>
        <item x="8"/>
        <item x="9"/>
        <item x="1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1"/>
  </rowFields>
  <rowItems count="12">
    <i>
      <x/>
    </i>
    <i>
      <x v="1"/>
    </i>
    <i>
      <x v="2"/>
    </i>
    <i>
      <x v="3"/>
    </i>
    <i>
      <x v="4"/>
    </i>
    <i>
      <x v="5"/>
    </i>
    <i>
      <x v="6"/>
    </i>
    <i>
      <x v="7"/>
    </i>
    <i>
      <x v="8"/>
    </i>
    <i>
      <x v="9"/>
    </i>
    <i>
      <x v="10"/>
    </i>
    <i t="grand">
      <x/>
    </i>
  </rowItems>
  <colItems count="1">
    <i/>
  </colItems>
  <dataFields count="1">
    <dataField name="Average of Total_Runs" fld="22" subtotal="average" baseField="1" baseItem="0" numFmtId="1"/>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FB16F-159B-4863-80A6-1B18FD3D6D54}" name="170+ Matches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342:B354" firstHeaderRow="1" firstDataRow="1" firstDataCol="1"/>
  <pivotFields count="30">
    <pivotField showAll="0">
      <items count="12">
        <item x="0"/>
        <item x="1"/>
        <item x="2"/>
        <item x="3"/>
        <item x="4"/>
        <item x="5"/>
        <item x="6"/>
        <item x="7"/>
        <item x="8"/>
        <item x="9"/>
        <item x="10"/>
        <item t="default"/>
      </items>
    </pivotField>
    <pivotField axis="axisRow" showAll="0">
      <items count="12">
        <item x="0"/>
        <item x="1"/>
        <item x="2"/>
        <item x="3"/>
        <item x="4"/>
        <item x="5"/>
        <item x="6"/>
        <item x="7"/>
        <item x="8"/>
        <item x="9"/>
        <item x="1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1"/>
  </rowFields>
  <rowItems count="12">
    <i>
      <x/>
    </i>
    <i>
      <x v="1"/>
    </i>
    <i>
      <x v="2"/>
    </i>
    <i>
      <x v="3"/>
    </i>
    <i>
      <x v="4"/>
    </i>
    <i>
      <x v="5"/>
    </i>
    <i>
      <x v="6"/>
    </i>
    <i>
      <x v="7"/>
    </i>
    <i>
      <x v="8"/>
    </i>
    <i>
      <x v="9"/>
    </i>
    <i>
      <x v="10"/>
    </i>
    <i t="grand">
      <x/>
    </i>
  </rowItems>
  <colItems count="1">
    <i/>
  </colItems>
  <dataFields count="1">
    <dataField name="Count of High_Scoring_Flag" fld="23" subtotal="count" baseField="0" baseItem="0"/>
  </dataFields>
  <chartFormats count="12">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1" count="1" selected="0">
            <x v="0"/>
          </reference>
        </references>
      </pivotArea>
    </chartFormat>
    <chartFormat chart="3" format="26">
      <pivotArea type="data" outline="0" fieldPosition="0">
        <references count="2">
          <reference field="4294967294" count="1" selected="0">
            <x v="0"/>
          </reference>
          <reference field="1" count="1" selected="0">
            <x v="1"/>
          </reference>
        </references>
      </pivotArea>
    </chartFormat>
    <chartFormat chart="3" format="27">
      <pivotArea type="data" outline="0" fieldPosition="0">
        <references count="2">
          <reference field="4294967294" count="1" selected="0">
            <x v="0"/>
          </reference>
          <reference field="1" count="1" selected="0">
            <x v="2"/>
          </reference>
        </references>
      </pivotArea>
    </chartFormat>
    <chartFormat chart="3" format="28">
      <pivotArea type="data" outline="0" fieldPosition="0">
        <references count="2">
          <reference field="4294967294" count="1" selected="0">
            <x v="0"/>
          </reference>
          <reference field="1" count="1" selected="0">
            <x v="3"/>
          </reference>
        </references>
      </pivotArea>
    </chartFormat>
    <chartFormat chart="3" format="29">
      <pivotArea type="data" outline="0" fieldPosition="0">
        <references count="2">
          <reference field="4294967294" count="1" selected="0">
            <x v="0"/>
          </reference>
          <reference field="1" count="1" selected="0">
            <x v="4"/>
          </reference>
        </references>
      </pivotArea>
    </chartFormat>
    <chartFormat chart="3" format="30">
      <pivotArea type="data" outline="0" fieldPosition="0">
        <references count="2">
          <reference field="4294967294" count="1" selected="0">
            <x v="0"/>
          </reference>
          <reference field="1" count="1" selected="0">
            <x v="5"/>
          </reference>
        </references>
      </pivotArea>
    </chartFormat>
    <chartFormat chart="3" format="31">
      <pivotArea type="data" outline="0" fieldPosition="0">
        <references count="2">
          <reference field="4294967294" count="1" selected="0">
            <x v="0"/>
          </reference>
          <reference field="1" count="1" selected="0">
            <x v="6"/>
          </reference>
        </references>
      </pivotArea>
    </chartFormat>
    <chartFormat chart="3" format="32">
      <pivotArea type="data" outline="0" fieldPosition="0">
        <references count="2">
          <reference field="4294967294" count="1" selected="0">
            <x v="0"/>
          </reference>
          <reference field="1" count="1" selected="0">
            <x v="7"/>
          </reference>
        </references>
      </pivotArea>
    </chartFormat>
    <chartFormat chart="3" format="33">
      <pivotArea type="data" outline="0" fieldPosition="0">
        <references count="2">
          <reference field="4294967294" count="1" selected="0">
            <x v="0"/>
          </reference>
          <reference field="1" count="1" selected="0">
            <x v="8"/>
          </reference>
        </references>
      </pivotArea>
    </chartFormat>
    <chartFormat chart="3" format="34">
      <pivotArea type="data" outline="0" fieldPosition="0">
        <references count="2">
          <reference field="4294967294" count="1" selected="0">
            <x v="0"/>
          </reference>
          <reference field="1" count="1" selected="0">
            <x v="9"/>
          </reference>
        </references>
      </pivotArea>
    </chartFormat>
    <chartFormat chart="3" format="35">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C9512-7A6F-426F-947F-3BC39DADDFB6}" name="PivotTable4"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location ref="A404:B416" firstHeaderRow="1" firstDataRow="1" firstDataCol="1"/>
  <pivotFields count="30">
    <pivotField showAll="0">
      <items count="12">
        <item x="0"/>
        <item x="1"/>
        <item x="2"/>
        <item x="3"/>
        <item x="4"/>
        <item x="5"/>
        <item x="6"/>
        <item x="7"/>
        <item x="8"/>
        <item x="9"/>
        <item x="10"/>
        <item t="default"/>
      </items>
    </pivotField>
    <pivotField axis="axisRow" showAll="0">
      <items count="12">
        <item x="0"/>
        <item x="1"/>
        <item x="2"/>
        <item x="3"/>
        <item x="4"/>
        <item x="5"/>
        <item x="6"/>
        <item x="7"/>
        <item x="8"/>
        <item x="9"/>
        <item x="10"/>
        <item t="default"/>
      </items>
    </pivotField>
    <pivotField showAll="0">
      <items count="59">
        <item x="32"/>
        <item x="30"/>
        <item x="28"/>
        <item x="27"/>
        <item x="25"/>
        <item x="23"/>
        <item x="22"/>
        <item x="20"/>
        <item x="18"/>
        <item x="16"/>
        <item x="2"/>
        <item x="50"/>
        <item x="14"/>
        <item x="12"/>
        <item x="11"/>
        <item x="9"/>
        <item x="8"/>
        <item x="7"/>
        <item x="6"/>
        <item x="5"/>
        <item x="4"/>
        <item x="3"/>
        <item x="1"/>
        <item x="49"/>
        <item x="51"/>
        <item x="48"/>
        <item x="47"/>
        <item x="53"/>
        <item x="46"/>
        <item x="45"/>
        <item x="44"/>
        <item x="43"/>
        <item x="42"/>
        <item x="41"/>
        <item x="26"/>
        <item x="24"/>
        <item x="39"/>
        <item x="21"/>
        <item x="19"/>
        <item x="17"/>
        <item x="38"/>
        <item x="37"/>
        <item x="36"/>
        <item x="35"/>
        <item x="34"/>
        <item x="33"/>
        <item x="13"/>
        <item x="31"/>
        <item x="40"/>
        <item x="0"/>
        <item x="52"/>
        <item x="29"/>
        <item x="56"/>
        <item x="57"/>
        <item x="54"/>
        <item x="55"/>
        <item x="15"/>
        <item x="1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1"/>
  </rowFields>
  <rowItems count="12">
    <i>
      <x/>
    </i>
    <i>
      <x v="1"/>
    </i>
    <i>
      <x v="2"/>
    </i>
    <i>
      <x v="3"/>
    </i>
    <i>
      <x v="4"/>
    </i>
    <i>
      <x v="5"/>
    </i>
    <i>
      <x v="6"/>
    </i>
    <i>
      <x v="7"/>
    </i>
    <i>
      <x v="8"/>
    </i>
    <i>
      <x v="9"/>
    </i>
    <i>
      <x v="10"/>
    </i>
    <i t="grand">
      <x/>
    </i>
  </rowItems>
  <colItems count="1">
    <i/>
  </colItems>
  <dataFields count="1">
    <dataField name="Average of Total_Runs" fld="22" subtotal="average" baseField="14" baseItem="0" numFmtId="1"/>
  </dataFields>
  <formats count="1">
    <format dxfId="3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B5DDEB-C114-4E5F-A382-F3FE415E53DD}" name="Close Match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61:B373" firstHeaderRow="1" firstDataRow="1" firstDataCol="1"/>
  <pivotFields count="30">
    <pivotField showAll="0">
      <items count="12">
        <item x="0"/>
        <item x="1"/>
        <item x="2"/>
        <item x="3"/>
        <item x="4"/>
        <item x="5"/>
        <item x="6"/>
        <item x="7"/>
        <item x="8"/>
        <item x="9"/>
        <item x="10"/>
        <item t="default"/>
      </items>
    </pivotField>
    <pivotField axis="axisRow" showAll="0">
      <items count="12">
        <item x="0"/>
        <item x="1"/>
        <item x="2"/>
        <item x="3"/>
        <item x="4"/>
        <item x="5"/>
        <item x="6"/>
        <item x="7"/>
        <item x="8"/>
        <item x="9"/>
        <item x="1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1"/>
  </rowFields>
  <rowItems count="12">
    <i>
      <x/>
    </i>
    <i>
      <x v="1"/>
    </i>
    <i>
      <x v="2"/>
    </i>
    <i>
      <x v="3"/>
    </i>
    <i>
      <x v="4"/>
    </i>
    <i>
      <x v="5"/>
    </i>
    <i>
      <x v="6"/>
    </i>
    <i>
      <x v="7"/>
    </i>
    <i>
      <x v="8"/>
    </i>
    <i>
      <x v="9"/>
    </i>
    <i>
      <x v="10"/>
    </i>
    <i t="grand">
      <x/>
    </i>
  </rowItems>
  <colItems count="1">
    <i/>
  </colItems>
  <dataFields count="1">
    <dataField name="Count of Close_Match_Flag" fld="2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ECDAB-151B-42AB-9B68-B449F238A74E}" name="Win % Calcul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eam_Name">
  <location ref="A43:C76" firstHeaderRow="0" firstDataRow="1" firstDataCol="1"/>
  <pivotFields count="30">
    <pivotField showAll="0">
      <items count="12">
        <item x="0"/>
        <item x="1"/>
        <item x="2"/>
        <item x="3"/>
        <item x="4"/>
        <item x="5"/>
        <item x="6"/>
        <item x="7"/>
        <item x="8"/>
        <item x="9"/>
        <item x="1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dataField="1" showAll="0"/>
    <pivotField dragToRow="0" dragToCol="0" dragToPage="0" showAll="0" defaultSubtotal="0"/>
  </pivotFields>
  <rowFields count="1">
    <field x="27"/>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Count of Team_Name" fld="27" subtotal="count" baseField="0" baseItem="0"/>
    <dataField name="Sum of Win_Flag" fld="28"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150645-F71E-4B38-933B-DDB6D942980F}" name="Total Wi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rrect_Winner">
  <location ref="A2:B35" firstHeaderRow="1" firstDataRow="1" firstDataCol="1"/>
  <pivotFields count="28">
    <pivotField showAll="0"/>
    <pivotField showAll="0"/>
    <pivotField dataField="1" showAll="0">
      <items count="59">
        <item x="32"/>
        <item x="30"/>
        <item x="28"/>
        <item x="27"/>
        <item x="25"/>
        <item x="23"/>
        <item x="22"/>
        <item x="20"/>
        <item x="18"/>
        <item x="16"/>
        <item x="2"/>
        <item x="50"/>
        <item x="14"/>
        <item x="12"/>
        <item x="11"/>
        <item x="9"/>
        <item x="8"/>
        <item x="7"/>
        <item x="6"/>
        <item x="5"/>
        <item x="4"/>
        <item x="3"/>
        <item x="1"/>
        <item x="49"/>
        <item x="51"/>
        <item x="48"/>
        <item x="47"/>
        <item x="53"/>
        <item x="46"/>
        <item x="45"/>
        <item x="44"/>
        <item x="43"/>
        <item x="42"/>
        <item x="41"/>
        <item x="26"/>
        <item x="24"/>
        <item x="39"/>
        <item x="21"/>
        <item x="19"/>
        <item x="17"/>
        <item x="38"/>
        <item x="37"/>
        <item x="36"/>
        <item x="35"/>
        <item x="34"/>
        <item x="33"/>
        <item x="13"/>
        <item x="31"/>
        <item x="40"/>
        <item x="0"/>
        <item x="52"/>
        <item x="29"/>
        <item x="56"/>
        <item x="57"/>
        <item x="54"/>
        <item x="55"/>
        <item x="1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3">
        <item x="7"/>
        <item x="1"/>
        <item x="17"/>
        <item x="4"/>
        <item x="13"/>
        <item x="6"/>
        <item x="29"/>
        <item x="22"/>
        <item x="31"/>
        <item x="26"/>
        <item x="10"/>
        <item x="0"/>
        <item x="19"/>
        <item x="30"/>
        <item x="27"/>
        <item x="2"/>
        <item x="20"/>
        <item x="28"/>
        <item x="5"/>
        <item x="16"/>
        <item x="12"/>
        <item x="21"/>
        <item x="11"/>
        <item x="15"/>
        <item x="18"/>
        <item x="9"/>
        <item x="3"/>
        <item x="14"/>
        <item x="25"/>
        <item x="24"/>
        <item x="8"/>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match_n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3A3FF0-CC9F-4899-85DA-6EA7D3D6F55D}" name="Venue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venue">
  <location ref="A393:B399" firstHeaderRow="1" firstDataRow="1" firstDataCol="1"/>
  <pivotFields count="3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59">
        <item x="32"/>
        <item x="30"/>
        <item x="28"/>
        <item x="27"/>
        <item x="25"/>
        <item x="23"/>
        <item x="22"/>
        <item x="20"/>
        <item x="18"/>
        <item x="16"/>
        <item x="2"/>
        <item x="50"/>
        <item x="14"/>
        <item x="12"/>
        <item x="11"/>
        <item x="9"/>
        <item x="8"/>
        <item x="7"/>
        <item x="6"/>
        <item x="5"/>
        <item x="4"/>
        <item x="3"/>
        <item x="1"/>
        <item x="49"/>
        <item x="51"/>
        <item x="48"/>
        <item x="47"/>
        <item x="53"/>
        <item x="46"/>
        <item x="45"/>
        <item x="44"/>
        <item x="43"/>
        <item x="42"/>
        <item x="41"/>
        <item x="26"/>
        <item x="24"/>
        <item x="39"/>
        <item x="21"/>
        <item x="19"/>
        <item x="17"/>
        <item x="38"/>
        <item x="37"/>
        <item x="36"/>
        <item x="35"/>
        <item x="34"/>
        <item x="33"/>
        <item x="13"/>
        <item x="31"/>
        <item x="40"/>
        <item x="0"/>
        <item x="52"/>
        <item x="29"/>
        <item x="56"/>
        <item x="57"/>
        <item x="54"/>
        <item x="55"/>
        <item x="15"/>
        <item x="1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3"/>
        <item x="0"/>
        <item x="4"/>
        <item x="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14"/>
  </rowFields>
  <rowItems count="6">
    <i>
      <x/>
    </i>
    <i>
      <x v="1"/>
    </i>
    <i>
      <x v="2"/>
    </i>
    <i>
      <x v="3"/>
    </i>
    <i>
      <x v="4"/>
    </i>
    <i t="grand">
      <x/>
    </i>
  </rowItems>
  <colItems count="1">
    <i/>
  </colItems>
  <dataFields count="1">
    <dataField name="Average of Total_Runs" fld="22" subtotal="average" baseField="14" baseItem="0" numFmtId="1"/>
  </dataFields>
  <formats count="1">
    <format dxfId="3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4" count="1" selected="0">
            <x v="0"/>
          </reference>
        </references>
      </pivotArea>
    </chartFormat>
    <chartFormat chart="6" format="9">
      <pivotArea type="data" outline="0" fieldPosition="0">
        <references count="2">
          <reference field="4294967294" count="1" selected="0">
            <x v="0"/>
          </reference>
          <reference field="14" count="1" selected="0">
            <x v="1"/>
          </reference>
        </references>
      </pivotArea>
    </chartFormat>
    <chartFormat chart="6" format="10">
      <pivotArea type="data" outline="0" fieldPosition="0">
        <references count="2">
          <reference field="4294967294" count="1" selected="0">
            <x v="0"/>
          </reference>
          <reference field="14" count="1" selected="0">
            <x v="2"/>
          </reference>
        </references>
      </pivotArea>
    </chartFormat>
    <chartFormat chart="6" format="11">
      <pivotArea type="data" outline="0" fieldPosition="0">
        <references count="2">
          <reference field="4294967294" count="1" selected="0">
            <x v="0"/>
          </reference>
          <reference field="14" count="1" selected="0">
            <x v="3"/>
          </reference>
        </references>
      </pivotArea>
    </chartFormat>
    <chartFormat chart="6"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081A19-CD65-43B6-BFF9-F473C953C783}" name="Average Score Per Tea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_Name">
  <location ref="A84:D117" firstHeaderRow="0" firstDataRow="1" firstDataCol="1"/>
  <pivotFields count="30">
    <pivotField showAll="0">
      <items count="12">
        <item x="0"/>
        <item x="1"/>
        <item x="2"/>
        <item x="3"/>
        <item x="4"/>
        <item x="5"/>
        <item x="6"/>
        <item x="7"/>
        <item x="8"/>
        <item x="9"/>
        <item x="10"/>
        <item t="default"/>
      </items>
    </pivotField>
    <pivotField showAll="0"/>
    <pivotField dataField="1" showAll="0"/>
    <pivotField showAll="0">
      <items count="4">
        <item x="2"/>
        <item x="0"/>
        <item x="1"/>
        <item t="default"/>
      </items>
    </pivotField>
    <pivotField showAll="0"/>
    <pivotField dataField="1" showAll="0"/>
    <pivotField showAll="0"/>
    <pivotField dataField="1"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27"/>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3">
    <i>
      <x/>
    </i>
    <i i="1">
      <x v="1"/>
    </i>
    <i i="2">
      <x v="2"/>
    </i>
  </colItems>
  <dataFields count="3">
    <dataField name="Average of team_1_score" fld="5" subtotal="average" baseField="0" baseItem="1"/>
    <dataField name="Average of team_2_score" fld="7" subtotal="average" baseField="0" baseItem="1"/>
    <dataField name="Count of match_no" fld="2" subtotal="count" baseField="26"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2EE122-15B9-4391-88BD-5B2CBA390BFB}" name="Player_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layer_of_match">
  <location ref="A127:B133" firstHeaderRow="1" firstDataRow="1" firstDataCol="1"/>
  <pivotFields count="30">
    <pivotField showAll="0">
      <items count="12">
        <item x="0"/>
        <item x="1"/>
        <item x="2"/>
        <item x="3"/>
        <item x="4"/>
        <item x="5"/>
        <item x="6"/>
        <item x="7"/>
        <item x="8"/>
        <item x="9"/>
        <item x="10"/>
        <item t="default"/>
      </items>
    </pivotField>
    <pivotField showAll="0"/>
    <pivotField showAll="0"/>
    <pivotField showAll="0">
      <items count="4">
        <item x="2"/>
        <item x="0"/>
        <item x="1"/>
        <item t="default"/>
      </items>
    </pivotField>
    <pivotField showAll="0"/>
    <pivotField showAll="0"/>
    <pivotField showAll="0"/>
    <pivotField showAll="0"/>
    <pivotField showAll="0"/>
    <pivotField axis="axisRow" dataField="1" showAll="0" measureFilter="1" sortType="ascending">
      <items count="188">
        <item x="165"/>
        <item x="115"/>
        <item x="172"/>
        <item x="112"/>
        <item x="94"/>
        <item x="40"/>
        <item x="2"/>
        <item x="179"/>
        <item x="121"/>
        <item x="29"/>
        <item x="117"/>
        <item x="75"/>
        <item x="25"/>
        <item x="33"/>
        <item x="64"/>
        <item x="21"/>
        <item x="85"/>
        <item x="46"/>
        <item x="30"/>
        <item x="1"/>
        <item x="147"/>
        <item x="162"/>
        <item x="133"/>
        <item x="163"/>
        <item x="4"/>
        <item x="71"/>
        <item x="56"/>
        <item x="129"/>
        <item x="79"/>
        <item x="14"/>
        <item x="161"/>
        <item x="81"/>
        <item x="113"/>
        <item x="70"/>
        <item x="38"/>
        <item x="78"/>
        <item x="131"/>
        <item x="118"/>
        <item x="101"/>
        <item x="9"/>
        <item x="32"/>
        <item x="53"/>
        <item x="83"/>
        <item x="50"/>
        <item x="65"/>
        <item x="182"/>
        <item x="114"/>
        <item x="77"/>
        <item x="178"/>
        <item x="184"/>
        <item x="17"/>
        <item x="82"/>
        <item x="153"/>
        <item x="166"/>
        <item x="108"/>
        <item x="125"/>
        <item x="123"/>
        <item x="142"/>
        <item x="144"/>
        <item x="0"/>
        <item x="168"/>
        <item x="111"/>
        <item x="122"/>
        <item x="176"/>
        <item x="35"/>
        <item x="167"/>
        <item x="22"/>
        <item x="42"/>
        <item x="15"/>
        <item x="68"/>
        <item x="89"/>
        <item x="158"/>
        <item x="145"/>
        <item x="31"/>
        <item x="36"/>
        <item x="170"/>
        <item x="55"/>
        <item x="60"/>
        <item x="44"/>
        <item x="45"/>
        <item x="104"/>
        <item x="173"/>
        <item x="136"/>
        <item x="28"/>
        <item x="23"/>
        <item x="92"/>
        <item x="160"/>
        <item x="67"/>
        <item x="100"/>
        <item x="97"/>
        <item x="95"/>
        <item x="137"/>
        <item x="186"/>
        <item x="57"/>
        <item x="69"/>
        <item x="47"/>
        <item x="80"/>
        <item x="130"/>
        <item x="116"/>
        <item x="148"/>
        <item x="54"/>
        <item x="3"/>
        <item x="99"/>
        <item x="41"/>
        <item x="11"/>
        <item x="102"/>
        <item x="8"/>
        <item x="66"/>
        <item x="126"/>
        <item x="152"/>
        <item x="26"/>
        <item x="63"/>
        <item x="96"/>
        <item x="74"/>
        <item x="174"/>
        <item x="132"/>
        <item x="157"/>
        <item x="59"/>
        <item x="149"/>
        <item x="13"/>
        <item x="24"/>
        <item x="134"/>
        <item x="76"/>
        <item x="105"/>
        <item x="106"/>
        <item x="150"/>
        <item x="91"/>
        <item x="84"/>
        <item x="185"/>
        <item x="19"/>
        <item x="6"/>
        <item x="39"/>
        <item x="34"/>
        <item x="58"/>
        <item x="139"/>
        <item x="164"/>
        <item x="109"/>
        <item x="181"/>
        <item x="62"/>
        <item x="143"/>
        <item x="120"/>
        <item x="49"/>
        <item x="177"/>
        <item x="10"/>
        <item x="27"/>
        <item x="175"/>
        <item x="37"/>
        <item x="20"/>
        <item x="5"/>
        <item x="61"/>
        <item x="90"/>
        <item x="93"/>
        <item x="43"/>
        <item x="72"/>
        <item x="16"/>
        <item x="135"/>
        <item x="73"/>
        <item x="124"/>
        <item x="18"/>
        <item x="86"/>
        <item x="146"/>
        <item x="128"/>
        <item x="156"/>
        <item x="98"/>
        <item x="107"/>
        <item x="183"/>
        <item x="7"/>
        <item x="88"/>
        <item x="51"/>
        <item x="180"/>
        <item x="119"/>
        <item x="48"/>
        <item x="154"/>
        <item x="171"/>
        <item x="159"/>
        <item x="155"/>
        <item x="12"/>
        <item x="103"/>
        <item x="87"/>
        <item x="140"/>
        <item x="52"/>
        <item x="141"/>
        <item x="127"/>
        <item x="169"/>
        <item x="138"/>
        <item x="110"/>
        <item x="151"/>
        <item t="default"/>
      </items>
    </pivotField>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9"/>
  </rowFields>
  <rowItems count="6">
    <i>
      <x v="83"/>
    </i>
    <i>
      <x v="89"/>
    </i>
    <i>
      <x v="110"/>
    </i>
    <i>
      <x v="154"/>
    </i>
    <i>
      <x v="171"/>
    </i>
    <i t="grand">
      <x/>
    </i>
  </rowItems>
  <colItems count="1">
    <i/>
  </colItems>
  <dataFields count="1">
    <dataField name="Count of player_of_match" fld="9" subtotal="count" baseField="9" baseItem="0"/>
  </dataFields>
  <formats count="1">
    <format dxfId="34">
      <pivotArea outline="0" collapsedLevelsAreSubtotals="1" fieldPosition="0"/>
    </format>
  </formats>
  <chartFormats count="6">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9" count="1" selected="0">
            <x v="83"/>
          </reference>
        </references>
      </pivotArea>
    </chartFormat>
    <chartFormat chart="7" format="14">
      <pivotArea type="data" outline="0" fieldPosition="0">
        <references count="2">
          <reference field="4294967294" count="1" selected="0">
            <x v="0"/>
          </reference>
          <reference field="9" count="1" selected="0">
            <x v="89"/>
          </reference>
        </references>
      </pivotArea>
    </chartFormat>
    <chartFormat chart="7" format="15">
      <pivotArea type="data" outline="0" fieldPosition="0">
        <references count="2">
          <reference field="4294967294" count="1" selected="0">
            <x v="0"/>
          </reference>
          <reference field="9" count="1" selected="0">
            <x v="110"/>
          </reference>
        </references>
      </pivotArea>
    </chartFormat>
    <chartFormat chart="7" format="16">
      <pivotArea type="data" outline="0" fieldPosition="0">
        <references count="2">
          <reference field="4294967294" count="1" selected="0">
            <x v="0"/>
          </reference>
          <reference field="9" count="1" selected="0">
            <x v="154"/>
          </reference>
        </references>
      </pivotArea>
    </chartFormat>
    <chartFormat chart="7" format="17">
      <pivotArea type="data" outline="0" fieldPosition="0">
        <references count="2">
          <reference field="4294967294" count="1" selected="0">
            <x v="0"/>
          </reference>
          <reference field="9" count="1" selected="0">
            <x v="17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78F4EE-BCE4-4128-B843-7D23F4C1D525}" name="Final vs League Comparis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tch_Type">
  <location ref="A381:C385" firstHeaderRow="0" firstDataRow="1" firstDataCol="1"/>
  <pivotFields count="3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59">
        <item x="32"/>
        <item x="30"/>
        <item x="28"/>
        <item x="27"/>
        <item x="25"/>
        <item x="23"/>
        <item x="22"/>
        <item x="20"/>
        <item x="18"/>
        <item x="16"/>
        <item x="2"/>
        <item x="50"/>
        <item x="14"/>
        <item x="12"/>
        <item x="11"/>
        <item x="9"/>
        <item x="8"/>
        <item x="7"/>
        <item x="6"/>
        <item x="5"/>
        <item x="4"/>
        <item x="3"/>
        <item x="1"/>
        <item x="49"/>
        <item x="51"/>
        <item x="48"/>
        <item x="47"/>
        <item x="53"/>
        <item x="46"/>
        <item x="45"/>
        <item x="44"/>
        <item x="43"/>
        <item x="42"/>
        <item x="41"/>
        <item x="26"/>
        <item x="24"/>
        <item x="39"/>
        <item x="21"/>
        <item x="19"/>
        <item x="17"/>
        <item x="38"/>
        <item x="37"/>
        <item x="36"/>
        <item x="35"/>
        <item x="34"/>
        <item x="33"/>
        <item x="13"/>
        <item x="31"/>
        <item x="40"/>
        <item x="0"/>
        <item x="52"/>
        <item x="29"/>
        <item x="56"/>
        <item x="57"/>
        <item x="54"/>
        <item x="55"/>
        <item x="15"/>
        <item x="10"/>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pivotField dataField="1" showAll="0"/>
    <pivotField dataField="1" showAll="0"/>
    <pivotField showAll="0">
      <items count="3">
        <item x="0"/>
        <item x="1"/>
        <item t="default"/>
      </items>
    </pivotField>
    <pivotField showAll="0"/>
    <pivotField showAll="0"/>
    <pivotField showAll="0"/>
    <pivotField showAll="0">
      <items count="33">
        <item x="7"/>
        <item x="0"/>
        <item x="17"/>
        <item x="4"/>
        <item x="11"/>
        <item x="8"/>
        <item x="27"/>
        <item x="19"/>
        <item x="31"/>
        <item x="26"/>
        <item x="9"/>
        <item x="1"/>
        <item x="18"/>
        <item x="30"/>
        <item x="28"/>
        <item x="3"/>
        <item x="22"/>
        <item x="29"/>
        <item x="2"/>
        <item x="16"/>
        <item x="13"/>
        <item x="23"/>
        <item x="12"/>
        <item x="15"/>
        <item x="20"/>
        <item x="6"/>
        <item x="5"/>
        <item x="14"/>
        <item x="25"/>
        <item x="21"/>
        <item x="10"/>
        <item x="24"/>
        <item t="default"/>
      </items>
    </pivotField>
    <pivotField showAll="0"/>
    <pivotField dragToRow="0" dragToCol="0" dragToPage="0" showAll="0" defaultSubtotal="0"/>
  </pivotFields>
  <rowFields count="1">
    <field x="3"/>
  </rowFields>
  <rowItems count="4">
    <i>
      <x/>
    </i>
    <i>
      <x v="1"/>
    </i>
    <i>
      <x v="2"/>
    </i>
    <i t="grand">
      <x/>
    </i>
  </rowItems>
  <colFields count="1">
    <field x="-2"/>
  </colFields>
  <colItems count="2">
    <i>
      <x/>
    </i>
    <i i="1">
      <x v="1"/>
    </i>
  </colItems>
  <dataFields count="2">
    <dataField name="Average of Total_Runs" fld="22" subtotal="average" baseField="3" baseItem="0" numFmtId="1"/>
    <dataField name="Count of Close_Match_Flag" fld="21" subtotal="count" baseField="3" baseItem="0"/>
  </dataFields>
  <formats count="1">
    <format dxfId="3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BC3E43-5974-405E-96B6-8739667D472C}" autoFormatId="16" applyNumberFormats="0" applyBorderFormats="0" applyFontFormats="0" applyPatternFormats="0" applyAlignmentFormats="0" applyWidthHeightFormats="0">
  <queryTableRefresh nextId="32" unboundColumnsRight="1">
    <queryTableFields count="31">
      <queryTableField id="1" name="season" tableColumnId="1"/>
      <queryTableField id="2" name="Year" tableColumnId="2"/>
      <queryTableField id="3" name="match_no" tableColumnId="3"/>
      <queryTableField id="4" name="Match_Type" tableColumnId="4"/>
      <queryTableField id="5" name="date" tableColumnId="5"/>
      <queryTableField id="30" dataBound="0" tableColumnId="30"/>
      <queryTableField id="6" name="team_1_score" tableColumnId="6"/>
      <queryTableField id="7" name="team_1_wicket" tableColumnId="7"/>
      <queryTableField id="31" dataBound="0" tableColumnId="31"/>
      <queryTableField id="8" name="team_2_score" tableColumnId="8"/>
      <queryTableField id="9" name="team_2_wicket" tableColumnId="9"/>
      <queryTableField id="10" name="player_of_match" tableColumnId="10"/>
      <queryTableField id="11" name="toss_winner" tableColumnId="11"/>
      <queryTableField id="12" name="toss_decision" tableColumnId="12"/>
      <queryTableField id="13" name="winner" tableColumnId="13"/>
      <queryTableField id="14" name="Correct_Winner" tableColumnId="14"/>
      <queryTableField id="15" name="venue" tableColumnId="15"/>
      <queryTableField id="16" name="city" tableColumnId="16"/>
      <queryTableField id="17" name="win_by_wickets" tableColumnId="17"/>
      <queryTableField id="18" name="win_by_runs" tableColumnId="18"/>
      <queryTableField id="19" name="result" tableColumnId="19"/>
      <queryTableField id="20" name="Win_By_Type" tableColumnId="20"/>
      <queryTableField id="21" name="Win_Margin" tableColumnId="21"/>
      <queryTableField id="22" name="Close_Match_Flag" tableColumnId="22"/>
      <queryTableField id="23" name="Total_Runs" tableColumnId="23"/>
      <queryTableField id="24" name="High_Scoring_Flag" tableColumnId="24"/>
      <queryTableField id="25" name="umpire_1" tableColumnId="25"/>
      <queryTableField id="26" name="umpire_2" tableColumnId="26"/>
      <queryTableField id="27" name="Team" tableColumnId="27"/>
      <queryTableField id="28" name="Value"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03EA5B4-7965-4A28-9C00-4E3617763D1F}" sourceName="season">
  <pivotTables>
    <pivotTable tabId="4" name="Avg Total Runs by Year"/>
    <pivotTable tabId="4" name="170+ Matches Trend"/>
    <pivotTable tabId="4" name="Average Score Per Team"/>
    <pivotTable tabId="4" name="Close Match Trend"/>
    <pivotTable tabId="4" name="Final vs League Comparison"/>
    <pivotTable tabId="4" name="PivotTable4"/>
    <pivotTable tabId="4" name="Player_Analysis"/>
    <pivotTable tabId="4" name="Venue Analysis"/>
    <pivotTable tabId="4" name="Win % Calculation"/>
  </pivotTables>
  <data>
    <tabular pivotCacheId="1201936399">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Type" xr10:uid="{0883DF13-E420-404D-982A-9C34A5E21B83}" sourceName="Match_Type">
  <pivotTables>
    <pivotTable tabId="4" name="Avg Total Runs by Year"/>
    <pivotTable tabId="4" name="170+ Matches Trend"/>
    <pivotTable tabId="4" name="Average Score Per Team"/>
    <pivotTable tabId="4" name="Close Match Trend"/>
    <pivotTable tabId="4" name="Final vs League Comparison"/>
    <pivotTable tabId="4" name="PivotTable4"/>
    <pivotTable tabId="4" name="Player_Analysis"/>
    <pivotTable tabId="4" name="Venue Analysis"/>
    <pivotTable tabId="4" name="Win % Calculation"/>
  </pivotTables>
  <data>
    <tabular pivotCacheId="120193639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74C7FE83-715F-4B86-B0EA-1EA316A02346}" sourceName="venue">
  <pivotTables>
    <pivotTable tabId="4" name="Avg Total Runs by Year"/>
    <pivotTable tabId="4" name="170+ Matches Trend"/>
    <pivotTable tabId="4" name="Average Score Per Team"/>
    <pivotTable tabId="4" name="Close Match Trend"/>
    <pivotTable tabId="4" name="Final vs League Comparison"/>
    <pivotTable tabId="4" name="PivotTable4"/>
    <pivotTable tabId="4" name="Player_Analysis"/>
    <pivotTable tabId="4" name="Venue Analysis"/>
    <pivotTable tabId="4" name="Win % Calculation"/>
  </pivotTables>
  <data>
    <tabular pivotCacheId="1201936399">
      <items count="5">
        <i x="2" s="1"/>
        <i x="3"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0F0E902B-F78F-4D88-8A59-F112B353233F}" sourceName="Team_Name">
  <pivotTables>
    <pivotTable tabId="4" name="Avg Total Runs by Year"/>
    <pivotTable tabId="4" name="170+ Matches Trend"/>
    <pivotTable tabId="4" name="Average Score Per Team"/>
    <pivotTable tabId="4" name="Close Match Trend"/>
    <pivotTable tabId="4" name="Final vs League Comparison"/>
    <pivotTable tabId="4" name="PivotTable4"/>
    <pivotTable tabId="4" name="Player_Analysis"/>
    <pivotTable tabId="4" name="Venue Analysis"/>
    <pivotTable tabId="4" name="Win % Calculation"/>
  </pivotTables>
  <data>
    <tabular pivotCacheId="1201936399">
      <items count="32">
        <i x="7" s="1"/>
        <i x="0" s="1"/>
        <i x="17" s="1"/>
        <i x="4" s="1"/>
        <i x="11" s="1"/>
        <i x="8" s="1"/>
        <i x="27" s="1"/>
        <i x="19" s="1"/>
        <i x="31" s="1"/>
        <i x="26" s="1"/>
        <i x="9" s="1"/>
        <i x="1" s="1"/>
        <i x="18" s="1"/>
        <i x="30" s="1"/>
        <i x="28" s="1"/>
        <i x="3" s="1"/>
        <i x="22" s="1"/>
        <i x="29" s="1"/>
        <i x="2" s="1"/>
        <i x="16" s="1"/>
        <i x="13" s="1"/>
        <i x="23" s="1"/>
        <i x="12" s="1"/>
        <i x="15" s="1"/>
        <i x="20" s="1"/>
        <i x="6" s="1"/>
        <i x="5" s="1"/>
        <i x="14" s="1"/>
        <i x="25" s="1"/>
        <i x="21" s="1"/>
        <i x="10"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1911BF07-979D-4FE1-A8FE-2933EA02B79E}" cache="Slicer_season" caption="season" style="Slicer Style 1" rowHeight="273050"/>
  <slicer name="Match_Type" xr10:uid="{E57EC54E-CA3A-4426-8EFA-734C7AF84ABD}" cache="Slicer_Match_Type" caption="Match_Type" columnCount="3" style="Slicer Style 1" rowHeight="273050"/>
  <slicer name="venue" xr10:uid="{1CAB4E39-499F-494F-AF26-F0FCF27A7BAF}" cache="Slicer_venue" caption="venue" columnCount="5" style="Slicer Style 1" rowHeight="273050"/>
  <slicer name="Team_Name" xr10:uid="{0CBCEB0E-D7E3-45DE-85B8-6443CEB671B8}" cache="Slicer_Team_Name" caption="Team_Name" style="Slicer Style 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AC266D-8F3B-49F3-99FA-230D97EBE616}" name="Table5" displayName="Table5" ref="A1:AE482" tableType="queryTable" totalsRowShown="0">
  <autoFilter ref="A1:AE482" xr:uid="{C6AC266D-8F3B-49F3-99FA-230D97EBE616}"/>
  <tableColumns count="31">
    <tableColumn id="1" xr3:uid="{70EB7875-CE46-40AC-A17B-5D1BBA280D6D}" uniqueName="1" name="season" queryTableFieldId="1" dataDxfId="57"/>
    <tableColumn id="2" xr3:uid="{A5E3EC91-A11B-4FCA-B027-8F92B26E97C1}" uniqueName="2" name="Year" queryTableFieldId="2"/>
    <tableColumn id="3" xr3:uid="{69904DA9-8D3D-4402-8023-7FC60C150893}" uniqueName="3" name="match_no" queryTableFieldId="3" dataDxfId="56"/>
    <tableColumn id="4" xr3:uid="{7BAF5CDD-D02E-425F-86FD-0E2BF7F8AFBE}" uniqueName="4" name="Match_Type" queryTableFieldId="4" dataDxfId="55"/>
    <tableColumn id="5" xr3:uid="{6EA3AACC-7DFF-4E73-A954-769AEEE1947B}" uniqueName="5" name="date" queryTableFieldId="5" dataDxfId="54"/>
    <tableColumn id="30" xr3:uid="{18111368-965F-4F5F-8D31-A3D1146CF6F6}" uniqueName="30" name="team_1" queryTableFieldId="30" dataDxfId="53"/>
    <tableColumn id="6" xr3:uid="{16764C82-E07C-49C0-AB75-718F15CAE89E}" uniqueName="6" name="team_1_score" queryTableFieldId="6"/>
    <tableColumn id="7" xr3:uid="{E05D74C8-2E2E-4E1E-B90B-B4738255732D}" uniqueName="7" name="team_1_wicket" queryTableFieldId="7"/>
    <tableColumn id="31" xr3:uid="{048A0B8F-1DEC-4D49-9D81-A8B7550B66F4}" uniqueName="31" name="team_2" queryTableFieldId="31" dataDxfId="52">
      <calculatedColumnFormula>Clean_Data!$A2:$AB482</calculatedColumnFormula>
    </tableColumn>
    <tableColumn id="8" xr3:uid="{A6ED95D6-F551-4C3E-A95D-14430AC5BDB5}" uniqueName="8" name="team_2_score" queryTableFieldId="8"/>
    <tableColumn id="9" xr3:uid="{49938866-34ED-4628-BC67-3B9D29413C42}" uniqueName="9" name="team_2_wicket" queryTableFieldId="9"/>
    <tableColumn id="10" xr3:uid="{F47C7622-261C-4853-B1E3-83A8992A946F}" uniqueName="10" name="player_of_match" queryTableFieldId="10" dataDxfId="51"/>
    <tableColumn id="11" xr3:uid="{D12AE8B6-6AA7-4832-8061-DB0DCB5D716C}" uniqueName="11" name="toss_winner" queryTableFieldId="11" dataDxfId="50"/>
    <tableColumn id="12" xr3:uid="{A5328B75-2FEA-47CD-9AB8-4692A8C261CF}" uniqueName="12" name="toss_decision" queryTableFieldId="12" dataDxfId="49"/>
    <tableColumn id="13" xr3:uid="{9B7CD407-D0AD-4651-989B-6F8AC80E17C3}" uniqueName="13" name="winner" queryTableFieldId="13" dataDxfId="48"/>
    <tableColumn id="14" xr3:uid="{14C37236-0E1D-4E10-8D8D-9CDF1D701159}" uniqueName="14" name="Correct_Winner" queryTableFieldId="14" dataDxfId="47"/>
    <tableColumn id="15" xr3:uid="{4FDDEBF5-6540-412D-8482-D11565ED194A}" uniqueName="15" name="venue" queryTableFieldId="15" dataDxfId="46"/>
    <tableColumn id="16" xr3:uid="{4609C781-A83E-46AB-8939-79BCC5C51F15}" uniqueName="16" name="city" queryTableFieldId="16" dataDxfId="45"/>
    <tableColumn id="17" xr3:uid="{6E6583AC-6985-4C95-BCE9-20B7EB1876F4}" uniqueName="17" name="win_by_wickets" queryTableFieldId="17"/>
    <tableColumn id="18" xr3:uid="{73F1FD0A-0987-4369-8C0F-D2E24519DA52}" uniqueName="18" name="win_by_runs" queryTableFieldId="18"/>
    <tableColumn id="19" xr3:uid="{A5231377-E17F-4585-A390-8146E7C1F5F6}" uniqueName="19" name="result" queryTableFieldId="19" dataDxfId="44"/>
    <tableColumn id="20" xr3:uid="{A331FB8F-8D00-48A0-9538-FFD33FDBFFC7}" uniqueName="20" name="Win_By_Type" queryTableFieldId="20" dataDxfId="43"/>
    <tableColumn id="21" xr3:uid="{69F24A6B-48CD-4044-B044-B4F5569F9027}" uniqueName="21" name="Win_Margin" queryTableFieldId="21"/>
    <tableColumn id="22" xr3:uid="{FA0A8459-2ACB-4228-BE1D-061CC288361E}" uniqueName="22" name="Close_Match_Flag" queryTableFieldId="22" dataDxfId="42"/>
    <tableColumn id="23" xr3:uid="{5C91A00E-AA20-4B4C-BAD0-B24D818AB180}" uniqueName="23" name="Total_Runs" queryTableFieldId="23"/>
    <tableColumn id="24" xr3:uid="{92B76D29-5285-4705-BA9D-6CCB5E3B59C8}" uniqueName="24" name="High_Scoring_Flag" queryTableFieldId="24" dataDxfId="41"/>
    <tableColumn id="25" xr3:uid="{7825CA55-6EF4-4E43-BE0D-1FD7AB29C815}" uniqueName="25" name="umpire_1" queryTableFieldId="25" dataDxfId="40"/>
    <tableColumn id="26" xr3:uid="{7CF044F3-393D-45CF-AB82-E4D5C114D913}" uniqueName="26" name="umpire_2" queryTableFieldId="26" dataDxfId="39"/>
    <tableColumn id="27" xr3:uid="{FBDBE72F-D186-4EB5-B51D-084DAB2D7C7D}" uniqueName="27" name="Team" queryTableFieldId="27" dataDxfId="38"/>
    <tableColumn id="28" xr3:uid="{50821D1C-E920-4D2C-95E1-C10C6DD6A488}" uniqueName="28" name="Team_Name" queryTableFieldId="28" dataDxfId="37"/>
    <tableColumn id="29" xr3:uid="{B6EB4FFB-A53B-4EF2-9B8B-1414992BE92A}" uniqueName="29" name="Win_Flag" queryTableFieldId="29" dataDxfId="36">
      <calculatedColumnFormula>IF(Table5[[#This Row],[Team_Name]]=Table5[[#This Row],[Correct_Winner]],1,0)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6892-001B-40C3-B51B-7E358BD147AA}">
  <dimension ref="A1:T482"/>
  <sheetViews>
    <sheetView topLeftCell="A458" workbookViewId="0">
      <selection activeCell="H468" sqref="H468"/>
    </sheetView>
  </sheetViews>
  <sheetFormatPr defaultRowHeight="15.6"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v>140</v>
      </c>
      <c r="F2">
        <v>7</v>
      </c>
      <c r="G2" t="s">
        <v>24</v>
      </c>
      <c r="H2">
        <v>144</v>
      </c>
      <c r="I2">
        <v>2</v>
      </c>
      <c r="J2" t="s">
        <v>25</v>
      </c>
      <c r="K2" t="s">
        <v>24</v>
      </c>
      <c r="L2" t="s">
        <v>26</v>
      </c>
      <c r="M2" t="s">
        <v>27</v>
      </c>
      <c r="N2" t="s">
        <v>28</v>
      </c>
      <c r="O2" t="s">
        <v>29</v>
      </c>
      <c r="P2">
        <v>8</v>
      </c>
      <c r="Q2">
        <v>0</v>
      </c>
      <c r="R2" t="s">
        <v>30</v>
      </c>
      <c r="S2" t="s">
        <v>31</v>
      </c>
      <c r="T2" t="s">
        <v>32</v>
      </c>
    </row>
    <row r="3" spans="1:20" x14ac:dyDescent="0.3">
      <c r="A3" t="s">
        <v>20</v>
      </c>
      <c r="B3" t="s">
        <v>33</v>
      </c>
      <c r="C3" t="s">
        <v>34</v>
      </c>
      <c r="D3" t="s">
        <v>24</v>
      </c>
      <c r="E3">
        <v>191</v>
      </c>
      <c r="F3">
        <v>4</v>
      </c>
      <c r="G3" t="s">
        <v>35</v>
      </c>
      <c r="H3">
        <v>182</v>
      </c>
      <c r="I3">
        <v>7</v>
      </c>
      <c r="J3" t="s">
        <v>36</v>
      </c>
      <c r="K3" t="s">
        <v>24</v>
      </c>
      <c r="L3" t="s">
        <v>37</v>
      </c>
      <c r="M3" t="s">
        <v>27</v>
      </c>
      <c r="N3" t="s">
        <v>28</v>
      </c>
      <c r="O3" t="s">
        <v>29</v>
      </c>
      <c r="P3">
        <v>0</v>
      </c>
      <c r="Q3">
        <v>9</v>
      </c>
      <c r="R3" t="s">
        <v>38</v>
      </c>
      <c r="S3" t="s">
        <v>32</v>
      </c>
      <c r="T3" t="s">
        <v>39</v>
      </c>
    </row>
    <row r="4" spans="1:20" x14ac:dyDescent="0.3">
      <c r="A4" t="s">
        <v>20</v>
      </c>
      <c r="B4" t="s">
        <v>40</v>
      </c>
      <c r="C4" t="s">
        <v>34</v>
      </c>
      <c r="D4" t="s">
        <v>41</v>
      </c>
      <c r="E4">
        <v>184</v>
      </c>
      <c r="F4">
        <v>6</v>
      </c>
      <c r="G4" t="s">
        <v>23</v>
      </c>
      <c r="H4">
        <v>189</v>
      </c>
      <c r="I4">
        <v>2</v>
      </c>
      <c r="J4" t="s">
        <v>42</v>
      </c>
      <c r="K4" t="s">
        <v>23</v>
      </c>
      <c r="L4" t="s">
        <v>26</v>
      </c>
      <c r="M4" t="s">
        <v>43</v>
      </c>
      <c r="N4" t="s">
        <v>28</v>
      </c>
      <c r="O4" t="s">
        <v>29</v>
      </c>
      <c r="P4">
        <v>8</v>
      </c>
      <c r="Q4">
        <v>0</v>
      </c>
      <c r="R4" t="s">
        <v>30</v>
      </c>
      <c r="S4" t="s">
        <v>31</v>
      </c>
      <c r="T4" t="s">
        <v>44</v>
      </c>
    </row>
    <row r="5" spans="1:20" x14ac:dyDescent="0.3">
      <c r="A5" t="s">
        <v>20</v>
      </c>
      <c r="B5" t="s">
        <v>45</v>
      </c>
      <c r="C5" t="s">
        <v>46</v>
      </c>
      <c r="D5" t="s">
        <v>24</v>
      </c>
      <c r="E5">
        <v>116</v>
      </c>
      <c r="F5">
        <v>10</v>
      </c>
      <c r="G5" t="s">
        <v>41</v>
      </c>
      <c r="H5">
        <v>120</v>
      </c>
      <c r="I5">
        <v>7</v>
      </c>
      <c r="J5" t="s">
        <v>47</v>
      </c>
      <c r="K5" t="s">
        <v>24</v>
      </c>
      <c r="L5" t="s">
        <v>37</v>
      </c>
      <c r="M5" t="s">
        <v>48</v>
      </c>
      <c r="N5" t="s">
        <v>28</v>
      </c>
      <c r="O5" t="s">
        <v>29</v>
      </c>
      <c r="P5">
        <v>3</v>
      </c>
      <c r="Q5">
        <v>0</v>
      </c>
      <c r="R5" t="s">
        <v>49</v>
      </c>
      <c r="S5" t="s">
        <v>50</v>
      </c>
      <c r="T5" t="s">
        <v>39</v>
      </c>
    </row>
    <row r="6" spans="1:20" x14ac:dyDescent="0.3">
      <c r="A6" t="s">
        <v>20</v>
      </c>
      <c r="B6" t="s">
        <v>51</v>
      </c>
      <c r="C6" t="s">
        <v>52</v>
      </c>
      <c r="D6" t="s">
        <v>53</v>
      </c>
      <c r="E6">
        <v>150</v>
      </c>
      <c r="F6">
        <v>9</v>
      </c>
      <c r="G6" t="s">
        <v>23</v>
      </c>
      <c r="H6">
        <v>151</v>
      </c>
      <c r="I6">
        <v>5</v>
      </c>
      <c r="J6" t="s">
        <v>54</v>
      </c>
      <c r="K6" t="s">
        <v>23</v>
      </c>
      <c r="L6" t="s">
        <v>26</v>
      </c>
      <c r="M6" t="s">
        <v>43</v>
      </c>
      <c r="N6" t="s">
        <v>28</v>
      </c>
      <c r="O6" t="s">
        <v>29</v>
      </c>
      <c r="P6">
        <v>5</v>
      </c>
      <c r="Q6">
        <v>0</v>
      </c>
      <c r="R6" t="s">
        <v>55</v>
      </c>
      <c r="S6" t="s">
        <v>56</v>
      </c>
      <c r="T6" t="s">
        <v>57</v>
      </c>
    </row>
    <row r="7" spans="1:20" x14ac:dyDescent="0.3">
      <c r="A7" t="s">
        <v>20</v>
      </c>
      <c r="B7" t="s">
        <v>58</v>
      </c>
      <c r="C7" t="s">
        <v>52</v>
      </c>
      <c r="D7" t="s">
        <v>35</v>
      </c>
      <c r="E7">
        <v>106</v>
      </c>
      <c r="F7">
        <v>10</v>
      </c>
      <c r="G7" t="s">
        <v>41</v>
      </c>
      <c r="H7">
        <v>110</v>
      </c>
      <c r="I7">
        <v>2</v>
      </c>
      <c r="J7" t="s">
        <v>59</v>
      </c>
      <c r="K7" t="s">
        <v>35</v>
      </c>
      <c r="L7" t="s">
        <v>37</v>
      </c>
      <c r="M7" t="s">
        <v>48</v>
      </c>
      <c r="N7" t="s">
        <v>28</v>
      </c>
      <c r="O7" t="s">
        <v>29</v>
      </c>
      <c r="P7">
        <v>8</v>
      </c>
      <c r="Q7">
        <v>0</v>
      </c>
      <c r="R7" t="s">
        <v>30</v>
      </c>
      <c r="S7" t="s">
        <v>31</v>
      </c>
      <c r="T7" t="s">
        <v>39</v>
      </c>
    </row>
    <row r="8" spans="1:20" x14ac:dyDescent="0.3">
      <c r="A8" t="s">
        <v>20</v>
      </c>
      <c r="B8" t="s">
        <v>60</v>
      </c>
      <c r="C8" t="s">
        <v>61</v>
      </c>
      <c r="D8" t="s">
        <v>62</v>
      </c>
      <c r="E8">
        <v>165</v>
      </c>
      <c r="F8">
        <v>3</v>
      </c>
      <c r="G8" t="s">
        <v>53</v>
      </c>
      <c r="H8">
        <v>130</v>
      </c>
      <c r="I8">
        <v>8</v>
      </c>
      <c r="J8" t="s">
        <v>63</v>
      </c>
      <c r="K8" t="s">
        <v>53</v>
      </c>
      <c r="L8" t="s">
        <v>26</v>
      </c>
      <c r="M8" t="s">
        <v>64</v>
      </c>
      <c r="N8" t="s">
        <v>28</v>
      </c>
      <c r="O8" t="s">
        <v>29</v>
      </c>
      <c r="P8">
        <v>0</v>
      </c>
      <c r="Q8">
        <v>35</v>
      </c>
      <c r="R8" t="s">
        <v>65</v>
      </c>
      <c r="S8" t="s">
        <v>31</v>
      </c>
      <c r="T8" t="s">
        <v>66</v>
      </c>
    </row>
    <row r="9" spans="1:20" x14ac:dyDescent="0.3">
      <c r="A9" t="s">
        <v>20</v>
      </c>
      <c r="B9" t="s">
        <v>67</v>
      </c>
      <c r="C9" t="s">
        <v>61</v>
      </c>
      <c r="D9" t="s">
        <v>23</v>
      </c>
      <c r="E9">
        <v>156</v>
      </c>
      <c r="F9">
        <v>6</v>
      </c>
      <c r="G9" t="s">
        <v>24</v>
      </c>
      <c r="H9">
        <v>160</v>
      </c>
      <c r="I9">
        <v>5</v>
      </c>
      <c r="J9" t="s">
        <v>25</v>
      </c>
      <c r="K9" t="s">
        <v>24</v>
      </c>
      <c r="L9" t="s">
        <v>26</v>
      </c>
      <c r="M9" t="s">
        <v>27</v>
      </c>
      <c r="N9" t="s">
        <v>28</v>
      </c>
      <c r="O9" t="s">
        <v>29</v>
      </c>
      <c r="P9">
        <v>5</v>
      </c>
      <c r="Q9">
        <v>0</v>
      </c>
      <c r="R9" t="s">
        <v>55</v>
      </c>
      <c r="S9" t="s">
        <v>57</v>
      </c>
      <c r="T9" t="s">
        <v>39</v>
      </c>
    </row>
    <row r="10" spans="1:20" x14ac:dyDescent="0.3">
      <c r="A10" t="s">
        <v>20</v>
      </c>
      <c r="B10" t="s">
        <v>68</v>
      </c>
      <c r="C10" t="s">
        <v>69</v>
      </c>
      <c r="D10" t="s">
        <v>41</v>
      </c>
      <c r="E10">
        <v>124</v>
      </c>
      <c r="F10">
        <v>9</v>
      </c>
      <c r="G10" t="s">
        <v>62</v>
      </c>
      <c r="H10">
        <v>125</v>
      </c>
      <c r="I10">
        <v>1</v>
      </c>
      <c r="J10" t="s">
        <v>70</v>
      </c>
      <c r="K10" t="s">
        <v>62</v>
      </c>
      <c r="L10" t="s">
        <v>26</v>
      </c>
      <c r="M10" t="s">
        <v>64</v>
      </c>
      <c r="N10" t="s">
        <v>28</v>
      </c>
      <c r="O10" t="s">
        <v>29</v>
      </c>
      <c r="P10">
        <v>9</v>
      </c>
      <c r="Q10">
        <v>0</v>
      </c>
      <c r="R10" t="s">
        <v>71</v>
      </c>
      <c r="S10" t="s">
        <v>72</v>
      </c>
      <c r="T10" t="s">
        <v>57</v>
      </c>
    </row>
    <row r="11" spans="1:20" x14ac:dyDescent="0.3">
      <c r="A11" t="s">
        <v>73</v>
      </c>
      <c r="B11" t="s">
        <v>21</v>
      </c>
      <c r="C11" t="s">
        <v>74</v>
      </c>
      <c r="D11" t="s">
        <v>24</v>
      </c>
      <c r="E11">
        <v>172</v>
      </c>
      <c r="F11">
        <v>9</v>
      </c>
      <c r="G11" t="s">
        <v>53</v>
      </c>
      <c r="H11">
        <v>129</v>
      </c>
      <c r="I11">
        <v>10</v>
      </c>
      <c r="J11" t="s">
        <v>75</v>
      </c>
      <c r="K11" t="s">
        <v>53</v>
      </c>
      <c r="L11" t="s">
        <v>26</v>
      </c>
      <c r="M11" t="s">
        <v>27</v>
      </c>
      <c r="N11" t="s">
        <v>28</v>
      </c>
      <c r="O11" t="s">
        <v>29</v>
      </c>
      <c r="P11">
        <v>0</v>
      </c>
      <c r="Q11">
        <v>43</v>
      </c>
      <c r="R11" t="s">
        <v>76</v>
      </c>
      <c r="S11" t="s">
        <v>32</v>
      </c>
      <c r="T11" t="s">
        <v>77</v>
      </c>
    </row>
    <row r="12" spans="1:20" x14ac:dyDescent="0.3">
      <c r="A12" t="s">
        <v>20</v>
      </c>
      <c r="B12" t="s">
        <v>78</v>
      </c>
      <c r="C12" t="s">
        <v>69</v>
      </c>
      <c r="D12" t="s">
        <v>53</v>
      </c>
      <c r="E12">
        <v>120</v>
      </c>
      <c r="F12">
        <v>6</v>
      </c>
      <c r="G12" t="s">
        <v>24</v>
      </c>
      <c r="H12">
        <v>107</v>
      </c>
      <c r="I12">
        <v>9</v>
      </c>
      <c r="J12" t="s">
        <v>79</v>
      </c>
      <c r="K12" t="s">
        <v>24</v>
      </c>
      <c r="L12" t="s">
        <v>26</v>
      </c>
      <c r="M12" t="s">
        <v>80</v>
      </c>
      <c r="N12" t="s">
        <v>28</v>
      </c>
      <c r="O12" t="s">
        <v>29</v>
      </c>
      <c r="P12">
        <v>0</v>
      </c>
      <c r="Q12">
        <v>13</v>
      </c>
      <c r="R12" t="s">
        <v>81</v>
      </c>
      <c r="S12" t="s">
        <v>31</v>
      </c>
      <c r="T12" t="s">
        <v>39</v>
      </c>
    </row>
    <row r="13" spans="1:20" x14ac:dyDescent="0.3">
      <c r="A13" t="s">
        <v>73</v>
      </c>
      <c r="B13" t="s">
        <v>82</v>
      </c>
      <c r="C13" t="s">
        <v>83</v>
      </c>
      <c r="D13" t="s">
        <v>62</v>
      </c>
      <c r="E13">
        <v>149</v>
      </c>
      <c r="F13">
        <v>7</v>
      </c>
      <c r="G13" t="s">
        <v>53</v>
      </c>
      <c r="H13">
        <v>150</v>
      </c>
      <c r="I13">
        <v>7</v>
      </c>
      <c r="J13" t="s">
        <v>84</v>
      </c>
      <c r="K13" t="s">
        <v>53</v>
      </c>
      <c r="L13" t="s">
        <v>26</v>
      </c>
      <c r="M13" t="s">
        <v>80</v>
      </c>
      <c r="N13" t="s">
        <v>28</v>
      </c>
      <c r="O13" t="s">
        <v>29</v>
      </c>
      <c r="P13">
        <v>3</v>
      </c>
      <c r="Q13">
        <v>0</v>
      </c>
      <c r="R13" t="s">
        <v>49</v>
      </c>
      <c r="S13" t="s">
        <v>32</v>
      </c>
      <c r="T13" t="s">
        <v>57</v>
      </c>
    </row>
    <row r="14" spans="1:20" x14ac:dyDescent="0.3">
      <c r="A14" t="s">
        <v>20</v>
      </c>
      <c r="B14" t="s">
        <v>85</v>
      </c>
      <c r="C14" t="s">
        <v>86</v>
      </c>
      <c r="D14" t="s">
        <v>35</v>
      </c>
      <c r="E14">
        <v>161</v>
      </c>
      <c r="F14">
        <v>7</v>
      </c>
      <c r="G14" t="s">
        <v>23</v>
      </c>
      <c r="H14">
        <v>162</v>
      </c>
      <c r="I14">
        <v>6</v>
      </c>
      <c r="J14" t="s">
        <v>87</v>
      </c>
      <c r="K14" t="s">
        <v>35</v>
      </c>
      <c r="L14" t="s">
        <v>37</v>
      </c>
      <c r="M14" t="s">
        <v>43</v>
      </c>
      <c r="N14" t="s">
        <v>88</v>
      </c>
      <c r="O14" t="s">
        <v>89</v>
      </c>
      <c r="P14">
        <v>4</v>
      </c>
      <c r="Q14">
        <v>0</v>
      </c>
      <c r="R14" t="s">
        <v>90</v>
      </c>
      <c r="S14" t="s">
        <v>32</v>
      </c>
      <c r="T14" t="s">
        <v>57</v>
      </c>
    </row>
    <row r="15" spans="1:20" x14ac:dyDescent="0.3">
      <c r="A15" t="s">
        <v>20</v>
      </c>
      <c r="B15" t="s">
        <v>91</v>
      </c>
      <c r="C15" t="s">
        <v>86</v>
      </c>
      <c r="D15" t="s">
        <v>62</v>
      </c>
      <c r="E15">
        <v>128</v>
      </c>
      <c r="F15">
        <v>7</v>
      </c>
      <c r="G15" t="s">
        <v>24</v>
      </c>
      <c r="H15">
        <v>132</v>
      </c>
      <c r="I15">
        <v>2</v>
      </c>
      <c r="J15" t="s">
        <v>36</v>
      </c>
      <c r="K15" t="s">
        <v>24</v>
      </c>
      <c r="L15" t="s">
        <v>26</v>
      </c>
      <c r="M15" t="s">
        <v>27</v>
      </c>
      <c r="N15" t="s">
        <v>88</v>
      </c>
      <c r="O15" t="s">
        <v>89</v>
      </c>
      <c r="P15">
        <v>8</v>
      </c>
      <c r="Q15">
        <v>0</v>
      </c>
      <c r="R15" t="s">
        <v>30</v>
      </c>
      <c r="S15" t="s">
        <v>31</v>
      </c>
      <c r="T15" t="s">
        <v>44</v>
      </c>
    </row>
    <row r="16" spans="1:20" x14ac:dyDescent="0.3">
      <c r="A16" t="s">
        <v>73</v>
      </c>
      <c r="B16" t="s">
        <v>92</v>
      </c>
      <c r="C16" t="s">
        <v>93</v>
      </c>
      <c r="D16" t="s">
        <v>41</v>
      </c>
      <c r="E16">
        <v>107</v>
      </c>
      <c r="F16">
        <v>7</v>
      </c>
      <c r="G16" t="s">
        <v>53</v>
      </c>
      <c r="H16">
        <v>108</v>
      </c>
      <c r="I16">
        <v>6</v>
      </c>
      <c r="J16" t="s">
        <v>94</v>
      </c>
      <c r="K16" t="s">
        <v>41</v>
      </c>
      <c r="L16" t="s">
        <v>37</v>
      </c>
      <c r="M16" t="s">
        <v>80</v>
      </c>
      <c r="N16" t="s">
        <v>28</v>
      </c>
      <c r="O16" t="s">
        <v>29</v>
      </c>
      <c r="P16">
        <v>4</v>
      </c>
      <c r="Q16">
        <v>0</v>
      </c>
      <c r="R16" t="s">
        <v>90</v>
      </c>
      <c r="S16" t="s">
        <v>72</v>
      </c>
      <c r="T16" t="s">
        <v>77</v>
      </c>
    </row>
    <row r="17" spans="1:20" x14ac:dyDescent="0.3">
      <c r="A17" t="s">
        <v>20</v>
      </c>
      <c r="B17" t="s">
        <v>95</v>
      </c>
      <c r="C17" t="s">
        <v>96</v>
      </c>
      <c r="D17" t="s">
        <v>35</v>
      </c>
      <c r="E17">
        <v>137</v>
      </c>
      <c r="F17">
        <v>6</v>
      </c>
      <c r="G17" t="s">
        <v>53</v>
      </c>
      <c r="H17">
        <v>93</v>
      </c>
      <c r="I17">
        <v>10</v>
      </c>
      <c r="J17" t="s">
        <v>97</v>
      </c>
      <c r="K17" t="s">
        <v>53</v>
      </c>
      <c r="L17" t="s">
        <v>26</v>
      </c>
      <c r="M17" t="s">
        <v>98</v>
      </c>
      <c r="N17" t="s">
        <v>88</v>
      </c>
      <c r="O17" t="s">
        <v>89</v>
      </c>
      <c r="P17">
        <v>0</v>
      </c>
      <c r="Q17">
        <v>44</v>
      </c>
      <c r="R17" t="s">
        <v>99</v>
      </c>
      <c r="S17" t="s">
        <v>31</v>
      </c>
      <c r="T17" t="s">
        <v>44</v>
      </c>
    </row>
    <row r="18" spans="1:20" x14ac:dyDescent="0.3">
      <c r="A18" t="s">
        <v>73</v>
      </c>
      <c r="B18" t="s">
        <v>100</v>
      </c>
      <c r="C18" t="s">
        <v>101</v>
      </c>
      <c r="D18" t="s">
        <v>24</v>
      </c>
      <c r="E18">
        <v>197</v>
      </c>
      <c r="F18">
        <v>9</v>
      </c>
      <c r="G18" t="s">
        <v>62</v>
      </c>
      <c r="H18">
        <v>193</v>
      </c>
      <c r="I18">
        <v>6</v>
      </c>
      <c r="J18" t="s">
        <v>102</v>
      </c>
      <c r="K18" t="s">
        <v>62</v>
      </c>
      <c r="L18" t="s">
        <v>26</v>
      </c>
      <c r="M18" t="s">
        <v>27</v>
      </c>
      <c r="N18" t="s">
        <v>28</v>
      </c>
      <c r="O18" t="s">
        <v>29</v>
      </c>
      <c r="P18">
        <v>0</v>
      </c>
      <c r="Q18">
        <v>4</v>
      </c>
      <c r="R18" t="s">
        <v>103</v>
      </c>
      <c r="S18" t="s">
        <v>32</v>
      </c>
      <c r="T18" t="s">
        <v>57</v>
      </c>
    </row>
    <row r="19" spans="1:20" x14ac:dyDescent="0.3">
      <c r="A19" t="s">
        <v>20</v>
      </c>
      <c r="B19" t="s">
        <v>104</v>
      </c>
      <c r="C19" t="s">
        <v>96</v>
      </c>
      <c r="D19" t="s">
        <v>23</v>
      </c>
      <c r="E19">
        <v>192</v>
      </c>
      <c r="F19">
        <v>3</v>
      </c>
      <c r="G19" t="s">
        <v>41</v>
      </c>
      <c r="H19">
        <v>193</v>
      </c>
      <c r="I19">
        <v>1</v>
      </c>
      <c r="J19" t="s">
        <v>105</v>
      </c>
      <c r="K19" t="s">
        <v>23</v>
      </c>
      <c r="L19" t="s">
        <v>37</v>
      </c>
      <c r="M19" t="s">
        <v>48</v>
      </c>
      <c r="N19" t="s">
        <v>88</v>
      </c>
      <c r="O19" t="s">
        <v>89</v>
      </c>
      <c r="P19">
        <v>9</v>
      </c>
      <c r="Q19">
        <v>0</v>
      </c>
      <c r="R19" t="s">
        <v>71</v>
      </c>
      <c r="S19" t="s">
        <v>32</v>
      </c>
      <c r="T19" t="s">
        <v>57</v>
      </c>
    </row>
    <row r="20" spans="1:20" x14ac:dyDescent="0.3">
      <c r="A20" t="s">
        <v>73</v>
      </c>
      <c r="B20" t="s">
        <v>106</v>
      </c>
      <c r="C20" t="s">
        <v>107</v>
      </c>
      <c r="D20" t="s">
        <v>24</v>
      </c>
      <c r="E20">
        <v>168</v>
      </c>
      <c r="F20">
        <v>6</v>
      </c>
      <c r="G20" t="s">
        <v>53</v>
      </c>
      <c r="H20">
        <v>139</v>
      </c>
      <c r="I20">
        <v>9</v>
      </c>
      <c r="J20" t="s">
        <v>108</v>
      </c>
      <c r="K20" t="s">
        <v>53</v>
      </c>
      <c r="L20" t="s">
        <v>26</v>
      </c>
      <c r="M20" t="s">
        <v>27</v>
      </c>
      <c r="N20" t="s">
        <v>28</v>
      </c>
      <c r="O20" t="s">
        <v>29</v>
      </c>
      <c r="P20">
        <v>0</v>
      </c>
      <c r="Q20">
        <v>29</v>
      </c>
      <c r="R20" t="s">
        <v>109</v>
      </c>
      <c r="S20" t="s">
        <v>72</v>
      </c>
      <c r="T20" t="s">
        <v>57</v>
      </c>
    </row>
    <row r="21" spans="1:20" x14ac:dyDescent="0.3">
      <c r="A21" t="s">
        <v>20</v>
      </c>
      <c r="B21" t="s">
        <v>110</v>
      </c>
      <c r="C21" t="s">
        <v>111</v>
      </c>
      <c r="D21" t="s">
        <v>62</v>
      </c>
      <c r="E21">
        <v>120</v>
      </c>
      <c r="F21">
        <v>7</v>
      </c>
      <c r="G21" t="s">
        <v>23</v>
      </c>
      <c r="H21">
        <v>121</v>
      </c>
      <c r="I21">
        <v>1</v>
      </c>
      <c r="J21" t="s">
        <v>54</v>
      </c>
      <c r="K21" t="s">
        <v>62</v>
      </c>
      <c r="L21" t="s">
        <v>37</v>
      </c>
      <c r="M21" t="s">
        <v>43</v>
      </c>
      <c r="N21" t="s">
        <v>88</v>
      </c>
      <c r="O21" t="s">
        <v>89</v>
      </c>
      <c r="P21">
        <v>9</v>
      </c>
      <c r="Q21">
        <v>0</v>
      </c>
      <c r="R21" t="s">
        <v>71</v>
      </c>
      <c r="S21" t="s">
        <v>32</v>
      </c>
      <c r="T21" t="s">
        <v>57</v>
      </c>
    </row>
    <row r="22" spans="1:20" x14ac:dyDescent="0.3">
      <c r="A22" t="s">
        <v>73</v>
      </c>
      <c r="B22" t="s">
        <v>112</v>
      </c>
      <c r="C22" t="s">
        <v>107</v>
      </c>
      <c r="D22" t="s">
        <v>23</v>
      </c>
      <c r="E22">
        <v>139</v>
      </c>
      <c r="F22">
        <v>7</v>
      </c>
      <c r="G22" t="s">
        <v>113</v>
      </c>
      <c r="H22">
        <v>113</v>
      </c>
      <c r="I22">
        <v>10</v>
      </c>
      <c r="J22" t="s">
        <v>114</v>
      </c>
      <c r="K22" t="s">
        <v>23</v>
      </c>
      <c r="L22" t="s">
        <v>37</v>
      </c>
      <c r="M22" t="s">
        <v>43</v>
      </c>
      <c r="N22" t="s">
        <v>28</v>
      </c>
      <c r="O22" t="s">
        <v>29</v>
      </c>
      <c r="P22">
        <v>0</v>
      </c>
      <c r="Q22">
        <v>26</v>
      </c>
      <c r="R22" t="s">
        <v>115</v>
      </c>
      <c r="S22" t="s">
        <v>32</v>
      </c>
      <c r="T22" t="s">
        <v>57</v>
      </c>
    </row>
    <row r="23" spans="1:20" x14ac:dyDescent="0.3">
      <c r="A23" t="s">
        <v>20</v>
      </c>
      <c r="B23" t="s">
        <v>116</v>
      </c>
      <c r="C23" t="s">
        <v>111</v>
      </c>
      <c r="D23" t="s">
        <v>24</v>
      </c>
      <c r="E23">
        <v>140</v>
      </c>
      <c r="F23">
        <v>8</v>
      </c>
      <c r="G23" t="s">
        <v>35</v>
      </c>
      <c r="H23">
        <v>141</v>
      </c>
      <c r="I23">
        <v>3</v>
      </c>
      <c r="J23" t="s">
        <v>117</v>
      </c>
      <c r="K23" t="s">
        <v>24</v>
      </c>
      <c r="L23" t="s">
        <v>37</v>
      </c>
      <c r="M23" t="s">
        <v>98</v>
      </c>
      <c r="N23" t="s">
        <v>88</v>
      </c>
      <c r="O23" t="s">
        <v>89</v>
      </c>
      <c r="P23">
        <v>7</v>
      </c>
      <c r="Q23">
        <v>0</v>
      </c>
      <c r="R23" t="s">
        <v>118</v>
      </c>
      <c r="S23" t="s">
        <v>31</v>
      </c>
      <c r="T23" t="s">
        <v>44</v>
      </c>
    </row>
    <row r="24" spans="1:20" x14ac:dyDescent="0.3">
      <c r="A24" t="s">
        <v>73</v>
      </c>
      <c r="B24" t="s">
        <v>119</v>
      </c>
      <c r="C24" t="s">
        <v>120</v>
      </c>
      <c r="D24" t="s">
        <v>23</v>
      </c>
      <c r="E24">
        <v>144</v>
      </c>
      <c r="F24">
        <v>9</v>
      </c>
      <c r="G24" t="s">
        <v>62</v>
      </c>
      <c r="H24">
        <v>145</v>
      </c>
      <c r="I24">
        <v>9</v>
      </c>
      <c r="J24" t="s">
        <v>121</v>
      </c>
      <c r="K24" t="s">
        <v>62</v>
      </c>
      <c r="L24" t="s">
        <v>26</v>
      </c>
      <c r="M24" t="s">
        <v>64</v>
      </c>
      <c r="N24" t="s">
        <v>28</v>
      </c>
      <c r="O24" t="s">
        <v>29</v>
      </c>
      <c r="P24">
        <v>0</v>
      </c>
      <c r="Q24">
        <v>0</v>
      </c>
      <c r="R24" t="s">
        <v>122</v>
      </c>
      <c r="S24" t="s">
        <v>32</v>
      </c>
      <c r="T24" t="s">
        <v>57</v>
      </c>
    </row>
    <row r="25" spans="1:20" x14ac:dyDescent="0.3">
      <c r="A25" t="s">
        <v>20</v>
      </c>
      <c r="B25" t="s">
        <v>123</v>
      </c>
      <c r="C25" t="s">
        <v>124</v>
      </c>
      <c r="D25" t="s">
        <v>41</v>
      </c>
      <c r="E25">
        <v>126</v>
      </c>
      <c r="F25">
        <v>6</v>
      </c>
      <c r="G25" t="s">
        <v>53</v>
      </c>
      <c r="H25">
        <v>117</v>
      </c>
      <c r="I25">
        <v>9</v>
      </c>
      <c r="J25" t="s">
        <v>125</v>
      </c>
      <c r="K25" t="s">
        <v>41</v>
      </c>
      <c r="L25" t="s">
        <v>37</v>
      </c>
      <c r="M25" t="s">
        <v>48</v>
      </c>
      <c r="N25" t="s">
        <v>88</v>
      </c>
      <c r="O25" t="s">
        <v>89</v>
      </c>
      <c r="P25">
        <v>0</v>
      </c>
      <c r="Q25">
        <v>9</v>
      </c>
      <c r="R25" t="s">
        <v>38</v>
      </c>
      <c r="S25" t="s">
        <v>31</v>
      </c>
      <c r="T25" t="s">
        <v>44</v>
      </c>
    </row>
    <row r="26" spans="1:20" x14ac:dyDescent="0.3">
      <c r="A26" t="s">
        <v>20</v>
      </c>
      <c r="B26" t="s">
        <v>126</v>
      </c>
      <c r="C26" t="s">
        <v>124</v>
      </c>
      <c r="D26" t="s">
        <v>35</v>
      </c>
      <c r="E26">
        <v>171</v>
      </c>
      <c r="F26">
        <v>6</v>
      </c>
      <c r="G26" t="s">
        <v>62</v>
      </c>
      <c r="H26">
        <v>169</v>
      </c>
      <c r="I26">
        <v>8</v>
      </c>
      <c r="J26" t="s">
        <v>127</v>
      </c>
      <c r="K26" t="s">
        <v>62</v>
      </c>
      <c r="L26" t="s">
        <v>26</v>
      </c>
      <c r="M26" t="s">
        <v>98</v>
      </c>
      <c r="N26" t="s">
        <v>88</v>
      </c>
      <c r="O26" t="s">
        <v>89</v>
      </c>
      <c r="P26">
        <v>0</v>
      </c>
      <c r="Q26">
        <v>2</v>
      </c>
      <c r="R26" t="s">
        <v>128</v>
      </c>
      <c r="S26" t="s">
        <v>32</v>
      </c>
      <c r="T26" t="s">
        <v>57</v>
      </c>
    </row>
    <row r="27" spans="1:20" x14ac:dyDescent="0.3">
      <c r="A27" t="s">
        <v>73</v>
      </c>
      <c r="B27" t="s">
        <v>129</v>
      </c>
      <c r="C27" t="s">
        <v>120</v>
      </c>
      <c r="D27" t="s">
        <v>53</v>
      </c>
      <c r="E27">
        <v>193</v>
      </c>
      <c r="F27">
        <v>3</v>
      </c>
      <c r="G27" t="s">
        <v>41</v>
      </c>
      <c r="H27">
        <v>160</v>
      </c>
      <c r="I27">
        <v>6</v>
      </c>
      <c r="J27" t="s">
        <v>130</v>
      </c>
      <c r="K27" t="s">
        <v>41</v>
      </c>
      <c r="L27" t="s">
        <v>26</v>
      </c>
      <c r="M27" t="s">
        <v>80</v>
      </c>
      <c r="N27" t="s">
        <v>28</v>
      </c>
      <c r="O27" t="s">
        <v>29</v>
      </c>
      <c r="P27">
        <v>0</v>
      </c>
      <c r="Q27">
        <v>33</v>
      </c>
      <c r="R27" t="s">
        <v>131</v>
      </c>
      <c r="S27" t="s">
        <v>56</v>
      </c>
      <c r="T27" t="s">
        <v>77</v>
      </c>
    </row>
    <row r="28" spans="1:20" x14ac:dyDescent="0.3">
      <c r="A28" t="s">
        <v>20</v>
      </c>
      <c r="B28" t="s">
        <v>132</v>
      </c>
      <c r="C28" t="s">
        <v>133</v>
      </c>
      <c r="D28" t="s">
        <v>41</v>
      </c>
      <c r="E28">
        <v>144</v>
      </c>
      <c r="F28">
        <v>9</v>
      </c>
      <c r="G28" t="s">
        <v>24</v>
      </c>
      <c r="H28">
        <v>130</v>
      </c>
      <c r="I28">
        <v>7</v>
      </c>
      <c r="J28" t="s">
        <v>134</v>
      </c>
      <c r="K28" t="s">
        <v>24</v>
      </c>
      <c r="L28" t="s">
        <v>26</v>
      </c>
      <c r="M28" t="s">
        <v>48</v>
      </c>
      <c r="N28" t="s">
        <v>28</v>
      </c>
      <c r="O28" t="s">
        <v>29</v>
      </c>
      <c r="P28">
        <v>0</v>
      </c>
      <c r="Q28">
        <v>14</v>
      </c>
      <c r="R28" t="s">
        <v>135</v>
      </c>
      <c r="S28" t="s">
        <v>57</v>
      </c>
      <c r="T28" t="s">
        <v>44</v>
      </c>
    </row>
    <row r="29" spans="1:20" x14ac:dyDescent="0.3">
      <c r="A29" t="s">
        <v>73</v>
      </c>
      <c r="B29" t="s">
        <v>136</v>
      </c>
      <c r="C29" t="s">
        <v>137</v>
      </c>
      <c r="D29" t="s">
        <v>24</v>
      </c>
      <c r="E29">
        <v>114</v>
      </c>
      <c r="F29">
        <v>10</v>
      </c>
      <c r="G29" t="s">
        <v>23</v>
      </c>
      <c r="H29">
        <v>117</v>
      </c>
      <c r="I29">
        <v>3</v>
      </c>
      <c r="J29" t="s">
        <v>54</v>
      </c>
      <c r="K29" t="s">
        <v>24</v>
      </c>
      <c r="L29" t="s">
        <v>37</v>
      </c>
      <c r="M29" t="s">
        <v>43</v>
      </c>
      <c r="N29" t="s">
        <v>28</v>
      </c>
      <c r="O29" t="s">
        <v>29</v>
      </c>
      <c r="P29">
        <v>7</v>
      </c>
      <c r="Q29">
        <v>0</v>
      </c>
      <c r="R29" t="s">
        <v>118</v>
      </c>
      <c r="S29" t="s">
        <v>32</v>
      </c>
      <c r="T29" t="s">
        <v>77</v>
      </c>
    </row>
    <row r="30" spans="1:20" x14ac:dyDescent="0.3">
      <c r="A30" t="s">
        <v>20</v>
      </c>
      <c r="B30" t="s">
        <v>138</v>
      </c>
      <c r="C30" t="s">
        <v>133</v>
      </c>
      <c r="D30" t="s">
        <v>23</v>
      </c>
      <c r="E30">
        <v>125</v>
      </c>
      <c r="F30">
        <v>6</v>
      </c>
      <c r="G30" t="s">
        <v>53</v>
      </c>
      <c r="H30">
        <v>126</v>
      </c>
      <c r="I30">
        <v>2</v>
      </c>
      <c r="J30" t="s">
        <v>139</v>
      </c>
      <c r="K30" t="s">
        <v>53</v>
      </c>
      <c r="L30" t="s">
        <v>26</v>
      </c>
      <c r="M30" t="s">
        <v>80</v>
      </c>
      <c r="N30" t="s">
        <v>28</v>
      </c>
      <c r="O30" t="s">
        <v>29</v>
      </c>
      <c r="P30">
        <v>8</v>
      </c>
      <c r="Q30">
        <v>0</v>
      </c>
      <c r="R30" t="s">
        <v>30</v>
      </c>
      <c r="S30" t="s">
        <v>31</v>
      </c>
      <c r="T30" t="s">
        <v>32</v>
      </c>
    </row>
    <row r="31" spans="1:20" x14ac:dyDescent="0.3">
      <c r="A31" t="s">
        <v>140</v>
      </c>
      <c r="B31" t="s">
        <v>21</v>
      </c>
      <c r="C31" t="s">
        <v>141</v>
      </c>
      <c r="D31" t="s">
        <v>142</v>
      </c>
      <c r="E31">
        <v>156</v>
      </c>
      <c r="F31">
        <v>4</v>
      </c>
      <c r="G31" t="s">
        <v>143</v>
      </c>
      <c r="H31">
        <v>157</v>
      </c>
      <c r="I31">
        <v>7</v>
      </c>
      <c r="J31" t="s">
        <v>144</v>
      </c>
      <c r="K31" t="s">
        <v>143</v>
      </c>
      <c r="L31" t="s">
        <v>26</v>
      </c>
      <c r="M31" t="s">
        <v>145</v>
      </c>
      <c r="N31" t="s">
        <v>28</v>
      </c>
      <c r="O31" t="s">
        <v>29</v>
      </c>
      <c r="P31">
        <v>3</v>
      </c>
      <c r="Q31">
        <v>0</v>
      </c>
      <c r="R31" t="s">
        <v>49</v>
      </c>
      <c r="S31" t="s">
        <v>146</v>
      </c>
      <c r="T31" t="s">
        <v>147</v>
      </c>
    </row>
    <row r="32" spans="1:20" x14ac:dyDescent="0.3">
      <c r="A32" t="s">
        <v>20</v>
      </c>
      <c r="B32" t="s">
        <v>148</v>
      </c>
      <c r="C32" t="s">
        <v>149</v>
      </c>
      <c r="D32" t="s">
        <v>35</v>
      </c>
      <c r="E32">
        <v>145</v>
      </c>
      <c r="F32">
        <v>7</v>
      </c>
      <c r="G32" t="s">
        <v>41</v>
      </c>
      <c r="H32">
        <v>146</v>
      </c>
      <c r="I32">
        <v>4</v>
      </c>
      <c r="J32" t="s">
        <v>150</v>
      </c>
      <c r="K32" t="s">
        <v>35</v>
      </c>
      <c r="L32" t="s">
        <v>37</v>
      </c>
      <c r="M32" t="s">
        <v>48</v>
      </c>
      <c r="N32" t="s">
        <v>28</v>
      </c>
      <c r="O32" t="s">
        <v>29</v>
      </c>
      <c r="P32">
        <v>6</v>
      </c>
      <c r="Q32">
        <v>0</v>
      </c>
      <c r="R32" t="s">
        <v>151</v>
      </c>
      <c r="S32" t="s">
        <v>31</v>
      </c>
      <c r="T32" t="s">
        <v>66</v>
      </c>
    </row>
    <row r="33" spans="1:20" x14ac:dyDescent="0.3">
      <c r="A33" t="s">
        <v>140</v>
      </c>
      <c r="B33" t="s">
        <v>152</v>
      </c>
      <c r="C33" t="s">
        <v>153</v>
      </c>
      <c r="D33" t="s">
        <v>113</v>
      </c>
      <c r="E33">
        <v>160</v>
      </c>
      <c r="F33">
        <v>9</v>
      </c>
      <c r="G33" t="s">
        <v>142</v>
      </c>
      <c r="H33">
        <v>163</v>
      </c>
      <c r="I33">
        <v>5</v>
      </c>
      <c r="J33" t="s">
        <v>154</v>
      </c>
      <c r="K33" t="s">
        <v>113</v>
      </c>
      <c r="L33" t="s">
        <v>37</v>
      </c>
      <c r="M33" t="s">
        <v>155</v>
      </c>
      <c r="N33" t="s">
        <v>28</v>
      </c>
      <c r="O33" t="s">
        <v>29</v>
      </c>
      <c r="P33">
        <v>5</v>
      </c>
      <c r="Q33">
        <v>0</v>
      </c>
      <c r="R33" t="s">
        <v>55</v>
      </c>
      <c r="S33" t="s">
        <v>32</v>
      </c>
      <c r="T33" t="s">
        <v>147</v>
      </c>
    </row>
    <row r="34" spans="1:20" x14ac:dyDescent="0.3">
      <c r="A34" t="s">
        <v>20</v>
      </c>
      <c r="B34" t="s">
        <v>156</v>
      </c>
      <c r="C34" t="s">
        <v>149</v>
      </c>
      <c r="D34" t="s">
        <v>62</v>
      </c>
      <c r="E34">
        <v>152</v>
      </c>
      <c r="F34">
        <v>4</v>
      </c>
      <c r="G34" t="s">
        <v>53</v>
      </c>
      <c r="H34">
        <v>154</v>
      </c>
      <c r="I34">
        <v>3</v>
      </c>
      <c r="J34" t="s">
        <v>157</v>
      </c>
      <c r="K34" t="s">
        <v>62</v>
      </c>
      <c r="L34" t="s">
        <v>37</v>
      </c>
      <c r="M34" t="s">
        <v>80</v>
      </c>
      <c r="N34" t="s">
        <v>28</v>
      </c>
      <c r="O34" t="s">
        <v>29</v>
      </c>
      <c r="P34">
        <v>7</v>
      </c>
      <c r="Q34">
        <v>0</v>
      </c>
      <c r="R34" t="s">
        <v>118</v>
      </c>
      <c r="S34" t="s">
        <v>32</v>
      </c>
      <c r="T34" t="s">
        <v>57</v>
      </c>
    </row>
    <row r="35" spans="1:20" x14ac:dyDescent="0.3">
      <c r="A35" t="s">
        <v>140</v>
      </c>
      <c r="B35" t="s">
        <v>158</v>
      </c>
      <c r="C35" t="s">
        <v>159</v>
      </c>
      <c r="D35" t="s">
        <v>142</v>
      </c>
      <c r="E35">
        <v>135</v>
      </c>
      <c r="F35">
        <v>5</v>
      </c>
      <c r="G35" t="s">
        <v>160</v>
      </c>
      <c r="H35">
        <v>117</v>
      </c>
      <c r="I35">
        <v>8</v>
      </c>
      <c r="J35" t="s">
        <v>161</v>
      </c>
      <c r="K35" t="s">
        <v>160</v>
      </c>
      <c r="L35" t="s">
        <v>26</v>
      </c>
      <c r="M35" t="s">
        <v>155</v>
      </c>
      <c r="N35" t="s">
        <v>28</v>
      </c>
      <c r="O35" t="s">
        <v>29</v>
      </c>
      <c r="P35">
        <v>0</v>
      </c>
      <c r="Q35">
        <v>18</v>
      </c>
      <c r="R35" t="s">
        <v>162</v>
      </c>
      <c r="S35" t="s">
        <v>146</v>
      </c>
      <c r="T35" t="s">
        <v>56</v>
      </c>
    </row>
    <row r="36" spans="1:20" x14ac:dyDescent="0.3">
      <c r="A36" t="s">
        <v>20</v>
      </c>
      <c r="B36" t="s">
        <v>163</v>
      </c>
      <c r="C36" t="s">
        <v>164</v>
      </c>
      <c r="D36" t="s">
        <v>24</v>
      </c>
      <c r="E36">
        <v>208</v>
      </c>
      <c r="F36">
        <v>5</v>
      </c>
      <c r="G36" t="s">
        <v>23</v>
      </c>
      <c r="H36">
        <v>187</v>
      </c>
      <c r="I36">
        <v>5</v>
      </c>
      <c r="J36" t="s">
        <v>36</v>
      </c>
      <c r="K36" t="s">
        <v>23</v>
      </c>
      <c r="L36" t="s">
        <v>26</v>
      </c>
      <c r="M36" t="s">
        <v>27</v>
      </c>
      <c r="N36" t="s">
        <v>28</v>
      </c>
      <c r="O36" t="s">
        <v>29</v>
      </c>
      <c r="P36">
        <v>0</v>
      </c>
      <c r="Q36">
        <v>21</v>
      </c>
      <c r="R36" t="s">
        <v>165</v>
      </c>
      <c r="S36" t="s">
        <v>57</v>
      </c>
      <c r="T36" t="s">
        <v>44</v>
      </c>
    </row>
    <row r="37" spans="1:20" x14ac:dyDescent="0.3">
      <c r="A37" t="s">
        <v>140</v>
      </c>
      <c r="B37" t="s">
        <v>152</v>
      </c>
      <c r="C37" t="s">
        <v>159</v>
      </c>
      <c r="D37" t="s">
        <v>143</v>
      </c>
      <c r="E37">
        <v>163</v>
      </c>
      <c r="F37">
        <v>7</v>
      </c>
      <c r="G37" t="s">
        <v>113</v>
      </c>
      <c r="H37">
        <v>91</v>
      </c>
      <c r="I37">
        <v>10</v>
      </c>
      <c r="J37" t="s">
        <v>166</v>
      </c>
      <c r="K37" t="s">
        <v>113</v>
      </c>
      <c r="L37" t="s">
        <v>26</v>
      </c>
      <c r="M37" t="s">
        <v>145</v>
      </c>
      <c r="N37" t="s">
        <v>28</v>
      </c>
      <c r="O37" t="s">
        <v>29</v>
      </c>
      <c r="P37">
        <v>0</v>
      </c>
      <c r="Q37">
        <v>72</v>
      </c>
      <c r="R37" t="s">
        <v>167</v>
      </c>
      <c r="S37" t="s">
        <v>32</v>
      </c>
      <c r="T37" t="s">
        <v>147</v>
      </c>
    </row>
    <row r="38" spans="1:20" x14ac:dyDescent="0.3">
      <c r="A38" t="s">
        <v>20</v>
      </c>
      <c r="B38" t="s">
        <v>168</v>
      </c>
      <c r="C38" t="s">
        <v>164</v>
      </c>
      <c r="D38" t="s">
        <v>41</v>
      </c>
      <c r="E38">
        <v>171</v>
      </c>
      <c r="F38">
        <v>8</v>
      </c>
      <c r="G38" t="s">
        <v>62</v>
      </c>
      <c r="H38">
        <v>155</v>
      </c>
      <c r="I38">
        <v>4</v>
      </c>
      <c r="J38" t="s">
        <v>134</v>
      </c>
      <c r="K38" t="s">
        <v>41</v>
      </c>
      <c r="L38" t="s">
        <v>37</v>
      </c>
      <c r="M38" t="s">
        <v>48</v>
      </c>
      <c r="N38" t="s">
        <v>28</v>
      </c>
      <c r="O38" t="s">
        <v>29</v>
      </c>
      <c r="P38">
        <v>0</v>
      </c>
      <c r="Q38">
        <v>16</v>
      </c>
      <c r="R38" t="s">
        <v>169</v>
      </c>
      <c r="S38" t="s">
        <v>31</v>
      </c>
      <c r="T38" t="s">
        <v>32</v>
      </c>
    </row>
    <row r="39" spans="1:20" x14ac:dyDescent="0.3">
      <c r="A39" t="s">
        <v>20</v>
      </c>
      <c r="B39" t="s">
        <v>170</v>
      </c>
      <c r="C39" t="s">
        <v>171</v>
      </c>
      <c r="D39" t="s">
        <v>53</v>
      </c>
      <c r="E39">
        <v>153</v>
      </c>
      <c r="F39">
        <v>6</v>
      </c>
      <c r="G39" t="s">
        <v>24</v>
      </c>
      <c r="H39">
        <v>156</v>
      </c>
      <c r="I39">
        <v>4</v>
      </c>
      <c r="J39" t="s">
        <v>172</v>
      </c>
      <c r="K39" t="s">
        <v>53</v>
      </c>
      <c r="L39" t="s">
        <v>37</v>
      </c>
      <c r="M39" t="s">
        <v>27</v>
      </c>
      <c r="N39" t="s">
        <v>28</v>
      </c>
      <c r="O39" t="s">
        <v>29</v>
      </c>
      <c r="P39">
        <v>6</v>
      </c>
      <c r="Q39">
        <v>0</v>
      </c>
      <c r="R39" t="s">
        <v>151</v>
      </c>
      <c r="S39" t="s">
        <v>31</v>
      </c>
      <c r="T39" t="s">
        <v>44</v>
      </c>
    </row>
    <row r="40" spans="1:20" x14ac:dyDescent="0.3">
      <c r="A40" t="s">
        <v>140</v>
      </c>
      <c r="B40" t="s">
        <v>45</v>
      </c>
      <c r="C40" t="s">
        <v>173</v>
      </c>
      <c r="D40" t="s">
        <v>143</v>
      </c>
      <c r="E40">
        <v>150</v>
      </c>
      <c r="F40">
        <v>4</v>
      </c>
      <c r="G40" t="s">
        <v>174</v>
      </c>
      <c r="H40">
        <v>79</v>
      </c>
      <c r="I40">
        <v>10</v>
      </c>
      <c r="J40" t="s">
        <v>42</v>
      </c>
      <c r="K40" t="s">
        <v>174</v>
      </c>
      <c r="L40" t="s">
        <v>26</v>
      </c>
      <c r="M40" t="s">
        <v>145</v>
      </c>
      <c r="N40" t="s">
        <v>28</v>
      </c>
      <c r="O40" t="s">
        <v>29</v>
      </c>
      <c r="P40">
        <v>0</v>
      </c>
      <c r="Q40">
        <v>71</v>
      </c>
      <c r="R40" t="s">
        <v>175</v>
      </c>
      <c r="S40" t="s">
        <v>146</v>
      </c>
      <c r="T40" t="s">
        <v>32</v>
      </c>
    </row>
    <row r="41" spans="1:20" x14ac:dyDescent="0.3">
      <c r="A41" t="s">
        <v>20</v>
      </c>
      <c r="B41" t="s">
        <v>176</v>
      </c>
      <c r="C41" t="s">
        <v>171</v>
      </c>
      <c r="D41" t="s">
        <v>23</v>
      </c>
      <c r="E41">
        <v>125</v>
      </c>
      <c r="F41">
        <v>10</v>
      </c>
      <c r="G41" t="s">
        <v>35</v>
      </c>
      <c r="H41">
        <v>131</v>
      </c>
      <c r="I41">
        <v>3</v>
      </c>
      <c r="J41" t="s">
        <v>177</v>
      </c>
      <c r="K41" t="s">
        <v>35</v>
      </c>
      <c r="L41" t="s">
        <v>26</v>
      </c>
      <c r="M41" t="s">
        <v>98</v>
      </c>
      <c r="N41" t="s">
        <v>28</v>
      </c>
      <c r="O41" t="s">
        <v>29</v>
      </c>
      <c r="P41">
        <v>7</v>
      </c>
      <c r="Q41">
        <v>0</v>
      </c>
      <c r="R41" t="s">
        <v>118</v>
      </c>
      <c r="S41" t="s">
        <v>32</v>
      </c>
      <c r="T41" t="s">
        <v>57</v>
      </c>
    </row>
    <row r="42" spans="1:20" x14ac:dyDescent="0.3">
      <c r="A42" t="s">
        <v>140</v>
      </c>
      <c r="B42" t="s">
        <v>51</v>
      </c>
      <c r="C42" t="s">
        <v>178</v>
      </c>
      <c r="D42" t="s">
        <v>179</v>
      </c>
      <c r="E42">
        <v>135</v>
      </c>
      <c r="F42">
        <v>7</v>
      </c>
      <c r="G42" t="s">
        <v>142</v>
      </c>
      <c r="H42">
        <v>141</v>
      </c>
      <c r="I42">
        <v>2</v>
      </c>
      <c r="J42" t="s">
        <v>102</v>
      </c>
      <c r="K42" t="s">
        <v>142</v>
      </c>
      <c r="L42" t="s">
        <v>26</v>
      </c>
      <c r="M42" t="s">
        <v>155</v>
      </c>
      <c r="N42" t="s">
        <v>28</v>
      </c>
      <c r="O42" t="s">
        <v>29</v>
      </c>
      <c r="P42">
        <v>8</v>
      </c>
      <c r="Q42">
        <v>0</v>
      </c>
      <c r="R42" t="s">
        <v>30</v>
      </c>
      <c r="S42" t="s">
        <v>146</v>
      </c>
      <c r="T42" t="s">
        <v>56</v>
      </c>
    </row>
    <row r="43" spans="1:20" x14ac:dyDescent="0.3">
      <c r="A43" t="s">
        <v>20</v>
      </c>
      <c r="B43" t="s">
        <v>180</v>
      </c>
      <c r="C43" t="s">
        <v>181</v>
      </c>
      <c r="D43" t="s">
        <v>62</v>
      </c>
      <c r="E43">
        <v>124</v>
      </c>
      <c r="F43">
        <v>10</v>
      </c>
      <c r="G43" t="s">
        <v>24</v>
      </c>
      <c r="H43">
        <v>126</v>
      </c>
      <c r="I43">
        <v>3</v>
      </c>
      <c r="J43" t="s">
        <v>182</v>
      </c>
      <c r="K43" t="s">
        <v>62</v>
      </c>
      <c r="L43" t="s">
        <v>37</v>
      </c>
      <c r="M43" t="s">
        <v>27</v>
      </c>
      <c r="N43" t="s">
        <v>28</v>
      </c>
      <c r="O43" t="s">
        <v>29</v>
      </c>
      <c r="P43">
        <v>7</v>
      </c>
      <c r="Q43">
        <v>0</v>
      </c>
      <c r="R43" t="s">
        <v>118</v>
      </c>
      <c r="S43" t="s">
        <v>57</v>
      </c>
      <c r="T43" t="s">
        <v>44</v>
      </c>
    </row>
    <row r="44" spans="1:20" x14ac:dyDescent="0.3">
      <c r="A44" t="s">
        <v>140</v>
      </c>
      <c r="B44" t="s">
        <v>58</v>
      </c>
      <c r="C44" t="s">
        <v>178</v>
      </c>
      <c r="D44" t="s">
        <v>160</v>
      </c>
      <c r="E44">
        <v>157</v>
      </c>
      <c r="F44">
        <v>5</v>
      </c>
      <c r="G44" t="s">
        <v>174</v>
      </c>
      <c r="H44">
        <v>162</v>
      </c>
      <c r="I44">
        <v>4</v>
      </c>
      <c r="J44" t="s">
        <v>183</v>
      </c>
      <c r="K44" t="s">
        <v>174</v>
      </c>
      <c r="L44" t="s">
        <v>26</v>
      </c>
      <c r="M44" t="s">
        <v>184</v>
      </c>
      <c r="N44" t="s">
        <v>28</v>
      </c>
      <c r="O44" t="s">
        <v>29</v>
      </c>
      <c r="P44">
        <v>0</v>
      </c>
      <c r="Q44">
        <v>0</v>
      </c>
      <c r="R44" t="s">
        <v>185</v>
      </c>
      <c r="S44" t="s">
        <v>50</v>
      </c>
      <c r="T44" t="s">
        <v>66</v>
      </c>
    </row>
    <row r="45" spans="1:20" x14ac:dyDescent="0.3">
      <c r="A45" t="s">
        <v>20</v>
      </c>
      <c r="B45" t="s">
        <v>186</v>
      </c>
      <c r="C45" t="s">
        <v>181</v>
      </c>
      <c r="D45" t="s">
        <v>35</v>
      </c>
      <c r="E45">
        <v>171</v>
      </c>
      <c r="F45">
        <v>3</v>
      </c>
      <c r="G45" t="s">
        <v>53</v>
      </c>
      <c r="H45">
        <v>174</v>
      </c>
      <c r="I45">
        <v>4</v>
      </c>
      <c r="J45" t="s">
        <v>139</v>
      </c>
      <c r="K45" t="s">
        <v>35</v>
      </c>
      <c r="L45" t="s">
        <v>37</v>
      </c>
      <c r="M45" t="s">
        <v>80</v>
      </c>
      <c r="N45" t="s">
        <v>28</v>
      </c>
      <c r="O45" t="s">
        <v>29</v>
      </c>
      <c r="P45">
        <v>6</v>
      </c>
      <c r="Q45">
        <v>0</v>
      </c>
      <c r="R45" t="s">
        <v>151</v>
      </c>
      <c r="S45" t="s">
        <v>31</v>
      </c>
      <c r="T45" t="s">
        <v>32</v>
      </c>
    </row>
    <row r="46" spans="1:20" x14ac:dyDescent="0.3">
      <c r="A46" t="s">
        <v>140</v>
      </c>
      <c r="B46" t="s">
        <v>60</v>
      </c>
      <c r="C46" t="s">
        <v>187</v>
      </c>
      <c r="D46" t="s">
        <v>113</v>
      </c>
      <c r="E46">
        <v>153</v>
      </c>
      <c r="F46">
        <v>6</v>
      </c>
      <c r="G46" t="s">
        <v>143</v>
      </c>
      <c r="H46">
        <v>132</v>
      </c>
      <c r="I46">
        <v>10</v>
      </c>
      <c r="J46" t="s">
        <v>188</v>
      </c>
      <c r="K46" t="s">
        <v>143</v>
      </c>
      <c r="L46" t="s">
        <v>26</v>
      </c>
      <c r="M46" t="s">
        <v>189</v>
      </c>
      <c r="N46" t="s">
        <v>28</v>
      </c>
      <c r="O46" t="s">
        <v>29</v>
      </c>
      <c r="P46">
        <v>0</v>
      </c>
      <c r="Q46">
        <v>21</v>
      </c>
      <c r="R46" t="s">
        <v>165</v>
      </c>
      <c r="S46" t="s">
        <v>56</v>
      </c>
      <c r="T46" t="s">
        <v>147</v>
      </c>
    </row>
    <row r="47" spans="1:20" x14ac:dyDescent="0.3">
      <c r="A47" t="s">
        <v>20</v>
      </c>
      <c r="B47" t="s">
        <v>190</v>
      </c>
      <c r="C47" t="s">
        <v>191</v>
      </c>
      <c r="D47" t="s">
        <v>23</v>
      </c>
      <c r="E47">
        <v>180</v>
      </c>
      <c r="F47">
        <v>2</v>
      </c>
      <c r="G47" t="s">
        <v>41</v>
      </c>
      <c r="H47">
        <v>158</v>
      </c>
      <c r="I47">
        <v>9</v>
      </c>
      <c r="J47" t="s">
        <v>42</v>
      </c>
      <c r="K47" t="s">
        <v>23</v>
      </c>
      <c r="L47" t="s">
        <v>37</v>
      </c>
      <c r="M47" t="s">
        <v>43</v>
      </c>
      <c r="N47" t="s">
        <v>28</v>
      </c>
      <c r="O47" t="s">
        <v>29</v>
      </c>
      <c r="P47">
        <v>0</v>
      </c>
      <c r="Q47">
        <v>22</v>
      </c>
      <c r="R47" t="s">
        <v>192</v>
      </c>
      <c r="S47" t="s">
        <v>31</v>
      </c>
      <c r="T47" t="s">
        <v>56</v>
      </c>
    </row>
    <row r="48" spans="1:20" x14ac:dyDescent="0.3">
      <c r="A48" t="s">
        <v>140</v>
      </c>
      <c r="B48" t="s">
        <v>67</v>
      </c>
      <c r="C48" t="s">
        <v>187</v>
      </c>
      <c r="D48" t="s">
        <v>160</v>
      </c>
      <c r="E48">
        <v>121</v>
      </c>
      <c r="F48">
        <v>8</v>
      </c>
      <c r="G48" t="s">
        <v>179</v>
      </c>
      <c r="H48">
        <v>76</v>
      </c>
      <c r="I48">
        <v>10</v>
      </c>
      <c r="J48" t="s">
        <v>75</v>
      </c>
      <c r="K48" t="s">
        <v>179</v>
      </c>
      <c r="L48" t="s">
        <v>26</v>
      </c>
      <c r="M48" t="s">
        <v>193</v>
      </c>
      <c r="N48" t="s">
        <v>28</v>
      </c>
      <c r="O48" t="s">
        <v>29</v>
      </c>
      <c r="P48">
        <v>0</v>
      </c>
      <c r="Q48">
        <v>45</v>
      </c>
      <c r="R48" t="s">
        <v>194</v>
      </c>
      <c r="S48" t="s">
        <v>146</v>
      </c>
      <c r="T48" t="s">
        <v>66</v>
      </c>
    </row>
    <row r="49" spans="1:20" x14ac:dyDescent="0.3">
      <c r="A49" t="s">
        <v>20</v>
      </c>
      <c r="B49" t="s">
        <v>195</v>
      </c>
      <c r="C49" t="s">
        <v>191</v>
      </c>
      <c r="D49" t="s">
        <v>35</v>
      </c>
      <c r="E49">
        <v>175</v>
      </c>
      <c r="F49">
        <v>5</v>
      </c>
      <c r="G49" t="s">
        <v>24</v>
      </c>
      <c r="H49">
        <v>156</v>
      </c>
      <c r="I49">
        <v>7</v>
      </c>
      <c r="J49" t="s">
        <v>127</v>
      </c>
      <c r="K49" t="s">
        <v>35</v>
      </c>
      <c r="L49" t="s">
        <v>37</v>
      </c>
      <c r="M49" t="s">
        <v>98</v>
      </c>
      <c r="N49" t="s">
        <v>28</v>
      </c>
      <c r="O49" t="s">
        <v>29</v>
      </c>
      <c r="P49">
        <v>0</v>
      </c>
      <c r="Q49">
        <v>19</v>
      </c>
      <c r="R49" t="s">
        <v>196</v>
      </c>
      <c r="S49" t="s">
        <v>57</v>
      </c>
      <c r="T49" t="s">
        <v>44</v>
      </c>
    </row>
    <row r="50" spans="1:20" x14ac:dyDescent="0.3">
      <c r="A50" t="s">
        <v>197</v>
      </c>
      <c r="B50" t="s">
        <v>21</v>
      </c>
      <c r="C50" t="s">
        <v>198</v>
      </c>
      <c r="D50" t="s">
        <v>160</v>
      </c>
      <c r="E50">
        <v>159</v>
      </c>
      <c r="F50">
        <v>9</v>
      </c>
      <c r="G50" t="s">
        <v>199</v>
      </c>
      <c r="H50">
        <v>103</v>
      </c>
      <c r="I50">
        <v>10</v>
      </c>
      <c r="J50" t="s">
        <v>200</v>
      </c>
      <c r="K50" t="s">
        <v>199</v>
      </c>
      <c r="L50" t="s">
        <v>26</v>
      </c>
      <c r="M50" t="s">
        <v>193</v>
      </c>
      <c r="N50" t="s">
        <v>28</v>
      </c>
      <c r="O50" t="s">
        <v>29</v>
      </c>
      <c r="P50">
        <v>0</v>
      </c>
      <c r="Q50">
        <v>56</v>
      </c>
      <c r="R50" t="s">
        <v>201</v>
      </c>
      <c r="S50" t="s">
        <v>202</v>
      </c>
      <c r="T50" t="s">
        <v>50</v>
      </c>
    </row>
    <row r="51" spans="1:20" x14ac:dyDescent="0.3">
      <c r="A51" t="s">
        <v>20</v>
      </c>
      <c r="B51" t="s">
        <v>33</v>
      </c>
      <c r="C51" t="s">
        <v>203</v>
      </c>
      <c r="D51" t="s">
        <v>53</v>
      </c>
      <c r="E51">
        <v>206</v>
      </c>
      <c r="F51">
        <v>4</v>
      </c>
      <c r="G51" t="s">
        <v>41</v>
      </c>
      <c r="H51">
        <v>153</v>
      </c>
      <c r="I51">
        <v>10</v>
      </c>
      <c r="J51" t="s">
        <v>79</v>
      </c>
      <c r="K51" t="s">
        <v>53</v>
      </c>
      <c r="L51" t="s">
        <v>37</v>
      </c>
      <c r="M51" t="s">
        <v>80</v>
      </c>
      <c r="N51" t="s">
        <v>28</v>
      </c>
      <c r="O51" t="s">
        <v>29</v>
      </c>
      <c r="P51">
        <v>0</v>
      </c>
      <c r="Q51">
        <v>53</v>
      </c>
      <c r="R51" t="s">
        <v>204</v>
      </c>
      <c r="S51" t="s">
        <v>57</v>
      </c>
      <c r="T51" t="s">
        <v>44</v>
      </c>
    </row>
    <row r="52" spans="1:20" x14ac:dyDescent="0.3">
      <c r="A52" t="s">
        <v>197</v>
      </c>
      <c r="B52" t="s">
        <v>152</v>
      </c>
      <c r="C52" t="s">
        <v>205</v>
      </c>
      <c r="D52" t="s">
        <v>206</v>
      </c>
      <c r="E52">
        <v>125</v>
      </c>
      <c r="F52">
        <v>9</v>
      </c>
      <c r="G52" t="s">
        <v>199</v>
      </c>
      <c r="H52">
        <v>129</v>
      </c>
      <c r="I52">
        <v>3</v>
      </c>
      <c r="J52" t="s">
        <v>207</v>
      </c>
      <c r="K52" t="s">
        <v>206</v>
      </c>
      <c r="L52" t="s">
        <v>37</v>
      </c>
      <c r="M52" t="s">
        <v>208</v>
      </c>
      <c r="N52" t="s">
        <v>28</v>
      </c>
      <c r="O52" t="s">
        <v>29</v>
      </c>
      <c r="P52">
        <v>7</v>
      </c>
      <c r="Q52">
        <v>0</v>
      </c>
      <c r="R52" t="s">
        <v>118</v>
      </c>
      <c r="S52" t="s">
        <v>66</v>
      </c>
      <c r="T52" t="s">
        <v>147</v>
      </c>
    </row>
    <row r="53" spans="1:20" x14ac:dyDescent="0.3">
      <c r="A53" t="s">
        <v>20</v>
      </c>
      <c r="B53" t="s">
        <v>40</v>
      </c>
      <c r="C53" t="s">
        <v>203</v>
      </c>
      <c r="D53" t="s">
        <v>62</v>
      </c>
      <c r="E53">
        <v>165</v>
      </c>
      <c r="F53">
        <v>4</v>
      </c>
      <c r="G53" t="s">
        <v>23</v>
      </c>
      <c r="H53">
        <v>167</v>
      </c>
      <c r="I53">
        <v>0</v>
      </c>
      <c r="J53" t="s">
        <v>102</v>
      </c>
      <c r="K53" t="s">
        <v>23</v>
      </c>
      <c r="L53" t="s">
        <v>26</v>
      </c>
      <c r="M53" t="s">
        <v>43</v>
      </c>
      <c r="N53" t="s">
        <v>28</v>
      </c>
      <c r="O53" t="s">
        <v>29</v>
      </c>
      <c r="P53">
        <v>10</v>
      </c>
      <c r="Q53">
        <v>0</v>
      </c>
      <c r="R53" t="s">
        <v>209</v>
      </c>
      <c r="S53" t="s">
        <v>72</v>
      </c>
      <c r="T53" t="s">
        <v>31</v>
      </c>
    </row>
    <row r="54" spans="1:20" x14ac:dyDescent="0.3">
      <c r="A54" t="s">
        <v>197</v>
      </c>
      <c r="B54" t="s">
        <v>152</v>
      </c>
      <c r="C54" t="s">
        <v>210</v>
      </c>
      <c r="D54" t="s">
        <v>160</v>
      </c>
      <c r="E54">
        <v>140</v>
      </c>
      <c r="F54">
        <v>8</v>
      </c>
      <c r="G54" t="s">
        <v>206</v>
      </c>
      <c r="H54">
        <v>86</v>
      </c>
      <c r="I54">
        <v>10</v>
      </c>
      <c r="J54" t="s">
        <v>127</v>
      </c>
      <c r="K54" t="s">
        <v>206</v>
      </c>
      <c r="L54" t="s">
        <v>26</v>
      </c>
      <c r="M54" t="s">
        <v>193</v>
      </c>
      <c r="N54" t="s">
        <v>28</v>
      </c>
      <c r="O54" t="s">
        <v>29</v>
      </c>
      <c r="P54">
        <v>0</v>
      </c>
      <c r="Q54">
        <v>54</v>
      </c>
      <c r="R54" t="s">
        <v>211</v>
      </c>
      <c r="S54" t="s">
        <v>202</v>
      </c>
      <c r="T54" t="s">
        <v>39</v>
      </c>
    </row>
    <row r="55" spans="1:20" x14ac:dyDescent="0.3">
      <c r="A55" t="s">
        <v>197</v>
      </c>
      <c r="B55" t="s">
        <v>212</v>
      </c>
      <c r="C55" t="s">
        <v>210</v>
      </c>
      <c r="D55" t="s">
        <v>179</v>
      </c>
      <c r="E55">
        <v>142</v>
      </c>
      <c r="F55">
        <v>8</v>
      </c>
      <c r="G55" t="s">
        <v>199</v>
      </c>
      <c r="H55">
        <v>143</v>
      </c>
      <c r="I55">
        <v>7</v>
      </c>
      <c r="J55" t="s">
        <v>213</v>
      </c>
      <c r="K55" t="s">
        <v>199</v>
      </c>
      <c r="L55" t="s">
        <v>26</v>
      </c>
      <c r="M55" t="s">
        <v>208</v>
      </c>
      <c r="N55" t="s">
        <v>28</v>
      </c>
      <c r="O55" t="s">
        <v>29</v>
      </c>
      <c r="P55">
        <v>3</v>
      </c>
      <c r="Q55">
        <v>0</v>
      </c>
      <c r="R55" t="s">
        <v>49</v>
      </c>
      <c r="S55" t="s">
        <v>66</v>
      </c>
      <c r="T55" t="s">
        <v>147</v>
      </c>
    </row>
    <row r="56" spans="1:20" x14ac:dyDescent="0.3">
      <c r="A56" t="s">
        <v>197</v>
      </c>
      <c r="B56" t="s">
        <v>106</v>
      </c>
      <c r="C56" t="s">
        <v>214</v>
      </c>
      <c r="D56" t="s">
        <v>160</v>
      </c>
      <c r="E56">
        <v>158</v>
      </c>
      <c r="F56">
        <v>7</v>
      </c>
      <c r="G56" t="s">
        <v>206</v>
      </c>
      <c r="H56">
        <v>159</v>
      </c>
      <c r="I56">
        <v>4</v>
      </c>
      <c r="J56" t="s">
        <v>157</v>
      </c>
      <c r="K56" t="s">
        <v>206</v>
      </c>
      <c r="L56" t="s">
        <v>26</v>
      </c>
      <c r="M56" t="s">
        <v>215</v>
      </c>
      <c r="N56" t="s">
        <v>28</v>
      </c>
      <c r="O56" t="s">
        <v>29</v>
      </c>
      <c r="P56">
        <v>6</v>
      </c>
      <c r="Q56">
        <v>0</v>
      </c>
      <c r="R56" t="s">
        <v>151</v>
      </c>
      <c r="S56" t="s">
        <v>216</v>
      </c>
      <c r="T56" t="s">
        <v>147</v>
      </c>
    </row>
    <row r="57" spans="1:20" x14ac:dyDescent="0.3">
      <c r="A57" t="s">
        <v>197</v>
      </c>
      <c r="B57" t="s">
        <v>112</v>
      </c>
      <c r="C57" t="s">
        <v>214</v>
      </c>
      <c r="D57" t="s">
        <v>143</v>
      </c>
      <c r="E57">
        <v>170</v>
      </c>
      <c r="F57">
        <v>6</v>
      </c>
      <c r="G57" t="s">
        <v>113</v>
      </c>
      <c r="H57">
        <v>162</v>
      </c>
      <c r="I57">
        <v>8</v>
      </c>
      <c r="J57" t="s">
        <v>217</v>
      </c>
      <c r="K57" t="s">
        <v>113</v>
      </c>
      <c r="L57" t="s">
        <v>26</v>
      </c>
      <c r="M57" t="s">
        <v>145</v>
      </c>
      <c r="N57" t="s">
        <v>28</v>
      </c>
      <c r="O57" t="s">
        <v>29</v>
      </c>
      <c r="P57">
        <v>0</v>
      </c>
      <c r="Q57">
        <v>8</v>
      </c>
      <c r="R57" t="s">
        <v>218</v>
      </c>
      <c r="S57" t="s">
        <v>202</v>
      </c>
      <c r="T57" t="s">
        <v>39</v>
      </c>
    </row>
    <row r="58" spans="1:20" x14ac:dyDescent="0.3">
      <c r="A58" t="s">
        <v>197</v>
      </c>
      <c r="B58" t="s">
        <v>119</v>
      </c>
      <c r="C58" t="s">
        <v>219</v>
      </c>
      <c r="D58" t="s">
        <v>179</v>
      </c>
      <c r="E58">
        <v>111</v>
      </c>
      <c r="F58">
        <v>9</v>
      </c>
      <c r="G58" t="s">
        <v>199</v>
      </c>
      <c r="H58">
        <v>112</v>
      </c>
      <c r="I58">
        <v>4</v>
      </c>
      <c r="J58" t="s">
        <v>220</v>
      </c>
      <c r="K58" t="s">
        <v>199</v>
      </c>
      <c r="L58" t="s">
        <v>26</v>
      </c>
      <c r="M58" t="s">
        <v>208</v>
      </c>
      <c r="N58" t="s">
        <v>28</v>
      </c>
      <c r="O58" t="s">
        <v>29</v>
      </c>
      <c r="P58">
        <v>6</v>
      </c>
      <c r="Q58">
        <v>0</v>
      </c>
      <c r="R58" t="s">
        <v>151</v>
      </c>
      <c r="S58" t="s">
        <v>39</v>
      </c>
      <c r="T58" t="s">
        <v>147</v>
      </c>
    </row>
    <row r="59" spans="1:20" x14ac:dyDescent="0.3">
      <c r="A59" t="s">
        <v>197</v>
      </c>
      <c r="B59" t="s">
        <v>129</v>
      </c>
      <c r="C59" t="s">
        <v>219</v>
      </c>
      <c r="D59" t="s">
        <v>113</v>
      </c>
      <c r="E59">
        <v>154</v>
      </c>
      <c r="F59">
        <v>5</v>
      </c>
      <c r="G59" t="s">
        <v>142</v>
      </c>
      <c r="H59">
        <v>125</v>
      </c>
      <c r="I59">
        <v>10</v>
      </c>
      <c r="J59" t="s">
        <v>221</v>
      </c>
      <c r="K59" t="s">
        <v>113</v>
      </c>
      <c r="L59" t="s">
        <v>37</v>
      </c>
      <c r="M59" t="s">
        <v>189</v>
      </c>
      <c r="N59" t="s">
        <v>28</v>
      </c>
      <c r="O59" t="s">
        <v>29</v>
      </c>
      <c r="P59">
        <v>0</v>
      </c>
      <c r="Q59">
        <v>29</v>
      </c>
      <c r="R59" t="s">
        <v>109</v>
      </c>
      <c r="S59" t="s">
        <v>222</v>
      </c>
      <c r="T59" t="s">
        <v>50</v>
      </c>
    </row>
    <row r="60" spans="1:20" x14ac:dyDescent="0.3">
      <c r="A60" t="s">
        <v>197</v>
      </c>
      <c r="B60" t="s">
        <v>136</v>
      </c>
      <c r="C60" t="s">
        <v>223</v>
      </c>
      <c r="D60" t="s">
        <v>179</v>
      </c>
      <c r="E60">
        <v>134</v>
      </c>
      <c r="F60">
        <v>6</v>
      </c>
      <c r="G60" t="s">
        <v>160</v>
      </c>
      <c r="H60">
        <v>135</v>
      </c>
      <c r="I60">
        <v>4</v>
      </c>
      <c r="J60" t="s">
        <v>79</v>
      </c>
      <c r="K60" t="s">
        <v>160</v>
      </c>
      <c r="L60" t="s">
        <v>26</v>
      </c>
      <c r="M60" t="s">
        <v>193</v>
      </c>
      <c r="N60" t="s">
        <v>28</v>
      </c>
      <c r="O60" t="s">
        <v>29</v>
      </c>
      <c r="P60">
        <v>6</v>
      </c>
      <c r="Q60">
        <v>0</v>
      </c>
      <c r="R60" t="s">
        <v>151</v>
      </c>
      <c r="S60" t="s">
        <v>222</v>
      </c>
      <c r="T60" t="s">
        <v>66</v>
      </c>
    </row>
    <row r="61" spans="1:20" x14ac:dyDescent="0.3">
      <c r="A61" t="s">
        <v>197</v>
      </c>
      <c r="B61" t="s">
        <v>224</v>
      </c>
      <c r="C61" t="s">
        <v>223</v>
      </c>
      <c r="D61" t="s">
        <v>206</v>
      </c>
      <c r="E61">
        <v>141</v>
      </c>
      <c r="F61">
        <v>6</v>
      </c>
      <c r="G61" t="s">
        <v>143</v>
      </c>
      <c r="H61">
        <v>142</v>
      </c>
      <c r="I61">
        <v>5</v>
      </c>
      <c r="J61" t="s">
        <v>134</v>
      </c>
      <c r="K61" t="s">
        <v>143</v>
      </c>
      <c r="L61" t="s">
        <v>26</v>
      </c>
      <c r="M61" t="s">
        <v>145</v>
      </c>
      <c r="N61" t="s">
        <v>28</v>
      </c>
      <c r="O61" t="s">
        <v>29</v>
      </c>
      <c r="P61">
        <v>5</v>
      </c>
      <c r="Q61">
        <v>0</v>
      </c>
      <c r="R61" t="s">
        <v>55</v>
      </c>
      <c r="S61" t="s">
        <v>147</v>
      </c>
      <c r="T61" t="s">
        <v>225</v>
      </c>
    </row>
    <row r="62" spans="1:20" x14ac:dyDescent="0.3">
      <c r="A62" t="s">
        <v>226</v>
      </c>
      <c r="B62" t="s">
        <v>21</v>
      </c>
      <c r="C62" t="s">
        <v>227</v>
      </c>
      <c r="D62" t="s">
        <v>113</v>
      </c>
      <c r="E62">
        <v>206</v>
      </c>
      <c r="F62">
        <v>1</v>
      </c>
      <c r="G62" t="s">
        <v>160</v>
      </c>
      <c r="H62">
        <v>149</v>
      </c>
      <c r="I62">
        <v>9</v>
      </c>
      <c r="J62" t="s">
        <v>102</v>
      </c>
      <c r="K62" t="s">
        <v>160</v>
      </c>
      <c r="L62" t="s">
        <v>26</v>
      </c>
      <c r="M62" t="s">
        <v>189</v>
      </c>
      <c r="N62" t="s">
        <v>28</v>
      </c>
      <c r="O62" t="s">
        <v>29</v>
      </c>
      <c r="P62">
        <v>0</v>
      </c>
      <c r="Q62">
        <v>57</v>
      </c>
      <c r="R62" t="s">
        <v>228</v>
      </c>
      <c r="S62" t="s">
        <v>50</v>
      </c>
      <c r="T62" t="s">
        <v>229</v>
      </c>
    </row>
    <row r="63" spans="1:20" x14ac:dyDescent="0.3">
      <c r="A63" t="s">
        <v>226</v>
      </c>
      <c r="B63" t="s">
        <v>152</v>
      </c>
      <c r="C63" t="s">
        <v>230</v>
      </c>
      <c r="D63" t="s">
        <v>113</v>
      </c>
      <c r="E63">
        <v>192</v>
      </c>
      <c r="F63">
        <v>3</v>
      </c>
      <c r="G63" t="s">
        <v>143</v>
      </c>
      <c r="H63">
        <v>156</v>
      </c>
      <c r="I63">
        <v>10</v>
      </c>
      <c r="J63" t="s">
        <v>231</v>
      </c>
      <c r="K63" t="s">
        <v>143</v>
      </c>
      <c r="L63" t="s">
        <v>26</v>
      </c>
      <c r="M63" t="s">
        <v>189</v>
      </c>
      <c r="N63" t="s">
        <v>28</v>
      </c>
      <c r="O63" t="s">
        <v>29</v>
      </c>
      <c r="P63">
        <v>0</v>
      </c>
      <c r="Q63">
        <v>36</v>
      </c>
      <c r="R63" t="s">
        <v>232</v>
      </c>
      <c r="S63" t="s">
        <v>56</v>
      </c>
      <c r="T63" t="s">
        <v>233</v>
      </c>
    </row>
    <row r="64" spans="1:20" x14ac:dyDescent="0.3">
      <c r="A64" t="s">
        <v>226</v>
      </c>
      <c r="B64" t="s">
        <v>152</v>
      </c>
      <c r="C64" t="s">
        <v>234</v>
      </c>
      <c r="D64" t="s">
        <v>160</v>
      </c>
      <c r="E64">
        <v>191</v>
      </c>
      <c r="F64">
        <v>7</v>
      </c>
      <c r="G64" t="s">
        <v>143</v>
      </c>
      <c r="H64">
        <v>96</v>
      </c>
      <c r="I64">
        <v>10</v>
      </c>
      <c r="J64" t="s">
        <v>235</v>
      </c>
      <c r="K64" t="s">
        <v>160</v>
      </c>
      <c r="L64" t="s">
        <v>37</v>
      </c>
      <c r="M64" t="s">
        <v>193</v>
      </c>
      <c r="N64" t="s">
        <v>28</v>
      </c>
      <c r="O64" t="s">
        <v>29</v>
      </c>
      <c r="P64">
        <v>0</v>
      </c>
      <c r="Q64">
        <v>95</v>
      </c>
      <c r="R64" t="s">
        <v>236</v>
      </c>
      <c r="S64" t="s">
        <v>50</v>
      </c>
      <c r="T64" t="s">
        <v>66</v>
      </c>
    </row>
    <row r="65" spans="1:20" x14ac:dyDescent="0.3">
      <c r="A65" t="s">
        <v>226</v>
      </c>
      <c r="B65" t="s">
        <v>212</v>
      </c>
      <c r="C65" t="s">
        <v>234</v>
      </c>
      <c r="D65" t="s">
        <v>206</v>
      </c>
      <c r="E65">
        <v>167</v>
      </c>
      <c r="F65">
        <v>6</v>
      </c>
      <c r="G65" t="s">
        <v>113</v>
      </c>
      <c r="H65">
        <v>171</v>
      </c>
      <c r="I65">
        <v>2</v>
      </c>
      <c r="J65" t="s">
        <v>102</v>
      </c>
      <c r="K65" t="s">
        <v>113</v>
      </c>
      <c r="L65" t="s">
        <v>26</v>
      </c>
      <c r="M65" t="s">
        <v>189</v>
      </c>
      <c r="N65" t="s">
        <v>28</v>
      </c>
      <c r="O65" t="s">
        <v>29</v>
      </c>
      <c r="P65">
        <v>8</v>
      </c>
      <c r="Q65">
        <v>0</v>
      </c>
      <c r="R65" t="s">
        <v>30</v>
      </c>
      <c r="S65" t="s">
        <v>72</v>
      </c>
      <c r="T65" t="s">
        <v>66</v>
      </c>
    </row>
    <row r="66" spans="1:20" x14ac:dyDescent="0.3">
      <c r="A66" t="s">
        <v>226</v>
      </c>
      <c r="B66" t="s">
        <v>106</v>
      </c>
      <c r="C66" t="s">
        <v>237</v>
      </c>
      <c r="D66" t="s">
        <v>143</v>
      </c>
      <c r="E66">
        <v>170</v>
      </c>
      <c r="F66">
        <v>4</v>
      </c>
      <c r="G66" t="s">
        <v>238</v>
      </c>
      <c r="H66">
        <v>145</v>
      </c>
      <c r="I66">
        <v>7</v>
      </c>
      <c r="J66" t="s">
        <v>239</v>
      </c>
      <c r="K66" t="s">
        <v>238</v>
      </c>
      <c r="L66" t="s">
        <v>26</v>
      </c>
      <c r="M66" t="s">
        <v>145</v>
      </c>
      <c r="N66" t="s">
        <v>28</v>
      </c>
      <c r="O66" t="s">
        <v>29</v>
      </c>
      <c r="P66">
        <v>0</v>
      </c>
      <c r="Q66">
        <v>25</v>
      </c>
      <c r="R66" t="s">
        <v>240</v>
      </c>
      <c r="S66" t="s">
        <v>241</v>
      </c>
      <c r="T66" t="s">
        <v>242</v>
      </c>
    </row>
    <row r="67" spans="1:20" x14ac:dyDescent="0.3">
      <c r="A67" t="s">
        <v>226</v>
      </c>
      <c r="B67" t="s">
        <v>112</v>
      </c>
      <c r="C67" t="s">
        <v>237</v>
      </c>
      <c r="D67" t="s">
        <v>160</v>
      </c>
      <c r="E67">
        <v>137</v>
      </c>
      <c r="F67">
        <v>7</v>
      </c>
      <c r="G67" t="s">
        <v>113</v>
      </c>
      <c r="H67">
        <v>94</v>
      </c>
      <c r="I67">
        <v>7</v>
      </c>
      <c r="J67" t="s">
        <v>108</v>
      </c>
      <c r="K67" t="s">
        <v>160</v>
      </c>
      <c r="L67" t="s">
        <v>37</v>
      </c>
      <c r="M67" t="s">
        <v>193</v>
      </c>
      <c r="N67" t="s">
        <v>28</v>
      </c>
      <c r="O67" t="s">
        <v>29</v>
      </c>
      <c r="P67">
        <v>0</v>
      </c>
      <c r="Q67">
        <v>43</v>
      </c>
      <c r="R67" t="s">
        <v>76</v>
      </c>
      <c r="S67" t="s">
        <v>39</v>
      </c>
      <c r="T67" t="s">
        <v>229</v>
      </c>
    </row>
    <row r="68" spans="1:20" x14ac:dyDescent="0.3">
      <c r="A68" t="s">
        <v>226</v>
      </c>
      <c r="B68" t="s">
        <v>119</v>
      </c>
      <c r="C68" t="s">
        <v>243</v>
      </c>
      <c r="D68" t="s">
        <v>179</v>
      </c>
      <c r="E68">
        <v>194</v>
      </c>
      <c r="F68">
        <v>2</v>
      </c>
      <c r="G68" t="s">
        <v>199</v>
      </c>
      <c r="H68">
        <v>149</v>
      </c>
      <c r="I68">
        <v>9</v>
      </c>
      <c r="J68" t="s">
        <v>244</v>
      </c>
      <c r="K68" t="s">
        <v>199</v>
      </c>
      <c r="L68" t="s">
        <v>26</v>
      </c>
      <c r="M68" t="s">
        <v>245</v>
      </c>
      <c r="N68" t="s">
        <v>28</v>
      </c>
      <c r="O68" t="s">
        <v>29</v>
      </c>
      <c r="P68">
        <v>0</v>
      </c>
      <c r="Q68">
        <v>45</v>
      </c>
      <c r="R68" t="s">
        <v>194</v>
      </c>
      <c r="S68" t="s">
        <v>50</v>
      </c>
      <c r="T68" t="s">
        <v>246</v>
      </c>
    </row>
    <row r="69" spans="1:20" x14ac:dyDescent="0.3">
      <c r="A69" t="s">
        <v>226</v>
      </c>
      <c r="B69" t="s">
        <v>129</v>
      </c>
      <c r="C69" t="s">
        <v>243</v>
      </c>
      <c r="D69" t="s">
        <v>206</v>
      </c>
      <c r="E69">
        <v>174</v>
      </c>
      <c r="F69">
        <v>6</v>
      </c>
      <c r="G69" t="s">
        <v>143</v>
      </c>
      <c r="H69">
        <v>160</v>
      </c>
      <c r="I69">
        <v>7</v>
      </c>
      <c r="J69" t="s">
        <v>247</v>
      </c>
      <c r="K69" t="s">
        <v>206</v>
      </c>
      <c r="L69" t="s">
        <v>37</v>
      </c>
      <c r="M69" t="s">
        <v>215</v>
      </c>
      <c r="N69" t="s">
        <v>28</v>
      </c>
      <c r="O69" t="s">
        <v>29</v>
      </c>
      <c r="P69">
        <v>0</v>
      </c>
      <c r="Q69">
        <v>14</v>
      </c>
      <c r="R69" t="s">
        <v>135</v>
      </c>
      <c r="S69" t="s">
        <v>216</v>
      </c>
      <c r="T69" t="s">
        <v>229</v>
      </c>
    </row>
    <row r="70" spans="1:20" x14ac:dyDescent="0.3">
      <c r="A70" t="s">
        <v>226</v>
      </c>
      <c r="B70" t="s">
        <v>136</v>
      </c>
      <c r="C70" t="s">
        <v>248</v>
      </c>
      <c r="D70" t="s">
        <v>113</v>
      </c>
      <c r="E70">
        <v>147</v>
      </c>
      <c r="F70">
        <v>6</v>
      </c>
      <c r="G70" t="s">
        <v>206</v>
      </c>
      <c r="H70">
        <v>128</v>
      </c>
      <c r="I70">
        <v>8</v>
      </c>
      <c r="J70" t="s">
        <v>249</v>
      </c>
      <c r="K70" t="s">
        <v>206</v>
      </c>
      <c r="L70" t="s">
        <v>26</v>
      </c>
      <c r="M70" t="s">
        <v>189</v>
      </c>
      <c r="N70" t="s">
        <v>28</v>
      </c>
      <c r="O70" t="s">
        <v>29</v>
      </c>
      <c r="P70">
        <v>0</v>
      </c>
      <c r="Q70">
        <v>19</v>
      </c>
      <c r="R70" t="s">
        <v>196</v>
      </c>
      <c r="S70" t="s">
        <v>66</v>
      </c>
      <c r="T70" t="s">
        <v>229</v>
      </c>
    </row>
    <row r="71" spans="1:20" x14ac:dyDescent="0.3">
      <c r="A71" t="s">
        <v>226</v>
      </c>
      <c r="B71" t="s">
        <v>224</v>
      </c>
      <c r="C71" t="s">
        <v>248</v>
      </c>
      <c r="D71" t="s">
        <v>179</v>
      </c>
      <c r="E71">
        <v>67</v>
      </c>
      <c r="F71">
        <v>10</v>
      </c>
      <c r="G71" t="s">
        <v>238</v>
      </c>
      <c r="H71">
        <v>68</v>
      </c>
      <c r="I71">
        <v>0</v>
      </c>
      <c r="J71" t="s">
        <v>97</v>
      </c>
      <c r="K71" t="s">
        <v>238</v>
      </c>
      <c r="L71" t="s">
        <v>26</v>
      </c>
      <c r="M71" t="s">
        <v>250</v>
      </c>
      <c r="N71" t="s">
        <v>28</v>
      </c>
      <c r="O71" t="s">
        <v>29</v>
      </c>
      <c r="P71">
        <v>10</v>
      </c>
      <c r="Q71">
        <v>0</v>
      </c>
      <c r="R71" t="s">
        <v>209</v>
      </c>
      <c r="S71" t="s">
        <v>39</v>
      </c>
      <c r="T71" t="s">
        <v>225</v>
      </c>
    </row>
    <row r="72" spans="1:20" x14ac:dyDescent="0.3">
      <c r="A72" t="s">
        <v>251</v>
      </c>
      <c r="B72" t="s">
        <v>21</v>
      </c>
      <c r="C72" t="s">
        <v>252</v>
      </c>
      <c r="D72" t="s">
        <v>143</v>
      </c>
      <c r="E72">
        <v>199</v>
      </c>
      <c r="F72">
        <v>3</v>
      </c>
      <c r="G72" t="s">
        <v>160</v>
      </c>
      <c r="H72">
        <v>182</v>
      </c>
      <c r="I72">
        <v>9</v>
      </c>
      <c r="J72" t="s">
        <v>253</v>
      </c>
      <c r="K72" t="s">
        <v>160</v>
      </c>
      <c r="L72" t="s">
        <v>26</v>
      </c>
      <c r="M72" t="s">
        <v>145</v>
      </c>
      <c r="N72" t="s">
        <v>28</v>
      </c>
      <c r="O72" t="s">
        <v>29</v>
      </c>
      <c r="P72">
        <v>0</v>
      </c>
      <c r="Q72">
        <v>17</v>
      </c>
      <c r="R72" t="s">
        <v>254</v>
      </c>
      <c r="S72" t="s">
        <v>255</v>
      </c>
      <c r="T72" t="s">
        <v>147</v>
      </c>
    </row>
    <row r="73" spans="1:20" x14ac:dyDescent="0.3">
      <c r="A73" t="s">
        <v>251</v>
      </c>
      <c r="B73" t="s">
        <v>33</v>
      </c>
      <c r="C73" t="s">
        <v>256</v>
      </c>
      <c r="D73" t="s">
        <v>113</v>
      </c>
      <c r="E73">
        <v>142</v>
      </c>
      <c r="F73">
        <v>10</v>
      </c>
      <c r="G73" t="s">
        <v>160</v>
      </c>
      <c r="H73">
        <v>147</v>
      </c>
      <c r="I73">
        <v>5</v>
      </c>
      <c r="J73" t="s">
        <v>257</v>
      </c>
      <c r="K73" t="s">
        <v>160</v>
      </c>
      <c r="L73" t="s">
        <v>26</v>
      </c>
      <c r="M73" t="s">
        <v>193</v>
      </c>
      <c r="N73" t="s">
        <v>28</v>
      </c>
      <c r="O73" t="s">
        <v>29</v>
      </c>
      <c r="P73">
        <v>5</v>
      </c>
      <c r="Q73">
        <v>0</v>
      </c>
      <c r="R73" t="s">
        <v>55</v>
      </c>
      <c r="S73" t="s">
        <v>255</v>
      </c>
      <c r="T73" t="s">
        <v>66</v>
      </c>
    </row>
    <row r="74" spans="1:20" x14ac:dyDescent="0.3">
      <c r="A74" t="s">
        <v>251</v>
      </c>
      <c r="B74" t="s">
        <v>40</v>
      </c>
      <c r="C74" t="s">
        <v>258</v>
      </c>
      <c r="D74" t="s">
        <v>113</v>
      </c>
      <c r="E74">
        <v>165</v>
      </c>
      <c r="F74">
        <v>5</v>
      </c>
      <c r="G74" t="s">
        <v>143</v>
      </c>
      <c r="H74">
        <v>166</v>
      </c>
      <c r="I74">
        <v>2</v>
      </c>
      <c r="J74" t="s">
        <v>259</v>
      </c>
      <c r="K74" t="s">
        <v>113</v>
      </c>
      <c r="L74" t="s">
        <v>37</v>
      </c>
      <c r="M74" t="s">
        <v>145</v>
      </c>
      <c r="N74" t="s">
        <v>28</v>
      </c>
      <c r="O74" t="s">
        <v>29</v>
      </c>
      <c r="P74">
        <v>8</v>
      </c>
      <c r="Q74">
        <v>0</v>
      </c>
      <c r="R74" t="s">
        <v>30</v>
      </c>
      <c r="S74" t="s">
        <v>255</v>
      </c>
      <c r="T74" t="s">
        <v>44</v>
      </c>
    </row>
    <row r="75" spans="1:20" x14ac:dyDescent="0.3">
      <c r="A75" t="s">
        <v>251</v>
      </c>
      <c r="B75" t="s">
        <v>212</v>
      </c>
      <c r="C75" t="s">
        <v>258</v>
      </c>
      <c r="D75" t="s">
        <v>179</v>
      </c>
      <c r="E75">
        <v>135</v>
      </c>
      <c r="F75">
        <v>8</v>
      </c>
      <c r="G75" t="s">
        <v>160</v>
      </c>
      <c r="H75">
        <v>136</v>
      </c>
      <c r="I75">
        <v>4</v>
      </c>
      <c r="J75" t="s">
        <v>260</v>
      </c>
      <c r="K75" t="s">
        <v>179</v>
      </c>
      <c r="L75" t="s">
        <v>37</v>
      </c>
      <c r="M75" t="s">
        <v>193</v>
      </c>
      <c r="N75" t="s">
        <v>28</v>
      </c>
      <c r="O75" t="s">
        <v>29</v>
      </c>
      <c r="P75">
        <v>6</v>
      </c>
      <c r="Q75">
        <v>0</v>
      </c>
      <c r="R75" t="s">
        <v>151</v>
      </c>
      <c r="S75" t="s">
        <v>50</v>
      </c>
      <c r="T75" t="s">
        <v>147</v>
      </c>
    </row>
    <row r="76" spans="1:20" x14ac:dyDescent="0.3">
      <c r="A76" t="s">
        <v>251</v>
      </c>
      <c r="B76" t="s">
        <v>106</v>
      </c>
      <c r="C76" t="s">
        <v>261</v>
      </c>
      <c r="D76" t="s">
        <v>206</v>
      </c>
      <c r="E76">
        <v>123</v>
      </c>
      <c r="F76">
        <v>9</v>
      </c>
      <c r="G76" t="s">
        <v>160</v>
      </c>
      <c r="H76">
        <v>124</v>
      </c>
      <c r="I76">
        <v>4</v>
      </c>
      <c r="J76" t="s">
        <v>262</v>
      </c>
      <c r="K76" t="s">
        <v>206</v>
      </c>
      <c r="L76" t="s">
        <v>37</v>
      </c>
      <c r="M76" t="s">
        <v>193</v>
      </c>
      <c r="N76" t="s">
        <v>28</v>
      </c>
      <c r="O76" t="s">
        <v>29</v>
      </c>
      <c r="P76">
        <v>6</v>
      </c>
      <c r="Q76">
        <v>0</v>
      </c>
      <c r="R76" t="s">
        <v>151</v>
      </c>
      <c r="S76" t="s">
        <v>39</v>
      </c>
      <c r="T76" t="s">
        <v>147</v>
      </c>
    </row>
    <row r="77" spans="1:20" x14ac:dyDescent="0.3">
      <c r="A77" t="s">
        <v>251</v>
      </c>
      <c r="B77" t="s">
        <v>112</v>
      </c>
      <c r="C77" t="s">
        <v>261</v>
      </c>
      <c r="D77" t="s">
        <v>143</v>
      </c>
      <c r="E77">
        <v>72</v>
      </c>
      <c r="F77">
        <v>10</v>
      </c>
      <c r="G77" t="s">
        <v>113</v>
      </c>
      <c r="H77">
        <v>76</v>
      </c>
      <c r="I77">
        <v>1</v>
      </c>
      <c r="J77" t="s">
        <v>183</v>
      </c>
      <c r="K77" t="s">
        <v>143</v>
      </c>
      <c r="L77" t="s">
        <v>37</v>
      </c>
      <c r="M77" t="s">
        <v>189</v>
      </c>
      <c r="N77" t="s">
        <v>28</v>
      </c>
      <c r="O77" t="s">
        <v>29</v>
      </c>
      <c r="P77">
        <v>9</v>
      </c>
      <c r="Q77">
        <v>0</v>
      </c>
      <c r="R77" t="s">
        <v>71</v>
      </c>
      <c r="S77" t="s">
        <v>263</v>
      </c>
      <c r="T77" t="s">
        <v>264</v>
      </c>
    </row>
    <row r="78" spans="1:20" x14ac:dyDescent="0.3">
      <c r="A78" t="s">
        <v>251</v>
      </c>
      <c r="B78" t="s">
        <v>119</v>
      </c>
      <c r="C78" t="s">
        <v>265</v>
      </c>
      <c r="D78" t="s">
        <v>238</v>
      </c>
      <c r="E78">
        <v>165</v>
      </c>
      <c r="F78">
        <v>5</v>
      </c>
      <c r="G78" t="s">
        <v>179</v>
      </c>
      <c r="H78">
        <v>136</v>
      </c>
      <c r="I78">
        <v>10</v>
      </c>
      <c r="J78" t="s">
        <v>266</v>
      </c>
      <c r="K78" t="s">
        <v>179</v>
      </c>
      <c r="L78" t="s">
        <v>26</v>
      </c>
      <c r="M78" t="s">
        <v>250</v>
      </c>
      <c r="N78" t="s">
        <v>28</v>
      </c>
      <c r="O78" t="s">
        <v>29</v>
      </c>
      <c r="P78">
        <v>0</v>
      </c>
      <c r="Q78">
        <v>29</v>
      </c>
      <c r="R78" t="s">
        <v>109</v>
      </c>
      <c r="S78" t="s">
        <v>39</v>
      </c>
      <c r="T78" t="s">
        <v>267</v>
      </c>
    </row>
    <row r="79" spans="1:20" x14ac:dyDescent="0.3">
      <c r="A79" t="s">
        <v>251</v>
      </c>
      <c r="B79" t="s">
        <v>129</v>
      </c>
      <c r="C79" t="s">
        <v>265</v>
      </c>
      <c r="D79" t="s">
        <v>143</v>
      </c>
      <c r="E79">
        <v>127</v>
      </c>
      <c r="F79">
        <v>10</v>
      </c>
      <c r="G79" t="s">
        <v>160</v>
      </c>
      <c r="H79">
        <v>126</v>
      </c>
      <c r="I79">
        <v>9</v>
      </c>
      <c r="J79" t="s">
        <v>268</v>
      </c>
      <c r="K79" t="s">
        <v>160</v>
      </c>
      <c r="L79" t="s">
        <v>26</v>
      </c>
      <c r="M79" t="s">
        <v>145</v>
      </c>
      <c r="N79" t="s">
        <v>28</v>
      </c>
      <c r="O79" t="s">
        <v>29</v>
      </c>
      <c r="P79">
        <v>0</v>
      </c>
      <c r="Q79">
        <v>0</v>
      </c>
      <c r="R79" t="s">
        <v>269</v>
      </c>
      <c r="S79" t="s">
        <v>255</v>
      </c>
      <c r="T79" t="s">
        <v>66</v>
      </c>
    </row>
    <row r="80" spans="1:20" x14ac:dyDescent="0.3">
      <c r="A80" t="s">
        <v>251</v>
      </c>
      <c r="B80" t="s">
        <v>136</v>
      </c>
      <c r="C80" t="s">
        <v>270</v>
      </c>
      <c r="D80" t="s">
        <v>238</v>
      </c>
      <c r="E80">
        <v>189</v>
      </c>
      <c r="F80">
        <v>5</v>
      </c>
      <c r="G80" t="s">
        <v>199</v>
      </c>
      <c r="H80">
        <v>190</v>
      </c>
      <c r="I80">
        <v>5</v>
      </c>
      <c r="J80" t="s">
        <v>271</v>
      </c>
      <c r="K80" t="s">
        <v>238</v>
      </c>
      <c r="L80" t="s">
        <v>37</v>
      </c>
      <c r="M80" t="s">
        <v>208</v>
      </c>
      <c r="N80" t="s">
        <v>88</v>
      </c>
      <c r="O80" t="s">
        <v>89</v>
      </c>
      <c r="P80">
        <v>5</v>
      </c>
      <c r="Q80">
        <v>0</v>
      </c>
      <c r="R80" t="s">
        <v>55</v>
      </c>
      <c r="S80" t="s">
        <v>147</v>
      </c>
      <c r="T80" t="s">
        <v>225</v>
      </c>
    </row>
    <row r="81" spans="1:20" x14ac:dyDescent="0.3">
      <c r="A81" t="s">
        <v>251</v>
      </c>
      <c r="B81" t="s">
        <v>224</v>
      </c>
      <c r="C81" t="s">
        <v>270</v>
      </c>
      <c r="D81" t="s">
        <v>179</v>
      </c>
      <c r="E81">
        <v>174</v>
      </c>
      <c r="F81">
        <v>5</v>
      </c>
      <c r="G81" t="s">
        <v>160</v>
      </c>
      <c r="H81">
        <v>163</v>
      </c>
      <c r="I81">
        <v>9</v>
      </c>
      <c r="J81" t="s">
        <v>272</v>
      </c>
      <c r="K81" t="s">
        <v>179</v>
      </c>
      <c r="L81" t="s">
        <v>37</v>
      </c>
      <c r="M81" t="s">
        <v>245</v>
      </c>
      <c r="N81" t="s">
        <v>88</v>
      </c>
      <c r="O81" t="s">
        <v>89</v>
      </c>
      <c r="P81">
        <v>0</v>
      </c>
      <c r="Q81">
        <v>11</v>
      </c>
      <c r="R81" t="s">
        <v>273</v>
      </c>
      <c r="S81" t="s">
        <v>50</v>
      </c>
      <c r="T81" t="s">
        <v>267</v>
      </c>
    </row>
    <row r="82" spans="1:20" x14ac:dyDescent="0.3">
      <c r="A82" t="s">
        <v>274</v>
      </c>
      <c r="B82" t="s">
        <v>21</v>
      </c>
      <c r="C82" t="s">
        <v>275</v>
      </c>
      <c r="D82" t="s">
        <v>276</v>
      </c>
      <c r="E82">
        <v>170</v>
      </c>
      <c r="F82">
        <v>4</v>
      </c>
      <c r="G82" t="s">
        <v>277</v>
      </c>
      <c r="H82">
        <v>149</v>
      </c>
      <c r="I82">
        <v>8</v>
      </c>
      <c r="J82" t="s">
        <v>127</v>
      </c>
      <c r="K82" t="s">
        <v>277</v>
      </c>
      <c r="L82" t="s">
        <v>26</v>
      </c>
      <c r="M82" t="s">
        <v>64</v>
      </c>
      <c r="N82" t="s">
        <v>28</v>
      </c>
      <c r="O82" t="s">
        <v>29</v>
      </c>
      <c r="P82">
        <v>0</v>
      </c>
      <c r="Q82">
        <v>21</v>
      </c>
      <c r="R82" t="s">
        <v>165</v>
      </c>
      <c r="S82" t="s">
        <v>278</v>
      </c>
      <c r="T82" t="s">
        <v>56</v>
      </c>
    </row>
    <row r="83" spans="1:20" x14ac:dyDescent="0.3">
      <c r="A83" t="s">
        <v>274</v>
      </c>
      <c r="B83" t="s">
        <v>33</v>
      </c>
      <c r="C83" t="s">
        <v>279</v>
      </c>
      <c r="D83" t="s">
        <v>280</v>
      </c>
      <c r="E83">
        <v>164</v>
      </c>
      <c r="F83">
        <v>9</v>
      </c>
      <c r="G83" t="s">
        <v>276</v>
      </c>
      <c r="H83">
        <v>165</v>
      </c>
      <c r="I83">
        <v>8</v>
      </c>
      <c r="J83" t="s">
        <v>127</v>
      </c>
      <c r="K83" t="s">
        <v>276</v>
      </c>
      <c r="L83" t="s">
        <v>26</v>
      </c>
      <c r="M83" t="s">
        <v>64</v>
      </c>
      <c r="N83" t="s">
        <v>28</v>
      </c>
      <c r="O83" t="s">
        <v>29</v>
      </c>
      <c r="P83">
        <v>2</v>
      </c>
      <c r="Q83">
        <v>0</v>
      </c>
      <c r="R83" t="s">
        <v>281</v>
      </c>
      <c r="S83" t="s">
        <v>278</v>
      </c>
      <c r="T83" t="s">
        <v>50</v>
      </c>
    </row>
    <row r="84" spans="1:20" x14ac:dyDescent="0.3">
      <c r="A84" t="s">
        <v>274</v>
      </c>
      <c r="B84" t="s">
        <v>40</v>
      </c>
      <c r="C84" t="s">
        <v>282</v>
      </c>
      <c r="D84" t="s">
        <v>277</v>
      </c>
      <c r="E84">
        <v>158</v>
      </c>
      <c r="F84">
        <v>3</v>
      </c>
      <c r="G84" t="s">
        <v>276</v>
      </c>
      <c r="H84">
        <v>131</v>
      </c>
      <c r="I84">
        <v>10</v>
      </c>
      <c r="J84" t="s">
        <v>283</v>
      </c>
      <c r="K84" t="s">
        <v>276</v>
      </c>
      <c r="L84" t="s">
        <v>26</v>
      </c>
      <c r="M84" t="s">
        <v>284</v>
      </c>
      <c r="N84" t="s">
        <v>28</v>
      </c>
      <c r="O84" t="s">
        <v>29</v>
      </c>
      <c r="P84">
        <v>0</v>
      </c>
      <c r="Q84">
        <v>27</v>
      </c>
      <c r="R84" t="s">
        <v>285</v>
      </c>
      <c r="S84" t="s">
        <v>56</v>
      </c>
      <c r="T84" t="s">
        <v>286</v>
      </c>
    </row>
    <row r="85" spans="1:20" x14ac:dyDescent="0.3">
      <c r="A85" t="s">
        <v>274</v>
      </c>
      <c r="B85" t="s">
        <v>212</v>
      </c>
      <c r="C85" t="s">
        <v>282</v>
      </c>
      <c r="D85" t="s">
        <v>287</v>
      </c>
      <c r="E85">
        <v>144</v>
      </c>
      <c r="F85">
        <v>8</v>
      </c>
      <c r="G85" t="s">
        <v>280</v>
      </c>
      <c r="H85">
        <v>147</v>
      </c>
      <c r="I85">
        <v>3</v>
      </c>
      <c r="J85" t="s">
        <v>288</v>
      </c>
      <c r="K85" t="s">
        <v>280</v>
      </c>
      <c r="L85" t="s">
        <v>26</v>
      </c>
      <c r="M85" t="s">
        <v>289</v>
      </c>
      <c r="N85" t="s">
        <v>28</v>
      </c>
      <c r="O85" t="s">
        <v>29</v>
      </c>
      <c r="P85">
        <v>7</v>
      </c>
      <c r="Q85">
        <v>0</v>
      </c>
      <c r="R85" t="s">
        <v>118</v>
      </c>
      <c r="S85" t="s">
        <v>278</v>
      </c>
      <c r="T85" t="s">
        <v>50</v>
      </c>
    </row>
    <row r="86" spans="1:20" x14ac:dyDescent="0.3">
      <c r="A86" t="s">
        <v>274</v>
      </c>
      <c r="B86" t="s">
        <v>106</v>
      </c>
      <c r="C86" t="s">
        <v>290</v>
      </c>
      <c r="D86" t="s">
        <v>287</v>
      </c>
      <c r="E86">
        <v>205</v>
      </c>
      <c r="F86">
        <v>4</v>
      </c>
      <c r="G86" t="s">
        <v>277</v>
      </c>
      <c r="H86">
        <v>207</v>
      </c>
      <c r="I86">
        <v>2</v>
      </c>
      <c r="J86" t="s">
        <v>291</v>
      </c>
      <c r="K86" t="s">
        <v>277</v>
      </c>
      <c r="L86" t="s">
        <v>26</v>
      </c>
      <c r="M86" t="s">
        <v>284</v>
      </c>
      <c r="N86" t="s">
        <v>28</v>
      </c>
      <c r="O86" t="s">
        <v>29</v>
      </c>
      <c r="P86">
        <v>8</v>
      </c>
      <c r="Q86">
        <v>0</v>
      </c>
      <c r="R86" t="s">
        <v>30</v>
      </c>
      <c r="S86" t="s">
        <v>278</v>
      </c>
      <c r="T86" t="s">
        <v>50</v>
      </c>
    </row>
    <row r="87" spans="1:20" x14ac:dyDescent="0.3">
      <c r="A87" t="s">
        <v>274</v>
      </c>
      <c r="B87" t="s">
        <v>112</v>
      </c>
      <c r="C87" t="s">
        <v>290</v>
      </c>
      <c r="D87" t="s">
        <v>280</v>
      </c>
      <c r="E87">
        <v>155</v>
      </c>
      <c r="F87">
        <v>5</v>
      </c>
      <c r="G87" t="s">
        <v>276</v>
      </c>
      <c r="H87">
        <v>156</v>
      </c>
      <c r="I87">
        <v>2</v>
      </c>
      <c r="J87" t="s">
        <v>239</v>
      </c>
      <c r="K87" t="s">
        <v>276</v>
      </c>
      <c r="L87" t="s">
        <v>26</v>
      </c>
      <c r="M87" t="s">
        <v>64</v>
      </c>
      <c r="N87" t="s">
        <v>28</v>
      </c>
      <c r="O87" t="s">
        <v>29</v>
      </c>
      <c r="P87">
        <v>8</v>
      </c>
      <c r="Q87">
        <v>0</v>
      </c>
      <c r="R87" t="s">
        <v>30</v>
      </c>
      <c r="S87" t="s">
        <v>286</v>
      </c>
      <c r="T87" t="s">
        <v>225</v>
      </c>
    </row>
    <row r="88" spans="1:20" x14ac:dyDescent="0.3">
      <c r="A88" t="s">
        <v>274</v>
      </c>
      <c r="B88" t="s">
        <v>119</v>
      </c>
      <c r="C88" t="s">
        <v>292</v>
      </c>
      <c r="D88" t="s">
        <v>277</v>
      </c>
      <c r="E88">
        <v>218</v>
      </c>
      <c r="F88">
        <v>2</v>
      </c>
      <c r="G88" t="s">
        <v>293</v>
      </c>
      <c r="H88">
        <v>126</v>
      </c>
      <c r="I88">
        <v>9</v>
      </c>
      <c r="J88" t="s">
        <v>150</v>
      </c>
      <c r="K88" t="s">
        <v>293</v>
      </c>
      <c r="L88" t="s">
        <v>26</v>
      </c>
      <c r="M88" t="s">
        <v>284</v>
      </c>
      <c r="N88" t="s">
        <v>28</v>
      </c>
      <c r="O88" t="s">
        <v>29</v>
      </c>
      <c r="P88">
        <v>0</v>
      </c>
      <c r="Q88">
        <v>92</v>
      </c>
      <c r="R88" t="s">
        <v>294</v>
      </c>
      <c r="S88" t="s">
        <v>56</v>
      </c>
      <c r="T88" t="s">
        <v>286</v>
      </c>
    </row>
    <row r="89" spans="1:20" x14ac:dyDescent="0.3">
      <c r="A89" t="s">
        <v>274</v>
      </c>
      <c r="B89" t="s">
        <v>129</v>
      </c>
      <c r="C89" t="s">
        <v>292</v>
      </c>
      <c r="D89" t="s">
        <v>295</v>
      </c>
      <c r="E89">
        <v>149</v>
      </c>
      <c r="F89">
        <v>9</v>
      </c>
      <c r="G89" t="s">
        <v>287</v>
      </c>
      <c r="H89">
        <v>138</v>
      </c>
      <c r="I89">
        <v>9</v>
      </c>
      <c r="J89" t="s">
        <v>296</v>
      </c>
      <c r="K89" t="s">
        <v>287</v>
      </c>
      <c r="L89" t="s">
        <v>26</v>
      </c>
      <c r="M89" t="s">
        <v>297</v>
      </c>
      <c r="N89" t="s">
        <v>28</v>
      </c>
      <c r="O89" t="s">
        <v>29</v>
      </c>
      <c r="P89">
        <v>0</v>
      </c>
      <c r="Q89">
        <v>11</v>
      </c>
      <c r="R89" t="s">
        <v>273</v>
      </c>
      <c r="S89" t="s">
        <v>278</v>
      </c>
      <c r="T89" t="s">
        <v>225</v>
      </c>
    </row>
    <row r="90" spans="1:20" x14ac:dyDescent="0.3">
      <c r="A90" t="s">
        <v>274</v>
      </c>
      <c r="B90" t="s">
        <v>136</v>
      </c>
      <c r="C90" t="s">
        <v>298</v>
      </c>
      <c r="D90" t="s">
        <v>287</v>
      </c>
      <c r="E90">
        <v>145</v>
      </c>
      <c r="F90">
        <v>9</v>
      </c>
      <c r="G90" t="s">
        <v>295</v>
      </c>
      <c r="H90">
        <v>84</v>
      </c>
      <c r="I90">
        <v>10</v>
      </c>
      <c r="J90" t="s">
        <v>299</v>
      </c>
      <c r="K90" t="s">
        <v>295</v>
      </c>
      <c r="L90" t="s">
        <v>26</v>
      </c>
      <c r="M90" t="s">
        <v>300</v>
      </c>
      <c r="N90" t="s">
        <v>28</v>
      </c>
      <c r="O90" t="s">
        <v>29</v>
      </c>
      <c r="P90">
        <v>0</v>
      </c>
      <c r="Q90">
        <v>61</v>
      </c>
      <c r="R90" t="s">
        <v>301</v>
      </c>
      <c r="S90" t="s">
        <v>50</v>
      </c>
      <c r="T90" t="s">
        <v>286</v>
      </c>
    </row>
    <row r="91" spans="1:20" x14ac:dyDescent="0.3">
      <c r="A91" t="s">
        <v>274</v>
      </c>
      <c r="B91" t="s">
        <v>224</v>
      </c>
      <c r="C91" t="s">
        <v>298</v>
      </c>
      <c r="D91" t="s">
        <v>277</v>
      </c>
      <c r="E91">
        <v>179</v>
      </c>
      <c r="F91">
        <v>2</v>
      </c>
      <c r="G91" t="s">
        <v>293</v>
      </c>
      <c r="H91">
        <v>145</v>
      </c>
      <c r="I91">
        <v>10</v>
      </c>
      <c r="J91" t="s">
        <v>302</v>
      </c>
      <c r="K91" t="s">
        <v>293</v>
      </c>
      <c r="L91" t="s">
        <v>26</v>
      </c>
      <c r="M91" t="s">
        <v>284</v>
      </c>
      <c r="N91" t="s">
        <v>28</v>
      </c>
      <c r="O91" t="s">
        <v>29</v>
      </c>
      <c r="P91">
        <v>0</v>
      </c>
      <c r="Q91">
        <v>34</v>
      </c>
      <c r="R91" t="s">
        <v>303</v>
      </c>
      <c r="S91" t="s">
        <v>278</v>
      </c>
      <c r="T91" t="s">
        <v>56</v>
      </c>
    </row>
    <row r="92" spans="1:20" x14ac:dyDescent="0.3">
      <c r="A92" t="s">
        <v>304</v>
      </c>
      <c r="B92" t="s">
        <v>110</v>
      </c>
      <c r="C92" t="s">
        <v>305</v>
      </c>
      <c r="D92" t="s">
        <v>280</v>
      </c>
      <c r="E92">
        <v>138</v>
      </c>
      <c r="F92">
        <v>8</v>
      </c>
      <c r="G92" t="s">
        <v>143</v>
      </c>
      <c r="H92">
        <v>148</v>
      </c>
      <c r="I92">
        <v>1</v>
      </c>
      <c r="J92" t="s">
        <v>306</v>
      </c>
      <c r="K92" t="s">
        <v>143</v>
      </c>
      <c r="L92" t="s">
        <v>26</v>
      </c>
      <c r="M92" t="s">
        <v>145</v>
      </c>
      <c r="N92" t="s">
        <v>28</v>
      </c>
      <c r="O92" t="s">
        <v>29</v>
      </c>
      <c r="P92">
        <v>9</v>
      </c>
      <c r="Q92">
        <v>0</v>
      </c>
      <c r="R92" t="s">
        <v>71</v>
      </c>
      <c r="S92" t="s">
        <v>50</v>
      </c>
      <c r="T92" t="s">
        <v>286</v>
      </c>
    </row>
    <row r="93" spans="1:20" x14ac:dyDescent="0.3">
      <c r="A93" t="s">
        <v>304</v>
      </c>
      <c r="B93" t="s">
        <v>116</v>
      </c>
      <c r="C93" t="s">
        <v>305</v>
      </c>
      <c r="D93" t="s">
        <v>307</v>
      </c>
      <c r="E93">
        <v>142</v>
      </c>
      <c r="F93">
        <v>5</v>
      </c>
      <c r="G93" t="s">
        <v>277</v>
      </c>
      <c r="H93">
        <v>144</v>
      </c>
      <c r="I93">
        <v>1</v>
      </c>
      <c r="J93" t="s">
        <v>308</v>
      </c>
      <c r="K93" t="s">
        <v>277</v>
      </c>
      <c r="L93" t="s">
        <v>26</v>
      </c>
      <c r="M93" t="s">
        <v>284</v>
      </c>
      <c r="N93" t="s">
        <v>28</v>
      </c>
      <c r="O93" t="s">
        <v>29</v>
      </c>
      <c r="P93">
        <v>9</v>
      </c>
      <c r="Q93">
        <v>0</v>
      </c>
      <c r="R93" t="s">
        <v>71</v>
      </c>
      <c r="S93" t="s">
        <v>66</v>
      </c>
      <c r="T93" t="s">
        <v>216</v>
      </c>
    </row>
    <row r="94" spans="1:20" x14ac:dyDescent="0.3">
      <c r="A94" t="s">
        <v>304</v>
      </c>
      <c r="B94" t="s">
        <v>123</v>
      </c>
      <c r="C94" t="s">
        <v>309</v>
      </c>
      <c r="D94" t="s">
        <v>310</v>
      </c>
      <c r="E94">
        <v>149</v>
      </c>
      <c r="F94">
        <v>10</v>
      </c>
      <c r="G94" t="s">
        <v>280</v>
      </c>
      <c r="H94">
        <v>135</v>
      </c>
      <c r="I94">
        <v>10</v>
      </c>
      <c r="J94" t="s">
        <v>108</v>
      </c>
      <c r="K94" t="s">
        <v>310</v>
      </c>
      <c r="L94" t="s">
        <v>37</v>
      </c>
      <c r="M94" t="s">
        <v>311</v>
      </c>
      <c r="N94" t="s">
        <v>88</v>
      </c>
      <c r="O94" t="s">
        <v>89</v>
      </c>
      <c r="P94">
        <v>0</v>
      </c>
      <c r="Q94">
        <v>14</v>
      </c>
      <c r="R94" t="s">
        <v>135</v>
      </c>
      <c r="S94" t="s">
        <v>50</v>
      </c>
      <c r="T94" t="s">
        <v>66</v>
      </c>
    </row>
    <row r="95" spans="1:20" x14ac:dyDescent="0.3">
      <c r="A95" t="s">
        <v>304</v>
      </c>
      <c r="B95" t="s">
        <v>126</v>
      </c>
      <c r="C95" t="s">
        <v>309</v>
      </c>
      <c r="D95" t="s">
        <v>312</v>
      </c>
      <c r="E95">
        <v>181</v>
      </c>
      <c r="F95">
        <v>6</v>
      </c>
      <c r="G95" t="s">
        <v>143</v>
      </c>
      <c r="H95">
        <v>131</v>
      </c>
      <c r="I95">
        <v>10</v>
      </c>
      <c r="J95" t="s">
        <v>157</v>
      </c>
      <c r="K95" t="s">
        <v>143</v>
      </c>
      <c r="L95" t="s">
        <v>26</v>
      </c>
      <c r="M95" t="s">
        <v>27</v>
      </c>
      <c r="N95" t="s">
        <v>88</v>
      </c>
      <c r="O95" t="s">
        <v>89</v>
      </c>
      <c r="P95">
        <v>0</v>
      </c>
      <c r="Q95">
        <v>50</v>
      </c>
      <c r="R95" t="s">
        <v>313</v>
      </c>
      <c r="S95" t="s">
        <v>286</v>
      </c>
      <c r="T95" t="s">
        <v>225</v>
      </c>
    </row>
    <row r="96" spans="1:20" x14ac:dyDescent="0.3">
      <c r="A96" t="s">
        <v>304</v>
      </c>
      <c r="B96" t="s">
        <v>132</v>
      </c>
      <c r="C96" t="s">
        <v>314</v>
      </c>
      <c r="D96" t="s">
        <v>310</v>
      </c>
      <c r="E96">
        <v>145</v>
      </c>
      <c r="F96">
        <v>10</v>
      </c>
      <c r="G96" t="s">
        <v>277</v>
      </c>
      <c r="H96">
        <v>139</v>
      </c>
      <c r="I96">
        <v>6</v>
      </c>
      <c r="J96" t="s">
        <v>108</v>
      </c>
      <c r="K96" t="s">
        <v>310</v>
      </c>
      <c r="L96" t="s">
        <v>37</v>
      </c>
      <c r="M96" t="s">
        <v>311</v>
      </c>
      <c r="N96" t="s">
        <v>88</v>
      </c>
      <c r="O96" t="s">
        <v>89</v>
      </c>
      <c r="P96">
        <v>0</v>
      </c>
      <c r="Q96">
        <v>6</v>
      </c>
      <c r="R96" t="s">
        <v>315</v>
      </c>
      <c r="S96" t="s">
        <v>50</v>
      </c>
      <c r="T96" t="s">
        <v>286</v>
      </c>
    </row>
    <row r="97" spans="1:20" x14ac:dyDescent="0.3">
      <c r="A97" t="s">
        <v>304</v>
      </c>
      <c r="B97" t="s">
        <v>138</v>
      </c>
      <c r="C97" t="s">
        <v>314</v>
      </c>
      <c r="D97" t="s">
        <v>143</v>
      </c>
      <c r="E97">
        <v>183</v>
      </c>
      <c r="F97">
        <v>3</v>
      </c>
      <c r="G97" t="s">
        <v>280</v>
      </c>
      <c r="H97">
        <v>131</v>
      </c>
      <c r="I97">
        <v>10</v>
      </c>
      <c r="J97" t="s">
        <v>316</v>
      </c>
      <c r="K97" t="s">
        <v>280</v>
      </c>
      <c r="L97" t="s">
        <v>26</v>
      </c>
      <c r="M97" t="s">
        <v>145</v>
      </c>
      <c r="N97" t="s">
        <v>88</v>
      </c>
      <c r="O97" t="s">
        <v>89</v>
      </c>
      <c r="P97">
        <v>0</v>
      </c>
      <c r="Q97">
        <v>52</v>
      </c>
      <c r="R97" t="s">
        <v>317</v>
      </c>
      <c r="S97" t="s">
        <v>216</v>
      </c>
      <c r="T97" t="s">
        <v>44</v>
      </c>
    </row>
    <row r="98" spans="1:20" x14ac:dyDescent="0.3">
      <c r="A98" t="s">
        <v>304</v>
      </c>
      <c r="B98" t="s">
        <v>148</v>
      </c>
      <c r="C98" t="s">
        <v>318</v>
      </c>
      <c r="D98" t="s">
        <v>280</v>
      </c>
      <c r="E98">
        <v>202</v>
      </c>
      <c r="F98">
        <v>5</v>
      </c>
      <c r="G98" t="s">
        <v>307</v>
      </c>
      <c r="H98">
        <v>186</v>
      </c>
      <c r="I98">
        <v>6</v>
      </c>
      <c r="J98" t="s">
        <v>319</v>
      </c>
      <c r="K98" t="s">
        <v>307</v>
      </c>
      <c r="L98" t="s">
        <v>26</v>
      </c>
      <c r="M98" t="s">
        <v>289</v>
      </c>
      <c r="N98" t="s">
        <v>88</v>
      </c>
      <c r="O98" t="s">
        <v>89</v>
      </c>
      <c r="P98">
        <v>0</v>
      </c>
      <c r="Q98">
        <v>16</v>
      </c>
      <c r="R98" t="s">
        <v>169</v>
      </c>
      <c r="S98" t="s">
        <v>50</v>
      </c>
      <c r="T98" t="s">
        <v>44</v>
      </c>
    </row>
    <row r="99" spans="1:20" x14ac:dyDescent="0.3">
      <c r="A99" t="s">
        <v>304</v>
      </c>
      <c r="B99" t="s">
        <v>156</v>
      </c>
      <c r="C99" t="s">
        <v>318</v>
      </c>
      <c r="D99" t="s">
        <v>310</v>
      </c>
      <c r="E99">
        <v>141</v>
      </c>
      <c r="F99">
        <v>9</v>
      </c>
      <c r="G99" t="s">
        <v>277</v>
      </c>
      <c r="H99">
        <v>124</v>
      </c>
      <c r="I99">
        <v>10</v>
      </c>
      <c r="J99" t="s">
        <v>320</v>
      </c>
      <c r="K99" t="s">
        <v>277</v>
      </c>
      <c r="L99" t="s">
        <v>26</v>
      </c>
      <c r="M99" t="s">
        <v>311</v>
      </c>
      <c r="N99" t="s">
        <v>88</v>
      </c>
      <c r="O99" t="s">
        <v>89</v>
      </c>
      <c r="P99">
        <v>0</v>
      </c>
      <c r="Q99">
        <v>17</v>
      </c>
      <c r="R99" t="s">
        <v>254</v>
      </c>
      <c r="S99" t="s">
        <v>216</v>
      </c>
      <c r="T99" t="s">
        <v>286</v>
      </c>
    </row>
    <row r="100" spans="1:20" x14ac:dyDescent="0.3">
      <c r="A100" t="s">
        <v>73</v>
      </c>
      <c r="B100" t="s">
        <v>224</v>
      </c>
      <c r="C100" t="s">
        <v>137</v>
      </c>
      <c r="D100" t="s">
        <v>62</v>
      </c>
      <c r="E100">
        <v>196</v>
      </c>
      <c r="F100">
        <v>3</v>
      </c>
      <c r="G100" t="s">
        <v>35</v>
      </c>
      <c r="H100">
        <v>135</v>
      </c>
      <c r="I100">
        <v>7</v>
      </c>
      <c r="J100" t="s">
        <v>121</v>
      </c>
      <c r="K100" t="s">
        <v>35</v>
      </c>
      <c r="L100" t="s">
        <v>26</v>
      </c>
      <c r="M100" t="s">
        <v>64</v>
      </c>
      <c r="N100" t="s">
        <v>28</v>
      </c>
      <c r="O100" t="s">
        <v>29</v>
      </c>
      <c r="P100">
        <v>0</v>
      </c>
      <c r="Q100">
        <v>61</v>
      </c>
      <c r="R100" t="s">
        <v>301</v>
      </c>
      <c r="S100" t="s">
        <v>57</v>
      </c>
      <c r="T100" t="s">
        <v>225</v>
      </c>
    </row>
    <row r="101" spans="1:20" x14ac:dyDescent="0.3">
      <c r="A101" t="s">
        <v>73</v>
      </c>
      <c r="B101" t="s">
        <v>321</v>
      </c>
      <c r="C101" t="s">
        <v>322</v>
      </c>
      <c r="D101" t="s">
        <v>113</v>
      </c>
      <c r="E101">
        <v>179</v>
      </c>
      <c r="F101">
        <v>8</v>
      </c>
      <c r="G101" t="s">
        <v>41</v>
      </c>
      <c r="H101">
        <v>160</v>
      </c>
      <c r="I101">
        <v>10</v>
      </c>
      <c r="J101" t="s">
        <v>323</v>
      </c>
      <c r="K101" t="s">
        <v>41</v>
      </c>
      <c r="L101" t="s">
        <v>26</v>
      </c>
      <c r="M101" t="s">
        <v>189</v>
      </c>
      <c r="N101" t="s">
        <v>28</v>
      </c>
      <c r="O101" t="s">
        <v>29</v>
      </c>
      <c r="P101">
        <v>0</v>
      </c>
      <c r="Q101">
        <v>19</v>
      </c>
      <c r="R101" t="s">
        <v>196</v>
      </c>
      <c r="S101" t="s">
        <v>32</v>
      </c>
      <c r="T101" t="s">
        <v>57</v>
      </c>
    </row>
    <row r="102" spans="1:20" x14ac:dyDescent="0.3">
      <c r="A102" t="s">
        <v>73</v>
      </c>
      <c r="B102" t="s">
        <v>324</v>
      </c>
      <c r="C102" t="s">
        <v>322</v>
      </c>
      <c r="D102" t="s">
        <v>35</v>
      </c>
      <c r="E102">
        <v>176</v>
      </c>
      <c r="F102">
        <v>6</v>
      </c>
      <c r="G102" t="s">
        <v>24</v>
      </c>
      <c r="H102">
        <v>180</v>
      </c>
      <c r="I102">
        <v>4</v>
      </c>
      <c r="J102" t="s">
        <v>325</v>
      </c>
      <c r="K102" t="s">
        <v>35</v>
      </c>
      <c r="L102" t="s">
        <v>37</v>
      </c>
      <c r="M102" t="s">
        <v>27</v>
      </c>
      <c r="N102" t="s">
        <v>28</v>
      </c>
      <c r="O102" t="s">
        <v>29</v>
      </c>
      <c r="P102">
        <v>6</v>
      </c>
      <c r="Q102">
        <v>0</v>
      </c>
      <c r="R102" t="s">
        <v>151</v>
      </c>
      <c r="S102" t="s">
        <v>56</v>
      </c>
      <c r="T102" t="s">
        <v>57</v>
      </c>
    </row>
    <row r="103" spans="1:20" x14ac:dyDescent="0.3">
      <c r="A103" t="s">
        <v>73</v>
      </c>
      <c r="B103" t="s">
        <v>326</v>
      </c>
      <c r="C103" t="s">
        <v>327</v>
      </c>
      <c r="D103" t="s">
        <v>23</v>
      </c>
      <c r="E103">
        <v>114</v>
      </c>
      <c r="F103">
        <v>9</v>
      </c>
      <c r="G103" t="s">
        <v>24</v>
      </c>
      <c r="H103">
        <v>115</v>
      </c>
      <c r="I103">
        <v>2</v>
      </c>
      <c r="J103" t="s">
        <v>108</v>
      </c>
      <c r="K103" t="s">
        <v>23</v>
      </c>
      <c r="L103" t="s">
        <v>37</v>
      </c>
      <c r="M103" t="s">
        <v>27</v>
      </c>
      <c r="N103" t="s">
        <v>28</v>
      </c>
      <c r="O103" t="s">
        <v>29</v>
      </c>
      <c r="P103">
        <v>8</v>
      </c>
      <c r="Q103">
        <v>0</v>
      </c>
      <c r="R103" t="s">
        <v>30</v>
      </c>
      <c r="S103" t="s">
        <v>57</v>
      </c>
      <c r="T103" t="s">
        <v>66</v>
      </c>
    </row>
    <row r="104" spans="1:20" x14ac:dyDescent="0.3">
      <c r="A104" t="s">
        <v>73</v>
      </c>
      <c r="B104" t="s">
        <v>328</v>
      </c>
      <c r="C104" t="s">
        <v>327</v>
      </c>
      <c r="D104" t="s">
        <v>53</v>
      </c>
      <c r="E104">
        <v>160</v>
      </c>
      <c r="F104">
        <v>6</v>
      </c>
      <c r="G104" t="s">
        <v>113</v>
      </c>
      <c r="H104">
        <v>161</v>
      </c>
      <c r="I104">
        <v>5</v>
      </c>
      <c r="J104" t="s">
        <v>329</v>
      </c>
      <c r="K104" t="s">
        <v>113</v>
      </c>
      <c r="L104" t="s">
        <v>26</v>
      </c>
      <c r="M104" t="s">
        <v>189</v>
      </c>
      <c r="N104" t="s">
        <v>28</v>
      </c>
      <c r="O104" t="s">
        <v>29</v>
      </c>
      <c r="P104">
        <v>5</v>
      </c>
      <c r="Q104">
        <v>0</v>
      </c>
      <c r="R104" t="s">
        <v>55</v>
      </c>
      <c r="S104" t="s">
        <v>32</v>
      </c>
      <c r="T104" t="s">
        <v>77</v>
      </c>
    </row>
    <row r="105" spans="1:20" x14ac:dyDescent="0.3">
      <c r="A105" t="s">
        <v>73</v>
      </c>
      <c r="B105" t="s">
        <v>330</v>
      </c>
      <c r="C105" t="s">
        <v>331</v>
      </c>
      <c r="D105" t="s">
        <v>53</v>
      </c>
      <c r="E105">
        <v>193</v>
      </c>
      <c r="F105">
        <v>4</v>
      </c>
      <c r="G105" t="s">
        <v>62</v>
      </c>
      <c r="H105">
        <v>74</v>
      </c>
      <c r="I105">
        <v>10</v>
      </c>
      <c r="J105" t="s">
        <v>332</v>
      </c>
      <c r="K105" t="s">
        <v>62</v>
      </c>
      <c r="L105" t="s">
        <v>26</v>
      </c>
      <c r="M105" t="s">
        <v>80</v>
      </c>
      <c r="N105" t="s">
        <v>28</v>
      </c>
      <c r="O105" t="s">
        <v>29</v>
      </c>
      <c r="P105">
        <v>0</v>
      </c>
      <c r="Q105">
        <v>119</v>
      </c>
      <c r="R105" t="s">
        <v>333</v>
      </c>
      <c r="S105" t="s">
        <v>56</v>
      </c>
      <c r="T105" t="s">
        <v>77</v>
      </c>
    </row>
    <row r="106" spans="1:20" x14ac:dyDescent="0.3">
      <c r="A106" t="s">
        <v>73</v>
      </c>
      <c r="B106" t="s">
        <v>334</v>
      </c>
      <c r="C106" t="s">
        <v>331</v>
      </c>
      <c r="D106" t="s">
        <v>41</v>
      </c>
      <c r="E106">
        <v>138</v>
      </c>
      <c r="F106">
        <v>9</v>
      </c>
      <c r="G106" t="s">
        <v>35</v>
      </c>
      <c r="H106">
        <v>140</v>
      </c>
      <c r="I106">
        <v>3</v>
      </c>
      <c r="J106" t="s">
        <v>335</v>
      </c>
      <c r="K106" t="s">
        <v>41</v>
      </c>
      <c r="L106" t="s">
        <v>37</v>
      </c>
      <c r="M106" t="s">
        <v>98</v>
      </c>
      <c r="N106" t="s">
        <v>28</v>
      </c>
      <c r="O106" t="s">
        <v>29</v>
      </c>
      <c r="P106">
        <v>7</v>
      </c>
      <c r="Q106">
        <v>0</v>
      </c>
      <c r="R106" t="s">
        <v>118</v>
      </c>
      <c r="S106" t="s">
        <v>32</v>
      </c>
      <c r="T106" t="s">
        <v>57</v>
      </c>
    </row>
    <row r="107" spans="1:20" x14ac:dyDescent="0.3">
      <c r="A107" t="s">
        <v>73</v>
      </c>
      <c r="B107" t="s">
        <v>336</v>
      </c>
      <c r="C107" t="s">
        <v>337</v>
      </c>
      <c r="D107" t="s">
        <v>113</v>
      </c>
      <c r="E107">
        <v>197</v>
      </c>
      <c r="F107">
        <v>4</v>
      </c>
      <c r="G107" t="s">
        <v>62</v>
      </c>
      <c r="H107">
        <v>198</v>
      </c>
      <c r="I107">
        <v>4</v>
      </c>
      <c r="J107" t="s">
        <v>338</v>
      </c>
      <c r="K107" t="s">
        <v>62</v>
      </c>
      <c r="L107" t="s">
        <v>26</v>
      </c>
      <c r="M107" t="s">
        <v>64</v>
      </c>
      <c r="N107" t="s">
        <v>28</v>
      </c>
      <c r="O107" t="s">
        <v>29</v>
      </c>
      <c r="P107">
        <v>6</v>
      </c>
      <c r="Q107">
        <v>0</v>
      </c>
      <c r="R107" t="s">
        <v>151</v>
      </c>
      <c r="S107" t="s">
        <v>32</v>
      </c>
      <c r="T107" t="s">
        <v>77</v>
      </c>
    </row>
    <row r="108" spans="1:20" x14ac:dyDescent="0.3">
      <c r="A108" t="s">
        <v>73</v>
      </c>
      <c r="B108" t="s">
        <v>45</v>
      </c>
      <c r="C108" t="s">
        <v>337</v>
      </c>
      <c r="D108" t="s">
        <v>53</v>
      </c>
      <c r="E108">
        <v>156</v>
      </c>
      <c r="F108">
        <v>5</v>
      </c>
      <c r="G108" t="s">
        <v>35</v>
      </c>
      <c r="H108">
        <v>67</v>
      </c>
      <c r="I108">
        <v>10</v>
      </c>
      <c r="J108" t="s">
        <v>84</v>
      </c>
      <c r="K108" t="s">
        <v>35</v>
      </c>
      <c r="L108" t="s">
        <v>26</v>
      </c>
      <c r="M108" t="s">
        <v>80</v>
      </c>
      <c r="N108" t="s">
        <v>28</v>
      </c>
      <c r="O108" t="s">
        <v>29</v>
      </c>
      <c r="P108">
        <v>0</v>
      </c>
      <c r="Q108">
        <v>89</v>
      </c>
      <c r="R108" t="s">
        <v>339</v>
      </c>
      <c r="S108" t="s">
        <v>57</v>
      </c>
      <c r="T108" t="s">
        <v>66</v>
      </c>
    </row>
    <row r="109" spans="1:20" x14ac:dyDescent="0.3">
      <c r="A109" t="s">
        <v>73</v>
      </c>
      <c r="B109" t="s">
        <v>51</v>
      </c>
      <c r="C109" t="s">
        <v>340</v>
      </c>
      <c r="D109" t="s">
        <v>24</v>
      </c>
      <c r="E109">
        <v>217</v>
      </c>
      <c r="F109">
        <v>4</v>
      </c>
      <c r="G109" t="s">
        <v>113</v>
      </c>
      <c r="H109">
        <v>129</v>
      </c>
      <c r="I109">
        <v>10</v>
      </c>
      <c r="J109" t="s">
        <v>182</v>
      </c>
      <c r="K109" t="s">
        <v>113</v>
      </c>
      <c r="L109" t="s">
        <v>26</v>
      </c>
      <c r="M109" t="s">
        <v>27</v>
      </c>
      <c r="N109" t="s">
        <v>28</v>
      </c>
      <c r="O109" t="s">
        <v>29</v>
      </c>
      <c r="P109">
        <v>0</v>
      </c>
      <c r="Q109">
        <v>88</v>
      </c>
      <c r="R109" t="s">
        <v>341</v>
      </c>
      <c r="S109" t="s">
        <v>32</v>
      </c>
      <c r="T109" t="s">
        <v>225</v>
      </c>
    </row>
    <row r="110" spans="1:20" x14ac:dyDescent="0.3">
      <c r="A110" t="s">
        <v>73</v>
      </c>
      <c r="B110" t="s">
        <v>58</v>
      </c>
      <c r="C110" t="s">
        <v>340</v>
      </c>
      <c r="D110" t="s">
        <v>62</v>
      </c>
      <c r="E110">
        <v>147</v>
      </c>
      <c r="F110">
        <v>8</v>
      </c>
      <c r="G110" t="s">
        <v>41</v>
      </c>
      <c r="H110">
        <v>152</v>
      </c>
      <c r="I110">
        <v>5</v>
      </c>
      <c r="J110" t="s">
        <v>188</v>
      </c>
      <c r="K110" t="s">
        <v>41</v>
      </c>
      <c r="L110" t="s">
        <v>26</v>
      </c>
      <c r="M110" t="s">
        <v>48</v>
      </c>
      <c r="N110" t="s">
        <v>28</v>
      </c>
      <c r="O110" t="s">
        <v>29</v>
      </c>
      <c r="P110">
        <v>5</v>
      </c>
      <c r="Q110">
        <v>0</v>
      </c>
      <c r="R110" t="s">
        <v>55</v>
      </c>
      <c r="S110" t="s">
        <v>32</v>
      </c>
      <c r="T110" t="s">
        <v>66</v>
      </c>
    </row>
    <row r="111" spans="1:20" x14ac:dyDescent="0.3">
      <c r="A111" t="s">
        <v>73</v>
      </c>
      <c r="B111" t="s">
        <v>60</v>
      </c>
      <c r="C111" t="s">
        <v>342</v>
      </c>
      <c r="D111" t="s">
        <v>35</v>
      </c>
      <c r="E111">
        <v>145</v>
      </c>
      <c r="F111">
        <v>7</v>
      </c>
      <c r="G111" t="s">
        <v>23</v>
      </c>
      <c r="H111">
        <v>148</v>
      </c>
      <c r="I111">
        <v>3</v>
      </c>
      <c r="J111" t="s">
        <v>36</v>
      </c>
      <c r="K111" t="s">
        <v>23</v>
      </c>
      <c r="L111" t="s">
        <v>26</v>
      </c>
      <c r="M111" t="s">
        <v>43</v>
      </c>
      <c r="N111" t="s">
        <v>28</v>
      </c>
      <c r="O111" t="s">
        <v>29</v>
      </c>
      <c r="P111">
        <v>7</v>
      </c>
      <c r="Q111">
        <v>0</v>
      </c>
      <c r="R111" t="s">
        <v>118</v>
      </c>
      <c r="S111" t="s">
        <v>56</v>
      </c>
      <c r="T111" t="s">
        <v>57</v>
      </c>
    </row>
    <row r="112" spans="1:20" x14ac:dyDescent="0.3">
      <c r="A112" t="s">
        <v>73</v>
      </c>
      <c r="B112" t="s">
        <v>67</v>
      </c>
      <c r="C112" t="s">
        <v>342</v>
      </c>
      <c r="D112" t="s">
        <v>113</v>
      </c>
      <c r="E112">
        <v>163</v>
      </c>
      <c r="F112">
        <v>3</v>
      </c>
      <c r="G112" t="s">
        <v>41</v>
      </c>
      <c r="H112">
        <v>168</v>
      </c>
      <c r="I112">
        <v>3</v>
      </c>
      <c r="J112" t="s">
        <v>253</v>
      </c>
      <c r="K112" t="s">
        <v>113</v>
      </c>
      <c r="L112" t="s">
        <v>37</v>
      </c>
      <c r="M112" t="s">
        <v>48</v>
      </c>
      <c r="N112" t="s">
        <v>28</v>
      </c>
      <c r="O112" t="s">
        <v>29</v>
      </c>
      <c r="P112">
        <v>7</v>
      </c>
      <c r="Q112">
        <v>0</v>
      </c>
      <c r="R112" t="s">
        <v>118</v>
      </c>
      <c r="S112" t="s">
        <v>32</v>
      </c>
      <c r="T112" t="s">
        <v>77</v>
      </c>
    </row>
    <row r="113" spans="1:20" x14ac:dyDescent="0.3">
      <c r="A113" t="s">
        <v>73</v>
      </c>
      <c r="B113" t="s">
        <v>68</v>
      </c>
      <c r="C113" t="s">
        <v>343</v>
      </c>
      <c r="D113" t="s">
        <v>53</v>
      </c>
      <c r="E113">
        <v>142</v>
      </c>
      <c r="F113">
        <v>10</v>
      </c>
      <c r="G113" t="s">
        <v>24</v>
      </c>
      <c r="H113">
        <v>88</v>
      </c>
      <c r="I113">
        <v>8</v>
      </c>
      <c r="J113" t="s">
        <v>344</v>
      </c>
      <c r="K113" t="s">
        <v>24</v>
      </c>
      <c r="L113" t="s">
        <v>26</v>
      </c>
      <c r="M113" t="s">
        <v>80</v>
      </c>
      <c r="N113" t="s">
        <v>345</v>
      </c>
      <c r="O113" t="s">
        <v>89</v>
      </c>
      <c r="P113">
        <v>0</v>
      </c>
      <c r="Q113">
        <v>54</v>
      </c>
      <c r="R113" t="s">
        <v>211</v>
      </c>
      <c r="S113" t="s">
        <v>50</v>
      </c>
      <c r="T113" t="s">
        <v>66</v>
      </c>
    </row>
    <row r="114" spans="1:20" x14ac:dyDescent="0.3">
      <c r="A114" t="s">
        <v>73</v>
      </c>
      <c r="B114" t="s">
        <v>78</v>
      </c>
      <c r="C114" t="s">
        <v>343</v>
      </c>
      <c r="D114" t="s">
        <v>23</v>
      </c>
      <c r="E114">
        <v>152</v>
      </c>
      <c r="F114">
        <v>6</v>
      </c>
      <c r="G114" t="s">
        <v>41</v>
      </c>
      <c r="H114">
        <v>153</v>
      </c>
      <c r="I114">
        <v>6</v>
      </c>
      <c r="J114" t="s">
        <v>188</v>
      </c>
      <c r="K114" t="s">
        <v>23</v>
      </c>
      <c r="L114" t="s">
        <v>37</v>
      </c>
      <c r="M114" t="s">
        <v>48</v>
      </c>
      <c r="N114" t="s">
        <v>345</v>
      </c>
      <c r="O114" t="s">
        <v>89</v>
      </c>
      <c r="P114">
        <v>4</v>
      </c>
      <c r="Q114">
        <v>0</v>
      </c>
      <c r="R114" t="s">
        <v>90</v>
      </c>
      <c r="S114" t="s">
        <v>56</v>
      </c>
      <c r="T114" t="s">
        <v>57</v>
      </c>
    </row>
    <row r="115" spans="1:20" x14ac:dyDescent="0.3">
      <c r="A115" t="s">
        <v>73</v>
      </c>
      <c r="B115" t="s">
        <v>85</v>
      </c>
      <c r="C115" t="s">
        <v>346</v>
      </c>
      <c r="D115" t="s">
        <v>35</v>
      </c>
      <c r="E115">
        <v>136</v>
      </c>
      <c r="F115">
        <v>5</v>
      </c>
      <c r="G115" t="s">
        <v>53</v>
      </c>
      <c r="H115">
        <v>137</v>
      </c>
      <c r="I115">
        <v>2</v>
      </c>
      <c r="J115" t="s">
        <v>332</v>
      </c>
      <c r="K115" t="s">
        <v>53</v>
      </c>
      <c r="L115" t="s">
        <v>26</v>
      </c>
      <c r="M115" t="s">
        <v>80</v>
      </c>
      <c r="N115" t="s">
        <v>345</v>
      </c>
      <c r="O115" t="s">
        <v>89</v>
      </c>
      <c r="P115">
        <v>8</v>
      </c>
      <c r="Q115">
        <v>0</v>
      </c>
      <c r="R115" t="s">
        <v>30</v>
      </c>
      <c r="S115" t="s">
        <v>50</v>
      </c>
      <c r="T115" t="s">
        <v>66</v>
      </c>
    </row>
    <row r="116" spans="1:20" x14ac:dyDescent="0.3">
      <c r="A116" t="s">
        <v>73</v>
      </c>
      <c r="B116" t="s">
        <v>91</v>
      </c>
      <c r="C116" t="s">
        <v>346</v>
      </c>
      <c r="D116" t="s">
        <v>24</v>
      </c>
      <c r="E116">
        <v>137</v>
      </c>
      <c r="F116">
        <v>5</v>
      </c>
      <c r="G116" t="s">
        <v>41</v>
      </c>
      <c r="H116">
        <v>124</v>
      </c>
      <c r="I116">
        <v>9</v>
      </c>
      <c r="J116" t="s">
        <v>347</v>
      </c>
      <c r="K116" t="s">
        <v>24</v>
      </c>
      <c r="L116" t="s">
        <v>37</v>
      </c>
      <c r="M116" t="s">
        <v>27</v>
      </c>
      <c r="N116" t="s">
        <v>345</v>
      </c>
      <c r="O116" t="s">
        <v>89</v>
      </c>
      <c r="P116">
        <v>0</v>
      </c>
      <c r="Q116">
        <v>13</v>
      </c>
      <c r="R116" t="s">
        <v>81</v>
      </c>
      <c r="S116" t="s">
        <v>56</v>
      </c>
      <c r="T116" t="s">
        <v>57</v>
      </c>
    </row>
    <row r="117" spans="1:20" x14ac:dyDescent="0.3">
      <c r="A117" t="s">
        <v>73</v>
      </c>
      <c r="B117" t="s">
        <v>95</v>
      </c>
      <c r="C117" t="s">
        <v>348</v>
      </c>
      <c r="D117" t="s">
        <v>23</v>
      </c>
      <c r="E117">
        <v>182</v>
      </c>
      <c r="F117">
        <v>5</v>
      </c>
      <c r="G117" t="s">
        <v>53</v>
      </c>
      <c r="H117">
        <v>176</v>
      </c>
      <c r="I117">
        <v>6</v>
      </c>
      <c r="J117" t="s">
        <v>36</v>
      </c>
      <c r="K117" t="s">
        <v>23</v>
      </c>
      <c r="L117" t="s">
        <v>37</v>
      </c>
      <c r="M117" t="s">
        <v>43</v>
      </c>
      <c r="N117" t="s">
        <v>345</v>
      </c>
      <c r="O117" t="s">
        <v>89</v>
      </c>
      <c r="P117">
        <v>0</v>
      </c>
      <c r="Q117">
        <v>6</v>
      </c>
      <c r="R117" t="s">
        <v>315</v>
      </c>
      <c r="S117" t="s">
        <v>72</v>
      </c>
      <c r="T117" t="s">
        <v>225</v>
      </c>
    </row>
    <row r="118" spans="1:20" x14ac:dyDescent="0.3">
      <c r="A118" t="s">
        <v>73</v>
      </c>
      <c r="B118" t="s">
        <v>104</v>
      </c>
      <c r="C118" t="s">
        <v>348</v>
      </c>
      <c r="D118" t="s">
        <v>113</v>
      </c>
      <c r="E118">
        <v>122</v>
      </c>
      <c r="F118">
        <v>10</v>
      </c>
      <c r="G118" t="s">
        <v>62</v>
      </c>
      <c r="H118">
        <v>126</v>
      </c>
      <c r="I118">
        <v>5</v>
      </c>
      <c r="J118" t="s">
        <v>349</v>
      </c>
      <c r="K118" t="s">
        <v>62</v>
      </c>
      <c r="L118" t="s">
        <v>26</v>
      </c>
      <c r="M118" t="s">
        <v>64</v>
      </c>
      <c r="N118" t="s">
        <v>345</v>
      </c>
      <c r="O118" t="s">
        <v>89</v>
      </c>
      <c r="P118">
        <v>5</v>
      </c>
      <c r="Q118">
        <v>0</v>
      </c>
      <c r="R118" t="s">
        <v>55</v>
      </c>
      <c r="S118" t="s">
        <v>57</v>
      </c>
      <c r="T118" t="s">
        <v>225</v>
      </c>
    </row>
    <row r="119" spans="1:20" x14ac:dyDescent="0.3">
      <c r="A119" t="s">
        <v>73</v>
      </c>
      <c r="B119" t="s">
        <v>110</v>
      </c>
      <c r="C119" t="s">
        <v>350</v>
      </c>
      <c r="D119" t="s">
        <v>113</v>
      </c>
      <c r="E119">
        <v>122</v>
      </c>
      <c r="F119">
        <v>10</v>
      </c>
      <c r="G119" t="s">
        <v>35</v>
      </c>
      <c r="H119">
        <v>89</v>
      </c>
      <c r="I119">
        <v>10</v>
      </c>
      <c r="J119" t="s">
        <v>351</v>
      </c>
      <c r="K119" t="s">
        <v>113</v>
      </c>
      <c r="L119" t="s">
        <v>37</v>
      </c>
      <c r="M119" t="s">
        <v>189</v>
      </c>
      <c r="N119" t="s">
        <v>345</v>
      </c>
      <c r="O119" t="s">
        <v>89</v>
      </c>
      <c r="P119">
        <v>0</v>
      </c>
      <c r="Q119">
        <v>33</v>
      </c>
      <c r="R119" t="s">
        <v>131</v>
      </c>
      <c r="S119" t="s">
        <v>72</v>
      </c>
      <c r="T119" t="s">
        <v>50</v>
      </c>
    </row>
    <row r="120" spans="1:20" x14ac:dyDescent="0.3">
      <c r="A120" t="s">
        <v>73</v>
      </c>
      <c r="B120" t="s">
        <v>116</v>
      </c>
      <c r="C120" t="s">
        <v>350</v>
      </c>
      <c r="D120" t="s">
        <v>24</v>
      </c>
      <c r="E120">
        <v>158</v>
      </c>
      <c r="F120">
        <v>5</v>
      </c>
      <c r="G120" t="s">
        <v>62</v>
      </c>
      <c r="H120">
        <v>127</v>
      </c>
      <c r="I120">
        <v>8</v>
      </c>
      <c r="J120" t="s">
        <v>352</v>
      </c>
      <c r="K120" t="s">
        <v>62</v>
      </c>
      <c r="L120" t="s">
        <v>26</v>
      </c>
      <c r="M120" t="s">
        <v>27</v>
      </c>
      <c r="N120" t="s">
        <v>345</v>
      </c>
      <c r="O120" t="s">
        <v>89</v>
      </c>
      <c r="P120">
        <v>0</v>
      </c>
      <c r="Q120">
        <v>31</v>
      </c>
      <c r="R120" t="s">
        <v>353</v>
      </c>
      <c r="S120" t="s">
        <v>57</v>
      </c>
      <c r="T120" t="s">
        <v>66</v>
      </c>
    </row>
    <row r="121" spans="1:20" x14ac:dyDescent="0.3">
      <c r="A121" t="s">
        <v>73</v>
      </c>
      <c r="B121" t="s">
        <v>123</v>
      </c>
      <c r="C121" t="s">
        <v>354</v>
      </c>
      <c r="D121" t="s">
        <v>41</v>
      </c>
      <c r="E121">
        <v>213</v>
      </c>
      <c r="F121">
        <v>6</v>
      </c>
      <c r="G121" t="s">
        <v>23</v>
      </c>
      <c r="H121">
        <v>209</v>
      </c>
      <c r="I121">
        <v>7</v>
      </c>
      <c r="J121" t="s">
        <v>355</v>
      </c>
      <c r="K121" t="s">
        <v>41</v>
      </c>
      <c r="L121" t="s">
        <v>37</v>
      </c>
      <c r="M121" t="s">
        <v>48</v>
      </c>
      <c r="N121" t="s">
        <v>345</v>
      </c>
      <c r="O121" t="s">
        <v>89</v>
      </c>
      <c r="P121">
        <v>0</v>
      </c>
      <c r="Q121">
        <v>4</v>
      </c>
      <c r="R121" t="s">
        <v>103</v>
      </c>
      <c r="S121" t="s">
        <v>72</v>
      </c>
      <c r="T121" t="s">
        <v>56</v>
      </c>
    </row>
    <row r="122" spans="1:20" x14ac:dyDescent="0.3">
      <c r="A122" t="s">
        <v>73</v>
      </c>
      <c r="B122" t="s">
        <v>126</v>
      </c>
      <c r="C122" t="s">
        <v>354</v>
      </c>
      <c r="D122" t="s">
        <v>53</v>
      </c>
      <c r="E122">
        <v>172</v>
      </c>
      <c r="F122">
        <v>6</v>
      </c>
      <c r="G122" t="s">
        <v>62</v>
      </c>
      <c r="H122">
        <v>176</v>
      </c>
      <c r="I122">
        <v>7</v>
      </c>
      <c r="J122" t="s">
        <v>356</v>
      </c>
      <c r="K122" t="s">
        <v>62</v>
      </c>
      <c r="L122" t="s">
        <v>26</v>
      </c>
      <c r="M122" t="s">
        <v>64</v>
      </c>
      <c r="N122" t="s">
        <v>345</v>
      </c>
      <c r="O122" t="s">
        <v>89</v>
      </c>
      <c r="P122">
        <v>3</v>
      </c>
      <c r="Q122">
        <v>0</v>
      </c>
      <c r="R122" t="s">
        <v>49</v>
      </c>
      <c r="S122" t="s">
        <v>57</v>
      </c>
      <c r="T122" t="s">
        <v>225</v>
      </c>
    </row>
    <row r="123" spans="1:20" x14ac:dyDescent="0.3">
      <c r="A123" t="s">
        <v>73</v>
      </c>
      <c r="B123" t="s">
        <v>132</v>
      </c>
      <c r="C123" t="s">
        <v>357</v>
      </c>
      <c r="D123" t="s">
        <v>35</v>
      </c>
      <c r="E123">
        <v>150</v>
      </c>
      <c r="F123">
        <v>7</v>
      </c>
      <c r="G123" t="s">
        <v>113</v>
      </c>
      <c r="H123">
        <v>141</v>
      </c>
      <c r="I123">
        <v>7</v>
      </c>
      <c r="J123" t="s">
        <v>358</v>
      </c>
      <c r="K123" t="s">
        <v>35</v>
      </c>
      <c r="L123" t="s">
        <v>37</v>
      </c>
      <c r="M123" t="s">
        <v>98</v>
      </c>
      <c r="N123" t="s">
        <v>359</v>
      </c>
      <c r="O123" t="s">
        <v>98</v>
      </c>
      <c r="P123">
        <v>0</v>
      </c>
      <c r="Q123">
        <v>9</v>
      </c>
      <c r="R123" t="s">
        <v>38</v>
      </c>
      <c r="S123" t="s">
        <v>50</v>
      </c>
      <c r="T123" t="s">
        <v>66</v>
      </c>
    </row>
    <row r="124" spans="1:20" x14ac:dyDescent="0.3">
      <c r="A124" t="s">
        <v>73</v>
      </c>
      <c r="B124" t="s">
        <v>138</v>
      </c>
      <c r="C124" t="s">
        <v>357</v>
      </c>
      <c r="D124" t="s">
        <v>24</v>
      </c>
      <c r="E124">
        <v>152</v>
      </c>
      <c r="F124">
        <v>8</v>
      </c>
      <c r="G124" t="s">
        <v>62</v>
      </c>
      <c r="H124">
        <v>157</v>
      </c>
      <c r="I124">
        <v>3</v>
      </c>
      <c r="J124" t="s">
        <v>150</v>
      </c>
      <c r="K124" t="s">
        <v>24</v>
      </c>
      <c r="L124" t="s">
        <v>37</v>
      </c>
      <c r="M124" t="s">
        <v>64</v>
      </c>
      <c r="N124" t="s">
        <v>359</v>
      </c>
      <c r="O124" t="s">
        <v>98</v>
      </c>
      <c r="P124">
        <v>7</v>
      </c>
      <c r="Q124">
        <v>0</v>
      </c>
      <c r="R124" t="s">
        <v>118</v>
      </c>
      <c r="S124" t="s">
        <v>50</v>
      </c>
      <c r="T124" t="s">
        <v>77</v>
      </c>
    </row>
    <row r="125" spans="1:20" x14ac:dyDescent="0.3">
      <c r="A125" t="s">
        <v>73</v>
      </c>
      <c r="B125" t="s">
        <v>148</v>
      </c>
      <c r="C125" t="s">
        <v>360</v>
      </c>
      <c r="D125" t="s">
        <v>35</v>
      </c>
      <c r="E125">
        <v>197</v>
      </c>
      <c r="F125">
        <v>0</v>
      </c>
      <c r="G125" t="s">
        <v>41</v>
      </c>
      <c r="H125">
        <v>129</v>
      </c>
      <c r="I125">
        <v>10</v>
      </c>
      <c r="J125" t="s">
        <v>335</v>
      </c>
      <c r="K125" t="s">
        <v>41</v>
      </c>
      <c r="L125" t="s">
        <v>26</v>
      </c>
      <c r="M125" t="s">
        <v>98</v>
      </c>
      <c r="N125" t="s">
        <v>359</v>
      </c>
      <c r="O125" t="s">
        <v>98</v>
      </c>
      <c r="P125">
        <v>0</v>
      </c>
      <c r="Q125">
        <v>68</v>
      </c>
      <c r="R125" t="s">
        <v>361</v>
      </c>
      <c r="S125" t="s">
        <v>72</v>
      </c>
      <c r="T125" t="s">
        <v>225</v>
      </c>
    </row>
    <row r="126" spans="1:20" x14ac:dyDescent="0.3">
      <c r="A126" t="s">
        <v>73</v>
      </c>
      <c r="B126" t="s">
        <v>156</v>
      </c>
      <c r="C126" t="s">
        <v>360</v>
      </c>
      <c r="D126" t="s">
        <v>53</v>
      </c>
      <c r="E126">
        <v>129</v>
      </c>
      <c r="F126">
        <v>7</v>
      </c>
      <c r="G126" t="s">
        <v>23</v>
      </c>
      <c r="H126">
        <v>108</v>
      </c>
      <c r="I126">
        <v>9</v>
      </c>
      <c r="J126" t="s">
        <v>183</v>
      </c>
      <c r="K126" t="s">
        <v>23</v>
      </c>
      <c r="L126" t="s">
        <v>26</v>
      </c>
      <c r="M126" t="s">
        <v>80</v>
      </c>
      <c r="N126" t="s">
        <v>359</v>
      </c>
      <c r="O126" t="s">
        <v>98</v>
      </c>
      <c r="P126">
        <v>0</v>
      </c>
      <c r="Q126">
        <v>21</v>
      </c>
      <c r="R126" t="s">
        <v>165</v>
      </c>
      <c r="S126" t="s">
        <v>56</v>
      </c>
      <c r="T126" t="s">
        <v>77</v>
      </c>
    </row>
    <row r="127" spans="1:20" x14ac:dyDescent="0.3">
      <c r="A127" t="s">
        <v>73</v>
      </c>
      <c r="B127" t="s">
        <v>163</v>
      </c>
      <c r="C127" t="s">
        <v>362</v>
      </c>
      <c r="D127" t="s">
        <v>35</v>
      </c>
      <c r="E127">
        <v>145</v>
      </c>
      <c r="F127">
        <v>7</v>
      </c>
      <c r="G127" t="s">
        <v>62</v>
      </c>
      <c r="H127">
        <v>146</v>
      </c>
      <c r="I127">
        <v>4</v>
      </c>
      <c r="J127" t="s">
        <v>363</v>
      </c>
      <c r="K127" t="s">
        <v>35</v>
      </c>
      <c r="L127" t="s">
        <v>37</v>
      </c>
      <c r="M127" t="s">
        <v>64</v>
      </c>
      <c r="N127" t="s">
        <v>359</v>
      </c>
      <c r="O127" t="s">
        <v>98</v>
      </c>
      <c r="P127">
        <v>6</v>
      </c>
      <c r="Q127">
        <v>0</v>
      </c>
      <c r="R127" t="s">
        <v>151</v>
      </c>
      <c r="S127" t="s">
        <v>72</v>
      </c>
      <c r="T127" t="s">
        <v>50</v>
      </c>
    </row>
    <row r="128" spans="1:20" x14ac:dyDescent="0.3">
      <c r="A128" t="s">
        <v>73</v>
      </c>
      <c r="B128" t="s">
        <v>168</v>
      </c>
      <c r="C128" t="s">
        <v>362</v>
      </c>
      <c r="D128" t="s">
        <v>113</v>
      </c>
      <c r="E128">
        <v>174</v>
      </c>
      <c r="F128">
        <v>4</v>
      </c>
      <c r="G128" t="s">
        <v>23</v>
      </c>
      <c r="H128">
        <v>167</v>
      </c>
      <c r="I128">
        <v>8</v>
      </c>
      <c r="J128" t="s">
        <v>338</v>
      </c>
      <c r="K128" t="s">
        <v>113</v>
      </c>
      <c r="L128" t="s">
        <v>37</v>
      </c>
      <c r="M128" t="s">
        <v>189</v>
      </c>
      <c r="N128" t="s">
        <v>359</v>
      </c>
      <c r="O128" t="s">
        <v>98</v>
      </c>
      <c r="P128">
        <v>0</v>
      </c>
      <c r="Q128">
        <v>7</v>
      </c>
      <c r="R128" t="s">
        <v>364</v>
      </c>
      <c r="S128" t="s">
        <v>50</v>
      </c>
      <c r="T128" t="s">
        <v>77</v>
      </c>
    </row>
    <row r="129" spans="1:20" x14ac:dyDescent="0.3">
      <c r="A129" t="s">
        <v>73</v>
      </c>
      <c r="B129" t="s">
        <v>170</v>
      </c>
      <c r="C129" t="s">
        <v>365</v>
      </c>
      <c r="D129" t="s">
        <v>24</v>
      </c>
      <c r="E129">
        <v>156</v>
      </c>
      <c r="F129">
        <v>8</v>
      </c>
      <c r="G129" t="s">
        <v>41</v>
      </c>
      <c r="H129">
        <v>143</v>
      </c>
      <c r="I129">
        <v>3</v>
      </c>
      <c r="J129" t="s">
        <v>108</v>
      </c>
      <c r="K129" t="s">
        <v>24</v>
      </c>
      <c r="L129" t="s">
        <v>37</v>
      </c>
      <c r="M129" t="s">
        <v>27</v>
      </c>
      <c r="N129" t="s">
        <v>359</v>
      </c>
      <c r="O129" t="s">
        <v>98</v>
      </c>
      <c r="P129">
        <v>0</v>
      </c>
      <c r="Q129">
        <v>13</v>
      </c>
      <c r="R129" t="s">
        <v>81</v>
      </c>
      <c r="S129" t="s">
        <v>56</v>
      </c>
      <c r="T129" t="s">
        <v>66</v>
      </c>
    </row>
    <row r="130" spans="1:20" x14ac:dyDescent="0.3">
      <c r="A130" t="s">
        <v>73</v>
      </c>
      <c r="B130" t="s">
        <v>176</v>
      </c>
      <c r="C130" t="s">
        <v>365</v>
      </c>
      <c r="D130" t="s">
        <v>53</v>
      </c>
      <c r="E130">
        <v>132</v>
      </c>
      <c r="F130">
        <v>5</v>
      </c>
      <c r="G130" t="s">
        <v>113</v>
      </c>
      <c r="H130">
        <v>135</v>
      </c>
      <c r="I130">
        <v>4</v>
      </c>
      <c r="J130" t="s">
        <v>97</v>
      </c>
      <c r="K130" t="s">
        <v>53</v>
      </c>
      <c r="L130" t="s">
        <v>37</v>
      </c>
      <c r="M130" t="s">
        <v>189</v>
      </c>
      <c r="N130" t="s">
        <v>359</v>
      </c>
      <c r="O130" t="s">
        <v>98</v>
      </c>
      <c r="P130">
        <v>6</v>
      </c>
      <c r="Q130">
        <v>0</v>
      </c>
      <c r="R130" t="s">
        <v>151</v>
      </c>
      <c r="S130" t="s">
        <v>72</v>
      </c>
      <c r="T130" t="s">
        <v>77</v>
      </c>
    </row>
    <row r="131" spans="1:20" x14ac:dyDescent="0.3">
      <c r="A131" t="s">
        <v>73</v>
      </c>
      <c r="B131" t="s">
        <v>180</v>
      </c>
      <c r="C131" t="s">
        <v>366</v>
      </c>
      <c r="D131" t="s">
        <v>41</v>
      </c>
      <c r="E131">
        <v>147</v>
      </c>
      <c r="F131">
        <v>8</v>
      </c>
      <c r="G131" t="s">
        <v>62</v>
      </c>
      <c r="H131">
        <v>150</v>
      </c>
      <c r="I131">
        <v>6</v>
      </c>
      <c r="J131" t="s">
        <v>367</v>
      </c>
      <c r="K131" t="s">
        <v>41</v>
      </c>
      <c r="L131" t="s">
        <v>37</v>
      </c>
      <c r="M131" t="s">
        <v>64</v>
      </c>
      <c r="N131" t="s">
        <v>28</v>
      </c>
      <c r="O131" t="s">
        <v>29</v>
      </c>
      <c r="P131">
        <v>4</v>
      </c>
      <c r="Q131">
        <v>0</v>
      </c>
      <c r="R131" t="s">
        <v>90</v>
      </c>
      <c r="S131" t="s">
        <v>57</v>
      </c>
      <c r="T131" t="s">
        <v>225</v>
      </c>
    </row>
    <row r="132" spans="1:20" x14ac:dyDescent="0.3">
      <c r="A132" t="s">
        <v>73</v>
      </c>
      <c r="B132" t="s">
        <v>186</v>
      </c>
      <c r="C132" t="s">
        <v>366</v>
      </c>
      <c r="D132" t="s">
        <v>35</v>
      </c>
      <c r="E132">
        <v>142</v>
      </c>
      <c r="F132">
        <v>8</v>
      </c>
      <c r="G132" t="s">
        <v>23</v>
      </c>
      <c r="H132">
        <v>146</v>
      </c>
      <c r="I132">
        <v>2</v>
      </c>
      <c r="J132" t="s">
        <v>54</v>
      </c>
      <c r="K132" t="s">
        <v>35</v>
      </c>
      <c r="L132" t="s">
        <v>37</v>
      </c>
      <c r="M132" t="s">
        <v>43</v>
      </c>
      <c r="N132" t="s">
        <v>28</v>
      </c>
      <c r="O132" t="s">
        <v>29</v>
      </c>
      <c r="P132">
        <v>8</v>
      </c>
      <c r="Q132">
        <v>0</v>
      </c>
      <c r="R132" t="s">
        <v>30</v>
      </c>
      <c r="S132" t="s">
        <v>72</v>
      </c>
      <c r="T132" t="s">
        <v>77</v>
      </c>
    </row>
    <row r="133" spans="1:20" x14ac:dyDescent="0.3">
      <c r="A133" t="s">
        <v>73</v>
      </c>
      <c r="B133" t="s">
        <v>190</v>
      </c>
      <c r="C133" t="s">
        <v>368</v>
      </c>
      <c r="D133" t="s">
        <v>24</v>
      </c>
      <c r="E133">
        <v>202</v>
      </c>
      <c r="F133">
        <v>5</v>
      </c>
      <c r="G133" t="s">
        <v>113</v>
      </c>
      <c r="H133">
        <v>167</v>
      </c>
      <c r="I133">
        <v>4</v>
      </c>
      <c r="J133" t="s">
        <v>325</v>
      </c>
      <c r="K133" t="s">
        <v>24</v>
      </c>
      <c r="L133" t="s">
        <v>37</v>
      </c>
      <c r="M133" t="s">
        <v>27</v>
      </c>
      <c r="N133" t="s">
        <v>28</v>
      </c>
      <c r="O133" t="s">
        <v>29</v>
      </c>
      <c r="P133">
        <v>0</v>
      </c>
      <c r="Q133">
        <v>35</v>
      </c>
      <c r="R133" t="s">
        <v>65</v>
      </c>
      <c r="S133" t="s">
        <v>369</v>
      </c>
      <c r="T133" t="s">
        <v>370</v>
      </c>
    </row>
    <row r="134" spans="1:20" x14ac:dyDescent="0.3">
      <c r="A134" t="s">
        <v>73</v>
      </c>
      <c r="B134" t="s">
        <v>195</v>
      </c>
      <c r="C134" t="s">
        <v>368</v>
      </c>
      <c r="D134" t="s">
        <v>41</v>
      </c>
      <c r="E134">
        <v>99</v>
      </c>
      <c r="F134">
        <v>9</v>
      </c>
      <c r="G134" t="s">
        <v>53</v>
      </c>
      <c r="H134">
        <v>97</v>
      </c>
      <c r="I134">
        <v>10</v>
      </c>
      <c r="J134" t="s">
        <v>59</v>
      </c>
      <c r="K134" t="s">
        <v>41</v>
      </c>
      <c r="L134" t="s">
        <v>37</v>
      </c>
      <c r="M134" t="s">
        <v>48</v>
      </c>
      <c r="N134" t="s">
        <v>28</v>
      </c>
      <c r="O134" t="s">
        <v>29</v>
      </c>
      <c r="P134">
        <v>0</v>
      </c>
      <c r="Q134">
        <v>2</v>
      </c>
      <c r="R134" t="s">
        <v>128</v>
      </c>
      <c r="S134" t="s">
        <v>57</v>
      </c>
      <c r="T134" t="s">
        <v>50</v>
      </c>
    </row>
    <row r="135" spans="1:20" x14ac:dyDescent="0.3">
      <c r="A135" t="s">
        <v>73</v>
      </c>
      <c r="B135" t="s">
        <v>33</v>
      </c>
      <c r="C135" t="s">
        <v>371</v>
      </c>
      <c r="D135" t="s">
        <v>62</v>
      </c>
      <c r="E135">
        <v>175</v>
      </c>
      <c r="F135">
        <v>7</v>
      </c>
      <c r="G135" t="s">
        <v>23</v>
      </c>
      <c r="H135">
        <v>142</v>
      </c>
      <c r="I135">
        <v>9</v>
      </c>
      <c r="J135" t="s">
        <v>121</v>
      </c>
      <c r="K135" t="s">
        <v>23</v>
      </c>
      <c r="L135" t="s">
        <v>26</v>
      </c>
      <c r="M135" t="s">
        <v>64</v>
      </c>
      <c r="N135" t="s">
        <v>28</v>
      </c>
      <c r="O135" t="s">
        <v>29</v>
      </c>
      <c r="P135">
        <v>0</v>
      </c>
      <c r="Q135">
        <v>33</v>
      </c>
      <c r="R135" t="s">
        <v>131</v>
      </c>
      <c r="S135" t="s">
        <v>372</v>
      </c>
      <c r="T135" t="s">
        <v>373</v>
      </c>
    </row>
    <row r="136" spans="1:20" x14ac:dyDescent="0.3">
      <c r="A136" t="s">
        <v>73</v>
      </c>
      <c r="B136" t="s">
        <v>40</v>
      </c>
      <c r="C136" t="s">
        <v>371</v>
      </c>
      <c r="D136" t="s">
        <v>24</v>
      </c>
      <c r="E136">
        <v>204</v>
      </c>
      <c r="F136">
        <v>4</v>
      </c>
      <c r="G136" t="s">
        <v>35</v>
      </c>
      <c r="H136">
        <v>142</v>
      </c>
      <c r="I136">
        <v>8</v>
      </c>
      <c r="J136" t="s">
        <v>374</v>
      </c>
      <c r="K136" t="s">
        <v>24</v>
      </c>
      <c r="L136" t="s">
        <v>37</v>
      </c>
      <c r="M136" t="s">
        <v>27</v>
      </c>
      <c r="N136" t="s">
        <v>28</v>
      </c>
      <c r="O136" t="s">
        <v>29</v>
      </c>
      <c r="P136">
        <v>0</v>
      </c>
      <c r="Q136">
        <v>62</v>
      </c>
      <c r="R136" t="s">
        <v>375</v>
      </c>
      <c r="S136" t="s">
        <v>66</v>
      </c>
      <c r="T136" t="s">
        <v>77</v>
      </c>
    </row>
    <row r="137" spans="1:20" x14ac:dyDescent="0.3">
      <c r="A137" t="s">
        <v>140</v>
      </c>
      <c r="B137" t="s">
        <v>68</v>
      </c>
      <c r="C137" t="s">
        <v>376</v>
      </c>
      <c r="D137" t="s">
        <v>174</v>
      </c>
      <c r="E137">
        <v>59</v>
      </c>
      <c r="F137">
        <v>10</v>
      </c>
      <c r="G137" t="s">
        <v>113</v>
      </c>
      <c r="H137">
        <v>60</v>
      </c>
      <c r="I137">
        <v>2</v>
      </c>
      <c r="J137" t="s">
        <v>377</v>
      </c>
      <c r="K137" t="s">
        <v>113</v>
      </c>
      <c r="L137" t="s">
        <v>26</v>
      </c>
      <c r="M137" t="s">
        <v>189</v>
      </c>
      <c r="N137" t="s">
        <v>28</v>
      </c>
      <c r="O137" t="s">
        <v>29</v>
      </c>
      <c r="P137">
        <v>8</v>
      </c>
      <c r="Q137">
        <v>0</v>
      </c>
      <c r="R137" t="s">
        <v>30</v>
      </c>
      <c r="S137" t="s">
        <v>72</v>
      </c>
      <c r="T137" t="s">
        <v>56</v>
      </c>
    </row>
    <row r="138" spans="1:20" x14ac:dyDescent="0.3">
      <c r="A138" t="s">
        <v>140</v>
      </c>
      <c r="B138" t="s">
        <v>78</v>
      </c>
      <c r="C138" t="s">
        <v>376</v>
      </c>
      <c r="D138" t="s">
        <v>142</v>
      </c>
      <c r="E138">
        <v>105</v>
      </c>
      <c r="F138">
        <v>6</v>
      </c>
      <c r="G138" t="s">
        <v>143</v>
      </c>
      <c r="H138">
        <v>106</v>
      </c>
      <c r="I138">
        <v>3</v>
      </c>
      <c r="J138" t="s">
        <v>42</v>
      </c>
      <c r="K138" t="s">
        <v>143</v>
      </c>
      <c r="L138" t="s">
        <v>26</v>
      </c>
      <c r="M138" t="s">
        <v>145</v>
      </c>
      <c r="N138" t="s">
        <v>28</v>
      </c>
      <c r="O138" t="s">
        <v>29</v>
      </c>
      <c r="P138">
        <v>7</v>
      </c>
      <c r="Q138">
        <v>0</v>
      </c>
      <c r="R138" t="s">
        <v>118</v>
      </c>
      <c r="S138" t="s">
        <v>146</v>
      </c>
      <c r="T138" t="s">
        <v>66</v>
      </c>
    </row>
    <row r="139" spans="1:20" x14ac:dyDescent="0.3">
      <c r="A139" t="s">
        <v>140</v>
      </c>
      <c r="B139" t="s">
        <v>85</v>
      </c>
      <c r="C139" t="s">
        <v>378</v>
      </c>
      <c r="D139" t="s">
        <v>160</v>
      </c>
      <c r="E139">
        <v>135</v>
      </c>
      <c r="F139">
        <v>7</v>
      </c>
      <c r="G139" t="s">
        <v>113</v>
      </c>
      <c r="H139">
        <v>136</v>
      </c>
      <c r="I139">
        <v>4</v>
      </c>
      <c r="J139" t="s">
        <v>188</v>
      </c>
      <c r="K139" t="s">
        <v>160</v>
      </c>
      <c r="L139" t="s">
        <v>37</v>
      </c>
      <c r="M139" t="s">
        <v>189</v>
      </c>
      <c r="N139" t="s">
        <v>28</v>
      </c>
      <c r="O139" t="s">
        <v>29</v>
      </c>
      <c r="P139">
        <v>6</v>
      </c>
      <c r="Q139">
        <v>0</v>
      </c>
      <c r="R139" t="s">
        <v>151</v>
      </c>
      <c r="S139" t="s">
        <v>146</v>
      </c>
      <c r="T139" t="s">
        <v>32</v>
      </c>
    </row>
    <row r="140" spans="1:20" x14ac:dyDescent="0.3">
      <c r="A140" t="s">
        <v>140</v>
      </c>
      <c r="B140" t="s">
        <v>91</v>
      </c>
      <c r="C140" t="s">
        <v>378</v>
      </c>
      <c r="D140" t="s">
        <v>142</v>
      </c>
      <c r="E140">
        <v>58</v>
      </c>
      <c r="F140">
        <v>10</v>
      </c>
      <c r="G140" t="s">
        <v>174</v>
      </c>
      <c r="H140">
        <v>62</v>
      </c>
      <c r="I140">
        <v>1</v>
      </c>
      <c r="J140" t="s">
        <v>105</v>
      </c>
      <c r="K140" t="s">
        <v>174</v>
      </c>
      <c r="L140" t="s">
        <v>26</v>
      </c>
      <c r="M140" t="s">
        <v>184</v>
      </c>
      <c r="N140" t="s">
        <v>28</v>
      </c>
      <c r="O140" t="s">
        <v>29</v>
      </c>
      <c r="P140">
        <v>0</v>
      </c>
      <c r="Q140">
        <v>0</v>
      </c>
      <c r="R140" t="s">
        <v>379</v>
      </c>
      <c r="S140" t="s">
        <v>56</v>
      </c>
      <c r="T140" t="s">
        <v>147</v>
      </c>
    </row>
    <row r="141" spans="1:20" x14ac:dyDescent="0.3">
      <c r="A141" t="s">
        <v>140</v>
      </c>
      <c r="B141" t="s">
        <v>95</v>
      </c>
      <c r="C141" t="s">
        <v>380</v>
      </c>
      <c r="D141" t="s">
        <v>179</v>
      </c>
      <c r="E141">
        <v>136</v>
      </c>
      <c r="F141">
        <v>5</v>
      </c>
      <c r="G141" t="s">
        <v>143</v>
      </c>
      <c r="H141">
        <v>142</v>
      </c>
      <c r="I141">
        <v>5</v>
      </c>
      <c r="J141" t="s">
        <v>381</v>
      </c>
      <c r="K141" t="s">
        <v>143</v>
      </c>
      <c r="L141" t="s">
        <v>26</v>
      </c>
      <c r="M141" t="s">
        <v>145</v>
      </c>
      <c r="N141" t="s">
        <v>88</v>
      </c>
      <c r="O141" t="s">
        <v>89</v>
      </c>
      <c r="P141">
        <v>5</v>
      </c>
      <c r="Q141">
        <v>0</v>
      </c>
      <c r="R141" t="s">
        <v>55</v>
      </c>
      <c r="S141" t="s">
        <v>50</v>
      </c>
      <c r="T141" t="s">
        <v>216</v>
      </c>
    </row>
    <row r="142" spans="1:20" x14ac:dyDescent="0.3">
      <c r="A142" t="s">
        <v>140</v>
      </c>
      <c r="B142" t="s">
        <v>104</v>
      </c>
      <c r="C142" t="s">
        <v>380</v>
      </c>
      <c r="D142" t="s">
        <v>113</v>
      </c>
      <c r="E142">
        <v>104</v>
      </c>
      <c r="F142">
        <v>9</v>
      </c>
      <c r="G142" t="s">
        <v>142</v>
      </c>
      <c r="H142">
        <v>75</v>
      </c>
      <c r="I142">
        <v>4</v>
      </c>
      <c r="J142" t="s">
        <v>161</v>
      </c>
      <c r="K142" t="s">
        <v>142</v>
      </c>
      <c r="L142" t="s">
        <v>26</v>
      </c>
      <c r="M142" t="s">
        <v>155</v>
      </c>
      <c r="N142" t="s">
        <v>88</v>
      </c>
      <c r="O142" t="s">
        <v>89</v>
      </c>
      <c r="P142">
        <v>6</v>
      </c>
      <c r="Q142">
        <v>0</v>
      </c>
      <c r="R142" t="s">
        <v>151</v>
      </c>
      <c r="S142" t="s">
        <v>72</v>
      </c>
      <c r="T142" t="s">
        <v>147</v>
      </c>
    </row>
    <row r="143" spans="1:20" x14ac:dyDescent="0.3">
      <c r="A143" t="s">
        <v>140</v>
      </c>
      <c r="B143" t="s">
        <v>110</v>
      </c>
      <c r="C143" t="s">
        <v>382</v>
      </c>
      <c r="D143" t="s">
        <v>174</v>
      </c>
      <c r="E143">
        <v>139</v>
      </c>
      <c r="F143">
        <v>9</v>
      </c>
      <c r="G143" t="s">
        <v>179</v>
      </c>
      <c r="H143">
        <v>140</v>
      </c>
      <c r="I143">
        <v>0</v>
      </c>
      <c r="J143" t="s">
        <v>383</v>
      </c>
      <c r="K143" t="s">
        <v>179</v>
      </c>
      <c r="L143" t="s">
        <v>26</v>
      </c>
      <c r="M143" t="s">
        <v>245</v>
      </c>
      <c r="N143" t="s">
        <v>88</v>
      </c>
      <c r="O143" t="s">
        <v>89</v>
      </c>
      <c r="P143">
        <v>10</v>
      </c>
      <c r="Q143">
        <v>0</v>
      </c>
      <c r="R143" t="s">
        <v>209</v>
      </c>
      <c r="S143" t="s">
        <v>72</v>
      </c>
      <c r="T143" t="s">
        <v>216</v>
      </c>
    </row>
    <row r="144" spans="1:20" x14ac:dyDescent="0.3">
      <c r="A144" t="s">
        <v>140</v>
      </c>
      <c r="B144" t="s">
        <v>116</v>
      </c>
      <c r="C144" t="s">
        <v>382</v>
      </c>
      <c r="D144" t="s">
        <v>143</v>
      </c>
      <c r="E144">
        <v>141</v>
      </c>
      <c r="F144">
        <v>7</v>
      </c>
      <c r="G144" t="s">
        <v>160</v>
      </c>
      <c r="H144">
        <v>131</v>
      </c>
      <c r="I144">
        <v>6</v>
      </c>
      <c r="J144" t="s">
        <v>166</v>
      </c>
      <c r="K144" t="s">
        <v>160</v>
      </c>
      <c r="L144" t="s">
        <v>26</v>
      </c>
      <c r="M144" t="s">
        <v>145</v>
      </c>
      <c r="N144" t="s">
        <v>88</v>
      </c>
      <c r="O144" t="s">
        <v>89</v>
      </c>
      <c r="P144">
        <v>0</v>
      </c>
      <c r="Q144">
        <v>10</v>
      </c>
      <c r="R144" t="s">
        <v>384</v>
      </c>
      <c r="S144" t="s">
        <v>50</v>
      </c>
      <c r="T144" t="s">
        <v>225</v>
      </c>
    </row>
    <row r="145" spans="1:20" x14ac:dyDescent="0.3">
      <c r="A145" t="s">
        <v>140</v>
      </c>
      <c r="B145" t="s">
        <v>123</v>
      </c>
      <c r="C145" t="s">
        <v>385</v>
      </c>
      <c r="D145" t="s">
        <v>160</v>
      </c>
      <c r="E145">
        <v>158</v>
      </c>
      <c r="F145">
        <v>5</v>
      </c>
      <c r="G145" t="s">
        <v>142</v>
      </c>
      <c r="H145">
        <v>159</v>
      </c>
      <c r="I145">
        <v>1</v>
      </c>
      <c r="J145" t="s">
        <v>259</v>
      </c>
      <c r="K145" t="s">
        <v>142</v>
      </c>
      <c r="L145" t="s">
        <v>26</v>
      </c>
      <c r="M145" t="s">
        <v>155</v>
      </c>
      <c r="N145" t="s">
        <v>88</v>
      </c>
      <c r="O145" t="s">
        <v>89</v>
      </c>
      <c r="P145">
        <v>9</v>
      </c>
      <c r="Q145">
        <v>0</v>
      </c>
      <c r="R145" t="s">
        <v>71</v>
      </c>
      <c r="S145" t="s">
        <v>32</v>
      </c>
      <c r="T145" t="s">
        <v>147</v>
      </c>
    </row>
    <row r="146" spans="1:20" x14ac:dyDescent="0.3">
      <c r="A146" t="s">
        <v>140</v>
      </c>
      <c r="B146" t="s">
        <v>126</v>
      </c>
      <c r="C146" t="s">
        <v>385</v>
      </c>
      <c r="D146" t="s">
        <v>179</v>
      </c>
      <c r="E146">
        <v>111</v>
      </c>
      <c r="F146">
        <v>8</v>
      </c>
      <c r="G146" t="s">
        <v>113</v>
      </c>
      <c r="H146">
        <v>113</v>
      </c>
      <c r="I146">
        <v>1</v>
      </c>
      <c r="J146" t="s">
        <v>386</v>
      </c>
      <c r="K146" t="s">
        <v>179</v>
      </c>
      <c r="L146" t="s">
        <v>37</v>
      </c>
      <c r="M146" t="s">
        <v>189</v>
      </c>
      <c r="N146" t="s">
        <v>88</v>
      </c>
      <c r="O146" t="s">
        <v>89</v>
      </c>
      <c r="P146">
        <v>9</v>
      </c>
      <c r="Q146">
        <v>0</v>
      </c>
      <c r="R146" t="s">
        <v>71</v>
      </c>
      <c r="S146" t="s">
        <v>32</v>
      </c>
      <c r="T146" t="s">
        <v>44</v>
      </c>
    </row>
    <row r="147" spans="1:20" x14ac:dyDescent="0.3">
      <c r="A147" t="s">
        <v>140</v>
      </c>
      <c r="B147" t="s">
        <v>132</v>
      </c>
      <c r="C147" t="s">
        <v>387</v>
      </c>
      <c r="D147" t="s">
        <v>143</v>
      </c>
      <c r="E147">
        <v>164</v>
      </c>
      <c r="F147">
        <v>5</v>
      </c>
      <c r="G147" t="s">
        <v>174</v>
      </c>
      <c r="H147">
        <v>168</v>
      </c>
      <c r="I147">
        <v>6</v>
      </c>
      <c r="J147" t="s">
        <v>183</v>
      </c>
      <c r="K147" t="s">
        <v>174</v>
      </c>
      <c r="L147" t="s">
        <v>26</v>
      </c>
      <c r="M147" t="s">
        <v>184</v>
      </c>
      <c r="N147" t="s">
        <v>88</v>
      </c>
      <c r="O147" t="s">
        <v>89</v>
      </c>
      <c r="P147">
        <v>0</v>
      </c>
      <c r="Q147">
        <v>0</v>
      </c>
      <c r="R147" t="s">
        <v>388</v>
      </c>
      <c r="S147" t="s">
        <v>32</v>
      </c>
      <c r="T147" t="s">
        <v>44</v>
      </c>
    </row>
    <row r="148" spans="1:20" x14ac:dyDescent="0.3">
      <c r="A148" t="s">
        <v>140</v>
      </c>
      <c r="B148" t="s">
        <v>138</v>
      </c>
      <c r="C148" t="s">
        <v>387</v>
      </c>
      <c r="D148" t="s">
        <v>142</v>
      </c>
      <c r="E148">
        <v>170</v>
      </c>
      <c r="F148">
        <v>7</v>
      </c>
      <c r="G148" t="s">
        <v>179</v>
      </c>
      <c r="H148">
        <v>137</v>
      </c>
      <c r="I148">
        <v>10</v>
      </c>
      <c r="J148" t="s">
        <v>389</v>
      </c>
      <c r="K148" t="s">
        <v>179</v>
      </c>
      <c r="L148" t="s">
        <v>26</v>
      </c>
      <c r="M148" t="s">
        <v>155</v>
      </c>
      <c r="N148" t="s">
        <v>88</v>
      </c>
      <c r="O148" t="s">
        <v>89</v>
      </c>
      <c r="P148">
        <v>0</v>
      </c>
      <c r="Q148">
        <v>33</v>
      </c>
      <c r="R148" t="s">
        <v>131</v>
      </c>
      <c r="S148" t="s">
        <v>147</v>
      </c>
      <c r="T148" t="s">
        <v>44</v>
      </c>
    </row>
    <row r="149" spans="1:20" x14ac:dyDescent="0.3">
      <c r="A149" t="s">
        <v>140</v>
      </c>
      <c r="B149" t="s">
        <v>148</v>
      </c>
      <c r="C149" t="s">
        <v>390</v>
      </c>
      <c r="D149" t="s">
        <v>160</v>
      </c>
      <c r="E149">
        <v>166</v>
      </c>
      <c r="F149">
        <v>6</v>
      </c>
      <c r="G149" t="s">
        <v>174</v>
      </c>
      <c r="H149">
        <v>132</v>
      </c>
      <c r="I149">
        <v>10</v>
      </c>
      <c r="J149" t="s">
        <v>200</v>
      </c>
      <c r="K149" t="s">
        <v>160</v>
      </c>
      <c r="L149" t="s">
        <v>37</v>
      </c>
      <c r="M149" t="s">
        <v>193</v>
      </c>
      <c r="N149" t="s">
        <v>28</v>
      </c>
      <c r="O149" t="s">
        <v>29</v>
      </c>
      <c r="P149">
        <v>0</v>
      </c>
      <c r="Q149">
        <v>34</v>
      </c>
      <c r="R149" t="s">
        <v>303</v>
      </c>
      <c r="S149" t="s">
        <v>50</v>
      </c>
      <c r="T149" t="s">
        <v>225</v>
      </c>
    </row>
    <row r="150" spans="1:20" x14ac:dyDescent="0.3">
      <c r="A150" t="s">
        <v>140</v>
      </c>
      <c r="B150" t="s">
        <v>156</v>
      </c>
      <c r="C150" t="s">
        <v>390</v>
      </c>
      <c r="D150" t="s">
        <v>113</v>
      </c>
      <c r="E150">
        <v>82</v>
      </c>
      <c r="F150">
        <v>10</v>
      </c>
      <c r="G150" t="s">
        <v>143</v>
      </c>
      <c r="H150">
        <v>84</v>
      </c>
      <c r="I150">
        <v>1</v>
      </c>
      <c r="J150" t="s">
        <v>134</v>
      </c>
      <c r="K150" t="s">
        <v>143</v>
      </c>
      <c r="L150" t="s">
        <v>26</v>
      </c>
      <c r="M150" t="s">
        <v>145</v>
      </c>
      <c r="N150" t="s">
        <v>28</v>
      </c>
      <c r="O150" t="s">
        <v>29</v>
      </c>
      <c r="P150">
        <v>9</v>
      </c>
      <c r="Q150">
        <v>0</v>
      </c>
      <c r="R150" t="s">
        <v>71</v>
      </c>
      <c r="S150" t="s">
        <v>50</v>
      </c>
      <c r="T150" t="s">
        <v>66</v>
      </c>
    </row>
    <row r="151" spans="1:20" x14ac:dyDescent="0.3">
      <c r="A151" t="s">
        <v>140</v>
      </c>
      <c r="B151" t="s">
        <v>163</v>
      </c>
      <c r="C151" t="s">
        <v>391</v>
      </c>
      <c r="D151" t="s">
        <v>179</v>
      </c>
      <c r="E151">
        <v>92</v>
      </c>
      <c r="F151">
        <v>10</v>
      </c>
      <c r="G151" t="s">
        <v>160</v>
      </c>
      <c r="H151">
        <v>96</v>
      </c>
      <c r="I151">
        <v>4</v>
      </c>
      <c r="J151" t="s">
        <v>392</v>
      </c>
      <c r="K151" t="s">
        <v>179</v>
      </c>
      <c r="L151" t="s">
        <v>37</v>
      </c>
      <c r="M151" t="s">
        <v>193</v>
      </c>
      <c r="N151" t="s">
        <v>28</v>
      </c>
      <c r="O151" t="s">
        <v>29</v>
      </c>
      <c r="P151">
        <v>6</v>
      </c>
      <c r="Q151">
        <v>0</v>
      </c>
      <c r="R151" t="s">
        <v>151</v>
      </c>
      <c r="S151" t="s">
        <v>147</v>
      </c>
      <c r="T151" t="s">
        <v>44</v>
      </c>
    </row>
    <row r="152" spans="1:20" x14ac:dyDescent="0.3">
      <c r="A152" t="s">
        <v>140</v>
      </c>
      <c r="B152" t="s">
        <v>168</v>
      </c>
      <c r="C152" t="s">
        <v>391</v>
      </c>
      <c r="D152" t="s">
        <v>113</v>
      </c>
      <c r="E152">
        <v>109</v>
      </c>
      <c r="F152">
        <v>9</v>
      </c>
      <c r="G152" t="s">
        <v>174</v>
      </c>
      <c r="H152">
        <v>103</v>
      </c>
      <c r="I152">
        <v>10</v>
      </c>
      <c r="J152" t="s">
        <v>108</v>
      </c>
      <c r="K152" t="s">
        <v>113</v>
      </c>
      <c r="L152" t="s">
        <v>37</v>
      </c>
      <c r="M152" t="s">
        <v>189</v>
      </c>
      <c r="N152" t="s">
        <v>28</v>
      </c>
      <c r="O152" t="s">
        <v>29</v>
      </c>
      <c r="P152">
        <v>0</v>
      </c>
      <c r="Q152">
        <v>6</v>
      </c>
      <c r="R152" t="s">
        <v>315</v>
      </c>
      <c r="S152" t="s">
        <v>44</v>
      </c>
      <c r="T152" t="s">
        <v>225</v>
      </c>
    </row>
    <row r="153" spans="1:20" x14ac:dyDescent="0.3">
      <c r="A153" t="s">
        <v>140</v>
      </c>
      <c r="B153" t="s">
        <v>170</v>
      </c>
      <c r="C153" t="s">
        <v>393</v>
      </c>
      <c r="D153" t="s">
        <v>142</v>
      </c>
      <c r="E153">
        <v>89</v>
      </c>
      <c r="F153">
        <v>10</v>
      </c>
      <c r="G153" t="s">
        <v>143</v>
      </c>
      <c r="H153">
        <v>90</v>
      </c>
      <c r="I153">
        <v>2</v>
      </c>
      <c r="J153" t="s">
        <v>394</v>
      </c>
      <c r="K153" t="s">
        <v>142</v>
      </c>
      <c r="L153" t="s">
        <v>37</v>
      </c>
      <c r="M153" t="s">
        <v>145</v>
      </c>
      <c r="N153" t="s">
        <v>28</v>
      </c>
      <c r="O153" t="s">
        <v>29</v>
      </c>
      <c r="P153">
        <v>8</v>
      </c>
      <c r="Q153">
        <v>0</v>
      </c>
      <c r="R153" t="s">
        <v>30</v>
      </c>
      <c r="S153" t="s">
        <v>66</v>
      </c>
      <c r="T153" t="s">
        <v>225</v>
      </c>
    </row>
    <row r="154" spans="1:20" x14ac:dyDescent="0.3">
      <c r="A154" t="s">
        <v>140</v>
      </c>
      <c r="B154" t="s">
        <v>176</v>
      </c>
      <c r="C154" t="s">
        <v>393</v>
      </c>
      <c r="D154" t="s">
        <v>113</v>
      </c>
      <c r="E154">
        <v>176</v>
      </c>
      <c r="F154">
        <v>6</v>
      </c>
      <c r="G154" t="s">
        <v>160</v>
      </c>
      <c r="H154">
        <v>107</v>
      </c>
      <c r="I154">
        <v>10</v>
      </c>
      <c r="J154" t="s">
        <v>108</v>
      </c>
      <c r="K154" t="s">
        <v>113</v>
      </c>
      <c r="L154" t="s">
        <v>37</v>
      </c>
      <c r="M154" t="s">
        <v>189</v>
      </c>
      <c r="N154" t="s">
        <v>28</v>
      </c>
      <c r="O154" t="s">
        <v>29</v>
      </c>
      <c r="P154">
        <v>0</v>
      </c>
      <c r="Q154">
        <v>69</v>
      </c>
      <c r="R154" t="s">
        <v>395</v>
      </c>
      <c r="S154" t="s">
        <v>32</v>
      </c>
      <c r="T154" t="s">
        <v>50</v>
      </c>
    </row>
    <row r="155" spans="1:20" x14ac:dyDescent="0.3">
      <c r="A155" t="s">
        <v>140</v>
      </c>
      <c r="B155" t="s">
        <v>180</v>
      </c>
      <c r="C155" t="s">
        <v>396</v>
      </c>
      <c r="D155" t="s">
        <v>142</v>
      </c>
      <c r="E155">
        <v>108</v>
      </c>
      <c r="F155">
        <v>10</v>
      </c>
      <c r="G155" t="s">
        <v>174</v>
      </c>
      <c r="H155">
        <v>107</v>
      </c>
      <c r="I155">
        <v>9</v>
      </c>
      <c r="J155" t="s">
        <v>161</v>
      </c>
      <c r="K155" t="s">
        <v>142</v>
      </c>
      <c r="L155" t="s">
        <v>37</v>
      </c>
      <c r="M155" t="s">
        <v>155</v>
      </c>
      <c r="N155" t="s">
        <v>28</v>
      </c>
      <c r="O155" t="s">
        <v>29</v>
      </c>
      <c r="P155">
        <v>0</v>
      </c>
      <c r="Q155">
        <v>0</v>
      </c>
      <c r="R155" t="s">
        <v>269</v>
      </c>
      <c r="S155" t="s">
        <v>72</v>
      </c>
      <c r="T155" t="s">
        <v>66</v>
      </c>
    </row>
    <row r="156" spans="1:20" x14ac:dyDescent="0.3">
      <c r="A156" t="s">
        <v>140</v>
      </c>
      <c r="B156" t="s">
        <v>186</v>
      </c>
      <c r="C156" t="s">
        <v>396</v>
      </c>
      <c r="D156" t="s">
        <v>179</v>
      </c>
      <c r="E156">
        <v>176</v>
      </c>
      <c r="F156">
        <v>4</v>
      </c>
      <c r="G156" t="s">
        <v>143</v>
      </c>
      <c r="H156">
        <v>177</v>
      </c>
      <c r="I156">
        <v>3</v>
      </c>
      <c r="J156" t="s">
        <v>397</v>
      </c>
      <c r="K156" t="s">
        <v>143</v>
      </c>
      <c r="L156" t="s">
        <v>26</v>
      </c>
      <c r="M156" t="s">
        <v>145</v>
      </c>
      <c r="N156" t="s">
        <v>28</v>
      </c>
      <c r="O156" t="s">
        <v>29</v>
      </c>
      <c r="P156">
        <v>7</v>
      </c>
      <c r="Q156">
        <v>0</v>
      </c>
      <c r="R156" t="s">
        <v>118</v>
      </c>
      <c r="S156" t="s">
        <v>72</v>
      </c>
      <c r="T156" t="s">
        <v>147</v>
      </c>
    </row>
    <row r="157" spans="1:20" x14ac:dyDescent="0.3">
      <c r="A157" t="s">
        <v>140</v>
      </c>
      <c r="B157" t="s">
        <v>190</v>
      </c>
      <c r="C157" t="s">
        <v>398</v>
      </c>
      <c r="D157" t="s">
        <v>142</v>
      </c>
      <c r="E157">
        <v>155</v>
      </c>
      <c r="F157">
        <v>9</v>
      </c>
      <c r="G157" t="s">
        <v>113</v>
      </c>
      <c r="H157">
        <v>142</v>
      </c>
      <c r="I157">
        <v>10</v>
      </c>
      <c r="J157" t="s">
        <v>389</v>
      </c>
      <c r="K157" t="s">
        <v>113</v>
      </c>
      <c r="L157" t="s">
        <v>26</v>
      </c>
      <c r="M157" t="s">
        <v>155</v>
      </c>
      <c r="N157" t="s">
        <v>28</v>
      </c>
      <c r="O157" t="s">
        <v>29</v>
      </c>
      <c r="P157">
        <v>0</v>
      </c>
      <c r="Q157">
        <v>13</v>
      </c>
      <c r="R157" t="s">
        <v>81</v>
      </c>
      <c r="S157" t="s">
        <v>32</v>
      </c>
      <c r="T157" t="s">
        <v>66</v>
      </c>
    </row>
    <row r="158" spans="1:20" x14ac:dyDescent="0.3">
      <c r="A158" t="s">
        <v>140</v>
      </c>
      <c r="B158" t="s">
        <v>195</v>
      </c>
      <c r="C158" t="s">
        <v>398</v>
      </c>
      <c r="D158" t="s">
        <v>179</v>
      </c>
      <c r="E158">
        <v>180</v>
      </c>
      <c r="F158">
        <v>5</v>
      </c>
      <c r="G158" t="s">
        <v>174</v>
      </c>
      <c r="H158">
        <v>179</v>
      </c>
      <c r="I158">
        <v>6</v>
      </c>
      <c r="J158" t="s">
        <v>399</v>
      </c>
      <c r="K158" t="s">
        <v>174</v>
      </c>
      <c r="L158" t="s">
        <v>26</v>
      </c>
      <c r="M158" t="s">
        <v>245</v>
      </c>
      <c r="N158" t="s">
        <v>28</v>
      </c>
      <c r="O158" t="s">
        <v>29</v>
      </c>
      <c r="P158">
        <v>0</v>
      </c>
      <c r="Q158">
        <v>0</v>
      </c>
      <c r="R158" t="s">
        <v>269</v>
      </c>
      <c r="S158" t="s">
        <v>66</v>
      </c>
      <c r="T158" t="s">
        <v>44</v>
      </c>
    </row>
    <row r="159" spans="1:20" x14ac:dyDescent="0.3">
      <c r="A159" t="s">
        <v>140</v>
      </c>
      <c r="B159" t="s">
        <v>33</v>
      </c>
      <c r="C159" t="s">
        <v>400</v>
      </c>
      <c r="D159" t="s">
        <v>143</v>
      </c>
      <c r="E159">
        <v>110</v>
      </c>
      <c r="F159">
        <v>8</v>
      </c>
      <c r="G159" t="s">
        <v>160</v>
      </c>
      <c r="H159">
        <v>112</v>
      </c>
      <c r="I159">
        <v>4</v>
      </c>
      <c r="J159" t="s">
        <v>401</v>
      </c>
      <c r="K159" t="s">
        <v>143</v>
      </c>
      <c r="L159" t="s">
        <v>37</v>
      </c>
      <c r="M159" t="s">
        <v>193</v>
      </c>
      <c r="N159" t="s">
        <v>28</v>
      </c>
      <c r="O159" t="s">
        <v>29</v>
      </c>
      <c r="P159">
        <v>6</v>
      </c>
      <c r="Q159">
        <v>0</v>
      </c>
      <c r="R159" t="s">
        <v>151</v>
      </c>
      <c r="S159" t="s">
        <v>32</v>
      </c>
      <c r="T159" t="s">
        <v>147</v>
      </c>
    </row>
    <row r="160" spans="1:20" x14ac:dyDescent="0.3">
      <c r="A160" t="s">
        <v>140</v>
      </c>
      <c r="B160" t="s">
        <v>40</v>
      </c>
      <c r="C160" t="s">
        <v>400</v>
      </c>
      <c r="D160" t="s">
        <v>179</v>
      </c>
      <c r="E160">
        <v>187</v>
      </c>
      <c r="F160">
        <v>7</v>
      </c>
      <c r="G160" t="s">
        <v>113</v>
      </c>
      <c r="H160">
        <v>188</v>
      </c>
      <c r="I160">
        <v>8</v>
      </c>
      <c r="J160" t="s">
        <v>402</v>
      </c>
      <c r="K160" t="s">
        <v>179</v>
      </c>
      <c r="L160" t="s">
        <v>37</v>
      </c>
      <c r="M160" t="s">
        <v>189</v>
      </c>
      <c r="N160" t="s">
        <v>28</v>
      </c>
      <c r="O160" t="s">
        <v>29</v>
      </c>
      <c r="P160">
        <v>2</v>
      </c>
      <c r="Q160">
        <v>0</v>
      </c>
      <c r="R160" t="s">
        <v>281</v>
      </c>
      <c r="S160" t="s">
        <v>32</v>
      </c>
      <c r="T160" t="s">
        <v>44</v>
      </c>
    </row>
    <row r="161" spans="1:20" x14ac:dyDescent="0.3">
      <c r="A161" t="s">
        <v>197</v>
      </c>
      <c r="B161" t="s">
        <v>321</v>
      </c>
      <c r="C161" t="s">
        <v>403</v>
      </c>
      <c r="D161" t="s">
        <v>142</v>
      </c>
      <c r="E161">
        <v>161</v>
      </c>
      <c r="F161">
        <v>4</v>
      </c>
      <c r="G161" t="s">
        <v>199</v>
      </c>
      <c r="H161">
        <v>144</v>
      </c>
      <c r="I161">
        <v>7</v>
      </c>
      <c r="J161" t="s">
        <v>288</v>
      </c>
      <c r="K161" t="s">
        <v>199</v>
      </c>
      <c r="L161" t="s">
        <v>26</v>
      </c>
      <c r="M161" t="s">
        <v>155</v>
      </c>
      <c r="N161" t="s">
        <v>28</v>
      </c>
      <c r="O161" t="s">
        <v>29</v>
      </c>
      <c r="P161">
        <v>0</v>
      </c>
      <c r="Q161">
        <v>17</v>
      </c>
      <c r="R161" t="s">
        <v>254</v>
      </c>
      <c r="S161" t="s">
        <v>50</v>
      </c>
      <c r="T161" t="s">
        <v>147</v>
      </c>
    </row>
    <row r="162" spans="1:20" x14ac:dyDescent="0.3">
      <c r="A162" t="s">
        <v>197</v>
      </c>
      <c r="B162" t="s">
        <v>324</v>
      </c>
      <c r="C162" t="s">
        <v>404</v>
      </c>
      <c r="D162" t="s">
        <v>199</v>
      </c>
      <c r="E162">
        <v>124</v>
      </c>
      <c r="F162">
        <v>7</v>
      </c>
      <c r="G162" t="s">
        <v>143</v>
      </c>
      <c r="H162">
        <v>125</v>
      </c>
      <c r="I162">
        <v>2</v>
      </c>
      <c r="J162" t="s">
        <v>268</v>
      </c>
      <c r="K162" t="s">
        <v>199</v>
      </c>
      <c r="L162" t="s">
        <v>37</v>
      </c>
      <c r="M162" t="s">
        <v>145</v>
      </c>
      <c r="N162" t="s">
        <v>28</v>
      </c>
      <c r="O162" t="s">
        <v>29</v>
      </c>
      <c r="P162">
        <v>8</v>
      </c>
      <c r="Q162">
        <v>0</v>
      </c>
      <c r="R162" t="s">
        <v>30</v>
      </c>
      <c r="S162" t="s">
        <v>66</v>
      </c>
      <c r="T162" t="s">
        <v>405</v>
      </c>
    </row>
    <row r="163" spans="1:20" x14ac:dyDescent="0.3">
      <c r="A163" t="s">
        <v>197</v>
      </c>
      <c r="B163" t="s">
        <v>326</v>
      </c>
      <c r="C163" t="s">
        <v>404</v>
      </c>
      <c r="D163" t="s">
        <v>160</v>
      </c>
      <c r="E163">
        <v>188</v>
      </c>
      <c r="F163">
        <v>7</v>
      </c>
      <c r="G163" t="s">
        <v>113</v>
      </c>
      <c r="H163">
        <v>146</v>
      </c>
      <c r="I163">
        <v>8</v>
      </c>
      <c r="J163" t="s">
        <v>259</v>
      </c>
      <c r="K163" t="s">
        <v>160</v>
      </c>
      <c r="L163" t="s">
        <v>37</v>
      </c>
      <c r="M163" t="s">
        <v>193</v>
      </c>
      <c r="N163" t="s">
        <v>28</v>
      </c>
      <c r="O163" t="s">
        <v>29</v>
      </c>
      <c r="P163">
        <v>0</v>
      </c>
      <c r="Q163">
        <v>42</v>
      </c>
      <c r="R163" t="s">
        <v>406</v>
      </c>
      <c r="S163" t="s">
        <v>202</v>
      </c>
      <c r="T163" t="s">
        <v>39</v>
      </c>
    </row>
    <row r="164" spans="1:20" x14ac:dyDescent="0.3">
      <c r="A164" t="s">
        <v>197</v>
      </c>
      <c r="B164" t="s">
        <v>328</v>
      </c>
      <c r="C164" t="s">
        <v>407</v>
      </c>
      <c r="D164" t="s">
        <v>206</v>
      </c>
      <c r="E164">
        <v>131</v>
      </c>
      <c r="F164">
        <v>8</v>
      </c>
      <c r="G164" t="s">
        <v>179</v>
      </c>
      <c r="H164">
        <v>135</v>
      </c>
      <c r="I164">
        <v>5</v>
      </c>
      <c r="J164" t="s">
        <v>253</v>
      </c>
      <c r="K164" t="s">
        <v>206</v>
      </c>
      <c r="L164" t="s">
        <v>37</v>
      </c>
      <c r="M164" t="s">
        <v>245</v>
      </c>
      <c r="N164" t="s">
        <v>28</v>
      </c>
      <c r="O164" t="s">
        <v>29</v>
      </c>
      <c r="P164">
        <v>5</v>
      </c>
      <c r="Q164">
        <v>0</v>
      </c>
      <c r="R164" t="s">
        <v>55</v>
      </c>
      <c r="S164" t="s">
        <v>56</v>
      </c>
      <c r="T164" t="s">
        <v>147</v>
      </c>
    </row>
    <row r="165" spans="1:20" x14ac:dyDescent="0.3">
      <c r="A165" t="s">
        <v>197</v>
      </c>
      <c r="B165" t="s">
        <v>330</v>
      </c>
      <c r="C165" t="s">
        <v>407</v>
      </c>
      <c r="D165" t="s">
        <v>142</v>
      </c>
      <c r="E165">
        <v>142</v>
      </c>
      <c r="F165">
        <v>8</v>
      </c>
      <c r="G165" t="s">
        <v>143</v>
      </c>
      <c r="H165">
        <v>145</v>
      </c>
      <c r="I165">
        <v>2</v>
      </c>
      <c r="J165" t="s">
        <v>408</v>
      </c>
      <c r="K165" t="s">
        <v>142</v>
      </c>
      <c r="L165" t="s">
        <v>37</v>
      </c>
      <c r="M165" t="s">
        <v>145</v>
      </c>
      <c r="N165" t="s">
        <v>28</v>
      </c>
      <c r="O165" t="s">
        <v>29</v>
      </c>
      <c r="P165">
        <v>8</v>
      </c>
      <c r="Q165">
        <v>0</v>
      </c>
      <c r="R165" t="s">
        <v>30</v>
      </c>
      <c r="S165" t="s">
        <v>202</v>
      </c>
      <c r="T165" t="s">
        <v>50</v>
      </c>
    </row>
    <row r="166" spans="1:20" x14ac:dyDescent="0.3">
      <c r="A166" t="s">
        <v>197</v>
      </c>
      <c r="B166" t="s">
        <v>334</v>
      </c>
      <c r="C166" t="s">
        <v>409</v>
      </c>
      <c r="D166" t="s">
        <v>199</v>
      </c>
      <c r="E166">
        <v>128</v>
      </c>
      <c r="F166">
        <v>7</v>
      </c>
      <c r="G166" t="s">
        <v>113</v>
      </c>
      <c r="H166">
        <v>79</v>
      </c>
      <c r="I166">
        <v>10</v>
      </c>
      <c r="J166" t="s">
        <v>410</v>
      </c>
      <c r="K166" t="s">
        <v>199</v>
      </c>
      <c r="L166" t="s">
        <v>37</v>
      </c>
      <c r="M166" t="s">
        <v>208</v>
      </c>
      <c r="N166" t="s">
        <v>28</v>
      </c>
      <c r="O166" t="s">
        <v>29</v>
      </c>
      <c r="P166">
        <v>0</v>
      </c>
      <c r="Q166">
        <v>49</v>
      </c>
      <c r="R166" t="s">
        <v>411</v>
      </c>
      <c r="S166" t="s">
        <v>56</v>
      </c>
      <c r="T166" t="s">
        <v>405</v>
      </c>
    </row>
    <row r="167" spans="1:20" x14ac:dyDescent="0.3">
      <c r="A167" t="s">
        <v>197</v>
      </c>
      <c r="B167" t="s">
        <v>336</v>
      </c>
      <c r="C167" t="s">
        <v>412</v>
      </c>
      <c r="D167" t="s">
        <v>113</v>
      </c>
      <c r="E167">
        <v>124</v>
      </c>
      <c r="F167">
        <v>6</v>
      </c>
      <c r="G167" t="s">
        <v>179</v>
      </c>
      <c r="H167">
        <v>128</v>
      </c>
      <c r="I167">
        <v>1</v>
      </c>
      <c r="J167" t="s">
        <v>253</v>
      </c>
      <c r="K167" t="s">
        <v>113</v>
      </c>
      <c r="L167" t="s">
        <v>37</v>
      </c>
      <c r="M167" t="s">
        <v>245</v>
      </c>
      <c r="N167" t="s">
        <v>28</v>
      </c>
      <c r="O167" t="s">
        <v>29</v>
      </c>
      <c r="P167">
        <v>9</v>
      </c>
      <c r="Q167">
        <v>0</v>
      </c>
      <c r="R167" t="s">
        <v>71</v>
      </c>
      <c r="S167" t="s">
        <v>39</v>
      </c>
      <c r="T167" t="s">
        <v>147</v>
      </c>
    </row>
    <row r="168" spans="1:20" x14ac:dyDescent="0.3">
      <c r="A168" t="s">
        <v>197</v>
      </c>
      <c r="B168" t="s">
        <v>45</v>
      </c>
      <c r="C168" t="s">
        <v>412</v>
      </c>
      <c r="D168" t="s">
        <v>142</v>
      </c>
      <c r="E168">
        <v>132</v>
      </c>
      <c r="F168">
        <v>6</v>
      </c>
      <c r="G168" t="s">
        <v>160</v>
      </c>
      <c r="H168">
        <v>135</v>
      </c>
      <c r="I168">
        <v>6</v>
      </c>
      <c r="J168" t="s">
        <v>108</v>
      </c>
      <c r="K168" t="s">
        <v>142</v>
      </c>
      <c r="L168" t="s">
        <v>37</v>
      </c>
      <c r="M168" t="s">
        <v>193</v>
      </c>
      <c r="N168" t="s">
        <v>28</v>
      </c>
      <c r="O168" t="s">
        <v>29</v>
      </c>
      <c r="P168">
        <v>4</v>
      </c>
      <c r="Q168">
        <v>0</v>
      </c>
      <c r="R168" t="s">
        <v>90</v>
      </c>
      <c r="S168" t="s">
        <v>202</v>
      </c>
      <c r="T168" t="s">
        <v>66</v>
      </c>
    </row>
    <row r="169" spans="1:20" x14ac:dyDescent="0.3">
      <c r="A169" t="s">
        <v>197</v>
      </c>
      <c r="B169" t="s">
        <v>51</v>
      </c>
      <c r="C169" t="s">
        <v>413</v>
      </c>
      <c r="D169" t="s">
        <v>199</v>
      </c>
      <c r="E169">
        <v>154</v>
      </c>
      <c r="F169">
        <v>8</v>
      </c>
      <c r="G169" t="s">
        <v>206</v>
      </c>
      <c r="H169">
        <v>145</v>
      </c>
      <c r="I169">
        <v>6</v>
      </c>
      <c r="J169" t="s">
        <v>213</v>
      </c>
      <c r="K169" t="s">
        <v>199</v>
      </c>
      <c r="L169" t="s">
        <v>37</v>
      </c>
      <c r="M169" t="s">
        <v>208</v>
      </c>
      <c r="N169" t="s">
        <v>28</v>
      </c>
      <c r="O169" t="s">
        <v>29</v>
      </c>
      <c r="P169">
        <v>0</v>
      </c>
      <c r="Q169">
        <v>9</v>
      </c>
      <c r="R169" t="s">
        <v>38</v>
      </c>
      <c r="S169" t="s">
        <v>50</v>
      </c>
      <c r="T169" t="s">
        <v>405</v>
      </c>
    </row>
    <row r="170" spans="1:20" x14ac:dyDescent="0.3">
      <c r="A170" t="s">
        <v>197</v>
      </c>
      <c r="B170" t="s">
        <v>58</v>
      </c>
      <c r="C170" t="s">
        <v>413</v>
      </c>
      <c r="D170" t="s">
        <v>160</v>
      </c>
      <c r="E170">
        <v>170</v>
      </c>
      <c r="F170">
        <v>4</v>
      </c>
      <c r="G170" t="s">
        <v>143</v>
      </c>
      <c r="H170">
        <v>138</v>
      </c>
      <c r="I170">
        <v>8</v>
      </c>
      <c r="J170" t="s">
        <v>108</v>
      </c>
      <c r="K170" t="s">
        <v>160</v>
      </c>
      <c r="L170" t="s">
        <v>37</v>
      </c>
      <c r="M170" t="s">
        <v>193</v>
      </c>
      <c r="N170" t="s">
        <v>28</v>
      </c>
      <c r="O170" t="s">
        <v>29</v>
      </c>
      <c r="P170">
        <v>0</v>
      </c>
      <c r="Q170">
        <v>32</v>
      </c>
      <c r="R170" t="s">
        <v>414</v>
      </c>
      <c r="S170" t="s">
        <v>202</v>
      </c>
      <c r="T170" t="s">
        <v>39</v>
      </c>
    </row>
    <row r="171" spans="1:20" x14ac:dyDescent="0.3">
      <c r="A171" t="s">
        <v>197</v>
      </c>
      <c r="B171" t="s">
        <v>60</v>
      </c>
      <c r="C171" t="s">
        <v>415</v>
      </c>
      <c r="D171" t="s">
        <v>142</v>
      </c>
      <c r="E171">
        <v>119</v>
      </c>
      <c r="F171">
        <v>5</v>
      </c>
      <c r="G171" t="s">
        <v>206</v>
      </c>
      <c r="H171">
        <v>120</v>
      </c>
      <c r="I171">
        <v>4</v>
      </c>
      <c r="J171" t="s">
        <v>416</v>
      </c>
      <c r="K171" t="s">
        <v>142</v>
      </c>
      <c r="L171" t="s">
        <v>37</v>
      </c>
      <c r="M171" t="s">
        <v>215</v>
      </c>
      <c r="N171" t="s">
        <v>28</v>
      </c>
      <c r="O171" t="s">
        <v>29</v>
      </c>
      <c r="P171">
        <v>6</v>
      </c>
      <c r="Q171">
        <v>0</v>
      </c>
      <c r="R171" t="s">
        <v>151</v>
      </c>
      <c r="S171" t="s">
        <v>72</v>
      </c>
      <c r="T171" t="s">
        <v>202</v>
      </c>
    </row>
    <row r="172" spans="1:20" x14ac:dyDescent="0.3">
      <c r="A172" t="s">
        <v>197</v>
      </c>
      <c r="B172" t="s">
        <v>67</v>
      </c>
      <c r="C172" t="s">
        <v>415</v>
      </c>
      <c r="D172" t="s">
        <v>199</v>
      </c>
      <c r="E172">
        <v>162</v>
      </c>
      <c r="F172">
        <v>5</v>
      </c>
      <c r="G172" t="s">
        <v>113</v>
      </c>
      <c r="H172">
        <v>150</v>
      </c>
      <c r="I172">
        <v>5</v>
      </c>
      <c r="J172" t="s">
        <v>213</v>
      </c>
      <c r="K172" t="s">
        <v>113</v>
      </c>
      <c r="L172" t="s">
        <v>26</v>
      </c>
      <c r="M172" t="s">
        <v>208</v>
      </c>
      <c r="N172" t="s">
        <v>28</v>
      </c>
      <c r="O172" t="s">
        <v>29</v>
      </c>
      <c r="P172">
        <v>0</v>
      </c>
      <c r="Q172">
        <v>12</v>
      </c>
      <c r="R172" t="s">
        <v>417</v>
      </c>
      <c r="S172" t="s">
        <v>147</v>
      </c>
      <c r="T172" t="s">
        <v>44</v>
      </c>
    </row>
    <row r="173" spans="1:20" x14ac:dyDescent="0.3">
      <c r="A173" t="s">
        <v>197</v>
      </c>
      <c r="B173" t="s">
        <v>68</v>
      </c>
      <c r="C173" t="s">
        <v>418</v>
      </c>
      <c r="D173" t="s">
        <v>179</v>
      </c>
      <c r="E173">
        <v>185</v>
      </c>
      <c r="F173">
        <v>5</v>
      </c>
      <c r="G173" t="s">
        <v>142</v>
      </c>
      <c r="H173">
        <v>107</v>
      </c>
      <c r="I173">
        <v>10</v>
      </c>
      <c r="J173" t="s">
        <v>381</v>
      </c>
      <c r="K173" t="s">
        <v>179</v>
      </c>
      <c r="L173" t="s">
        <v>37</v>
      </c>
      <c r="M173" t="s">
        <v>245</v>
      </c>
      <c r="N173" t="s">
        <v>88</v>
      </c>
      <c r="O173" t="s">
        <v>89</v>
      </c>
      <c r="P173">
        <v>0</v>
      </c>
      <c r="Q173">
        <v>78</v>
      </c>
      <c r="R173" t="s">
        <v>419</v>
      </c>
      <c r="S173" t="s">
        <v>56</v>
      </c>
      <c r="T173" t="s">
        <v>147</v>
      </c>
    </row>
    <row r="174" spans="1:20" x14ac:dyDescent="0.3">
      <c r="A174" t="s">
        <v>197</v>
      </c>
      <c r="B174" t="s">
        <v>78</v>
      </c>
      <c r="C174" t="s">
        <v>418</v>
      </c>
      <c r="D174" t="s">
        <v>206</v>
      </c>
      <c r="E174">
        <v>125</v>
      </c>
      <c r="F174">
        <v>7</v>
      </c>
      <c r="G174" t="s">
        <v>113</v>
      </c>
      <c r="H174">
        <v>129</v>
      </c>
      <c r="I174">
        <v>3</v>
      </c>
      <c r="J174" t="s">
        <v>235</v>
      </c>
      <c r="K174" t="s">
        <v>206</v>
      </c>
      <c r="L174" t="s">
        <v>37</v>
      </c>
      <c r="M174" t="s">
        <v>189</v>
      </c>
      <c r="N174" t="s">
        <v>88</v>
      </c>
      <c r="O174" t="s">
        <v>89</v>
      </c>
      <c r="P174">
        <v>7</v>
      </c>
      <c r="Q174">
        <v>0</v>
      </c>
      <c r="R174" t="s">
        <v>118</v>
      </c>
      <c r="S174" t="s">
        <v>202</v>
      </c>
      <c r="T174" t="s">
        <v>216</v>
      </c>
    </row>
    <row r="175" spans="1:20" x14ac:dyDescent="0.3">
      <c r="A175" t="s">
        <v>197</v>
      </c>
      <c r="B175" t="s">
        <v>85</v>
      </c>
      <c r="C175" t="s">
        <v>420</v>
      </c>
      <c r="D175" t="s">
        <v>143</v>
      </c>
      <c r="E175">
        <v>183</v>
      </c>
      <c r="F175">
        <v>3</v>
      </c>
      <c r="G175" t="s">
        <v>179</v>
      </c>
      <c r="H175">
        <v>186</v>
      </c>
      <c r="I175">
        <v>4</v>
      </c>
      <c r="J175" t="s">
        <v>356</v>
      </c>
      <c r="K175" t="s">
        <v>143</v>
      </c>
      <c r="L175" t="s">
        <v>37</v>
      </c>
      <c r="M175" t="s">
        <v>245</v>
      </c>
      <c r="N175" t="s">
        <v>88</v>
      </c>
      <c r="O175" t="s">
        <v>89</v>
      </c>
      <c r="P175">
        <v>6</v>
      </c>
      <c r="Q175">
        <v>0</v>
      </c>
      <c r="R175" t="s">
        <v>151</v>
      </c>
      <c r="S175" t="s">
        <v>421</v>
      </c>
      <c r="T175" t="s">
        <v>422</v>
      </c>
    </row>
    <row r="176" spans="1:20" x14ac:dyDescent="0.3">
      <c r="A176" t="s">
        <v>197</v>
      </c>
      <c r="B176" t="s">
        <v>91</v>
      </c>
      <c r="C176" t="s">
        <v>420</v>
      </c>
      <c r="D176" t="s">
        <v>160</v>
      </c>
      <c r="E176">
        <v>182</v>
      </c>
      <c r="F176">
        <v>4</v>
      </c>
      <c r="G176" t="s">
        <v>199</v>
      </c>
      <c r="H176">
        <v>184</v>
      </c>
      <c r="I176">
        <v>7</v>
      </c>
      <c r="J176" t="s">
        <v>207</v>
      </c>
      <c r="K176" t="s">
        <v>160</v>
      </c>
      <c r="L176" t="s">
        <v>37</v>
      </c>
      <c r="M176" t="s">
        <v>208</v>
      </c>
      <c r="N176" t="s">
        <v>88</v>
      </c>
      <c r="O176" t="s">
        <v>89</v>
      </c>
      <c r="P176">
        <v>3</v>
      </c>
      <c r="Q176">
        <v>0</v>
      </c>
      <c r="R176" t="s">
        <v>49</v>
      </c>
      <c r="S176" t="s">
        <v>39</v>
      </c>
      <c r="T176" t="s">
        <v>147</v>
      </c>
    </row>
    <row r="177" spans="1:20" x14ac:dyDescent="0.3">
      <c r="A177" t="s">
        <v>197</v>
      </c>
      <c r="B177" t="s">
        <v>95</v>
      </c>
      <c r="C177" t="s">
        <v>423</v>
      </c>
      <c r="D177" t="s">
        <v>206</v>
      </c>
      <c r="E177">
        <v>151</v>
      </c>
      <c r="F177">
        <v>7</v>
      </c>
      <c r="G177" t="s">
        <v>142</v>
      </c>
      <c r="H177">
        <v>129</v>
      </c>
      <c r="I177">
        <v>10</v>
      </c>
      <c r="J177" t="s">
        <v>157</v>
      </c>
      <c r="K177" t="s">
        <v>142</v>
      </c>
      <c r="L177" t="s">
        <v>26</v>
      </c>
      <c r="M177" t="s">
        <v>215</v>
      </c>
      <c r="N177" t="s">
        <v>88</v>
      </c>
      <c r="O177" t="s">
        <v>89</v>
      </c>
      <c r="P177">
        <v>0</v>
      </c>
      <c r="Q177">
        <v>22</v>
      </c>
      <c r="R177" t="s">
        <v>192</v>
      </c>
      <c r="S177" t="s">
        <v>56</v>
      </c>
      <c r="T177" t="s">
        <v>147</v>
      </c>
    </row>
    <row r="178" spans="1:20" x14ac:dyDescent="0.3">
      <c r="A178" t="s">
        <v>197</v>
      </c>
      <c r="B178" t="s">
        <v>104</v>
      </c>
      <c r="C178" t="s">
        <v>424</v>
      </c>
      <c r="D178" t="s">
        <v>143</v>
      </c>
      <c r="E178">
        <v>152</v>
      </c>
      <c r="F178">
        <v>5</v>
      </c>
      <c r="G178" t="s">
        <v>199</v>
      </c>
      <c r="H178">
        <v>120</v>
      </c>
      <c r="I178">
        <v>10</v>
      </c>
      <c r="J178" t="s">
        <v>70</v>
      </c>
      <c r="K178" t="s">
        <v>199</v>
      </c>
      <c r="L178" t="s">
        <v>26</v>
      </c>
      <c r="M178" t="s">
        <v>145</v>
      </c>
      <c r="N178" t="s">
        <v>88</v>
      </c>
      <c r="O178" t="s">
        <v>89</v>
      </c>
      <c r="P178">
        <v>0</v>
      </c>
      <c r="Q178">
        <v>32</v>
      </c>
      <c r="R178" t="s">
        <v>414</v>
      </c>
      <c r="S178" t="s">
        <v>39</v>
      </c>
      <c r="T178" t="s">
        <v>147</v>
      </c>
    </row>
    <row r="179" spans="1:20" x14ac:dyDescent="0.3">
      <c r="A179" t="s">
        <v>197</v>
      </c>
      <c r="B179" t="s">
        <v>110</v>
      </c>
      <c r="C179" t="s">
        <v>424</v>
      </c>
      <c r="D179" t="s">
        <v>206</v>
      </c>
      <c r="E179">
        <v>157</v>
      </c>
      <c r="F179">
        <v>5</v>
      </c>
      <c r="G179" t="s">
        <v>160</v>
      </c>
      <c r="H179">
        <v>148</v>
      </c>
      <c r="I179">
        <v>10</v>
      </c>
      <c r="J179" t="s">
        <v>75</v>
      </c>
      <c r="K179" t="s">
        <v>206</v>
      </c>
      <c r="L179" t="s">
        <v>37</v>
      </c>
      <c r="M179" t="s">
        <v>215</v>
      </c>
      <c r="N179" t="s">
        <v>88</v>
      </c>
      <c r="O179" t="s">
        <v>89</v>
      </c>
      <c r="P179">
        <v>0</v>
      </c>
      <c r="Q179">
        <v>9</v>
      </c>
      <c r="R179" t="s">
        <v>38</v>
      </c>
      <c r="S179" t="s">
        <v>202</v>
      </c>
      <c r="T179" t="s">
        <v>66</v>
      </c>
    </row>
    <row r="180" spans="1:20" x14ac:dyDescent="0.3">
      <c r="A180" t="s">
        <v>197</v>
      </c>
      <c r="B180" t="s">
        <v>116</v>
      </c>
      <c r="C180" t="s">
        <v>425</v>
      </c>
      <c r="D180" t="s">
        <v>143</v>
      </c>
      <c r="E180">
        <v>122</v>
      </c>
      <c r="F180">
        <v>5</v>
      </c>
      <c r="G180" t="s">
        <v>113</v>
      </c>
      <c r="H180">
        <v>126</v>
      </c>
      <c r="I180">
        <v>1</v>
      </c>
      <c r="J180" t="s">
        <v>221</v>
      </c>
      <c r="K180" t="s">
        <v>113</v>
      </c>
      <c r="L180" t="s">
        <v>26</v>
      </c>
      <c r="M180" t="s">
        <v>189</v>
      </c>
      <c r="N180" t="s">
        <v>88</v>
      </c>
      <c r="O180" t="s">
        <v>89</v>
      </c>
      <c r="P180">
        <v>9</v>
      </c>
      <c r="Q180">
        <v>0</v>
      </c>
      <c r="R180" t="s">
        <v>71</v>
      </c>
      <c r="S180" t="s">
        <v>147</v>
      </c>
      <c r="T180" t="s">
        <v>225</v>
      </c>
    </row>
    <row r="181" spans="1:20" x14ac:dyDescent="0.3">
      <c r="A181" t="s">
        <v>197</v>
      </c>
      <c r="B181" t="s">
        <v>123</v>
      </c>
      <c r="C181" t="s">
        <v>425</v>
      </c>
      <c r="D181" t="s">
        <v>179</v>
      </c>
      <c r="E181">
        <v>190</v>
      </c>
      <c r="F181">
        <v>5</v>
      </c>
      <c r="G181" t="s">
        <v>199</v>
      </c>
      <c r="H181">
        <v>171</v>
      </c>
      <c r="I181">
        <v>9</v>
      </c>
      <c r="J181" t="s">
        <v>356</v>
      </c>
      <c r="K181" t="s">
        <v>199</v>
      </c>
      <c r="L181" t="s">
        <v>26</v>
      </c>
      <c r="M181" t="s">
        <v>245</v>
      </c>
      <c r="N181" t="s">
        <v>88</v>
      </c>
      <c r="O181" t="s">
        <v>89</v>
      </c>
      <c r="P181">
        <v>0</v>
      </c>
      <c r="Q181">
        <v>19</v>
      </c>
      <c r="R181" t="s">
        <v>196</v>
      </c>
      <c r="S181" t="s">
        <v>202</v>
      </c>
      <c r="T181" t="s">
        <v>39</v>
      </c>
    </row>
    <row r="182" spans="1:20" x14ac:dyDescent="0.3">
      <c r="A182" t="s">
        <v>197</v>
      </c>
      <c r="B182" t="s">
        <v>126</v>
      </c>
      <c r="C182" t="s">
        <v>426</v>
      </c>
      <c r="D182" t="s">
        <v>113</v>
      </c>
      <c r="E182">
        <v>175</v>
      </c>
      <c r="F182">
        <v>6</v>
      </c>
      <c r="G182" t="s">
        <v>142</v>
      </c>
      <c r="H182">
        <v>163</v>
      </c>
      <c r="I182">
        <v>10</v>
      </c>
      <c r="J182" t="s">
        <v>249</v>
      </c>
      <c r="K182" t="s">
        <v>142</v>
      </c>
      <c r="L182" t="s">
        <v>26</v>
      </c>
      <c r="M182" t="s">
        <v>189</v>
      </c>
      <c r="N182" t="s">
        <v>88</v>
      </c>
      <c r="O182" t="s">
        <v>89</v>
      </c>
      <c r="P182">
        <v>0</v>
      </c>
      <c r="Q182">
        <v>12</v>
      </c>
      <c r="R182" t="s">
        <v>417</v>
      </c>
      <c r="S182" t="s">
        <v>202</v>
      </c>
      <c r="T182" t="s">
        <v>66</v>
      </c>
    </row>
    <row r="183" spans="1:20" x14ac:dyDescent="0.3">
      <c r="A183" t="s">
        <v>197</v>
      </c>
      <c r="B183" t="s">
        <v>132</v>
      </c>
      <c r="C183" t="s">
        <v>426</v>
      </c>
      <c r="D183" t="s">
        <v>160</v>
      </c>
      <c r="E183">
        <v>148</v>
      </c>
      <c r="F183">
        <v>9</v>
      </c>
      <c r="G183" t="s">
        <v>179</v>
      </c>
      <c r="H183">
        <v>129</v>
      </c>
      <c r="I183">
        <v>8</v>
      </c>
      <c r="J183" t="s">
        <v>427</v>
      </c>
      <c r="K183" t="s">
        <v>179</v>
      </c>
      <c r="L183" t="s">
        <v>26</v>
      </c>
      <c r="M183" t="s">
        <v>193</v>
      </c>
      <c r="N183" t="s">
        <v>88</v>
      </c>
      <c r="O183" t="s">
        <v>89</v>
      </c>
      <c r="P183">
        <v>0</v>
      </c>
      <c r="Q183">
        <v>19</v>
      </c>
      <c r="R183" t="s">
        <v>196</v>
      </c>
      <c r="S183" t="s">
        <v>39</v>
      </c>
      <c r="T183" t="s">
        <v>147</v>
      </c>
    </row>
    <row r="184" spans="1:20" x14ac:dyDescent="0.3">
      <c r="A184" t="s">
        <v>197</v>
      </c>
      <c r="B184" t="s">
        <v>138</v>
      </c>
      <c r="C184" t="s">
        <v>428</v>
      </c>
      <c r="D184" t="s">
        <v>160</v>
      </c>
      <c r="E184">
        <v>194</v>
      </c>
      <c r="F184">
        <v>5</v>
      </c>
      <c r="G184" t="s">
        <v>143</v>
      </c>
      <c r="H184">
        <v>161</v>
      </c>
      <c r="I184">
        <v>9</v>
      </c>
      <c r="J184" t="s">
        <v>370</v>
      </c>
      <c r="K184" t="s">
        <v>143</v>
      </c>
      <c r="L184" t="s">
        <v>26</v>
      </c>
      <c r="M184" t="s">
        <v>193</v>
      </c>
      <c r="N184" t="s">
        <v>28</v>
      </c>
      <c r="O184" t="s">
        <v>29</v>
      </c>
      <c r="P184">
        <v>0</v>
      </c>
      <c r="Q184">
        <v>33</v>
      </c>
      <c r="R184" t="s">
        <v>131</v>
      </c>
      <c r="S184" t="s">
        <v>39</v>
      </c>
      <c r="T184" t="s">
        <v>147</v>
      </c>
    </row>
    <row r="185" spans="1:20" x14ac:dyDescent="0.3">
      <c r="A185" t="s">
        <v>197</v>
      </c>
      <c r="B185" t="s">
        <v>148</v>
      </c>
      <c r="C185" t="s">
        <v>428</v>
      </c>
      <c r="D185" t="s">
        <v>179</v>
      </c>
      <c r="E185">
        <v>163</v>
      </c>
      <c r="F185">
        <v>3</v>
      </c>
      <c r="G185" t="s">
        <v>142</v>
      </c>
      <c r="H185">
        <v>167</v>
      </c>
      <c r="I185">
        <v>3</v>
      </c>
      <c r="J185" t="s">
        <v>429</v>
      </c>
      <c r="K185" t="s">
        <v>142</v>
      </c>
      <c r="L185" t="s">
        <v>26</v>
      </c>
      <c r="M185" t="s">
        <v>155</v>
      </c>
      <c r="N185" t="s">
        <v>28</v>
      </c>
      <c r="O185" t="s">
        <v>29</v>
      </c>
      <c r="P185">
        <v>7</v>
      </c>
      <c r="Q185">
        <v>0</v>
      </c>
      <c r="R185" t="s">
        <v>118</v>
      </c>
      <c r="S185" t="s">
        <v>202</v>
      </c>
      <c r="T185" t="s">
        <v>225</v>
      </c>
    </row>
    <row r="186" spans="1:20" x14ac:dyDescent="0.3">
      <c r="A186" t="s">
        <v>197</v>
      </c>
      <c r="B186" t="s">
        <v>156</v>
      </c>
      <c r="C186" t="s">
        <v>430</v>
      </c>
      <c r="D186" t="s">
        <v>206</v>
      </c>
      <c r="E186">
        <v>144</v>
      </c>
      <c r="F186">
        <v>9</v>
      </c>
      <c r="G186" t="s">
        <v>143</v>
      </c>
      <c r="H186">
        <v>131</v>
      </c>
      <c r="I186">
        <v>9</v>
      </c>
      <c r="J186" t="s">
        <v>399</v>
      </c>
      <c r="K186" t="s">
        <v>143</v>
      </c>
      <c r="L186" t="s">
        <v>26</v>
      </c>
      <c r="M186" t="s">
        <v>215</v>
      </c>
      <c r="N186" t="s">
        <v>28</v>
      </c>
      <c r="O186" t="s">
        <v>29</v>
      </c>
      <c r="P186">
        <v>0</v>
      </c>
      <c r="Q186">
        <v>13</v>
      </c>
      <c r="R186" t="s">
        <v>81</v>
      </c>
      <c r="S186" t="s">
        <v>147</v>
      </c>
      <c r="T186" t="s">
        <v>44</v>
      </c>
    </row>
    <row r="187" spans="1:20" x14ac:dyDescent="0.3">
      <c r="A187" t="s">
        <v>197</v>
      </c>
      <c r="B187" t="s">
        <v>163</v>
      </c>
      <c r="C187" t="s">
        <v>430</v>
      </c>
      <c r="D187" t="s">
        <v>142</v>
      </c>
      <c r="E187">
        <v>192</v>
      </c>
      <c r="F187">
        <v>4</v>
      </c>
      <c r="G187" t="s">
        <v>199</v>
      </c>
      <c r="H187">
        <v>188</v>
      </c>
      <c r="I187">
        <v>6</v>
      </c>
      <c r="J187" t="s">
        <v>154</v>
      </c>
      <c r="K187" t="s">
        <v>199</v>
      </c>
      <c r="L187" t="s">
        <v>26</v>
      </c>
      <c r="M187" t="s">
        <v>155</v>
      </c>
      <c r="N187" t="s">
        <v>28</v>
      </c>
      <c r="O187" t="s">
        <v>29</v>
      </c>
      <c r="P187">
        <v>0</v>
      </c>
      <c r="Q187">
        <v>4</v>
      </c>
      <c r="R187" t="s">
        <v>103</v>
      </c>
      <c r="S187" t="s">
        <v>72</v>
      </c>
      <c r="T187" t="s">
        <v>202</v>
      </c>
    </row>
    <row r="188" spans="1:20" x14ac:dyDescent="0.3">
      <c r="A188" t="s">
        <v>197</v>
      </c>
      <c r="B188" t="s">
        <v>168</v>
      </c>
      <c r="C188" t="s">
        <v>431</v>
      </c>
      <c r="D188" t="s">
        <v>160</v>
      </c>
      <c r="E188">
        <v>170</v>
      </c>
      <c r="F188">
        <v>6</v>
      </c>
      <c r="G188" t="s">
        <v>113</v>
      </c>
      <c r="H188">
        <v>92</v>
      </c>
      <c r="I188">
        <v>10</v>
      </c>
      <c r="J188" t="s">
        <v>432</v>
      </c>
      <c r="K188" t="s">
        <v>113</v>
      </c>
      <c r="L188" t="s">
        <v>26</v>
      </c>
      <c r="M188" t="s">
        <v>193</v>
      </c>
      <c r="N188" t="s">
        <v>28</v>
      </c>
      <c r="O188" t="s">
        <v>29</v>
      </c>
      <c r="P188">
        <v>0</v>
      </c>
      <c r="Q188">
        <v>78</v>
      </c>
      <c r="R188" t="s">
        <v>419</v>
      </c>
      <c r="S188" t="s">
        <v>202</v>
      </c>
      <c r="T188" t="s">
        <v>39</v>
      </c>
    </row>
    <row r="189" spans="1:20" x14ac:dyDescent="0.3">
      <c r="A189" t="s">
        <v>197</v>
      </c>
      <c r="B189" t="s">
        <v>170</v>
      </c>
      <c r="C189" t="s">
        <v>431</v>
      </c>
      <c r="D189" t="s">
        <v>206</v>
      </c>
      <c r="E189">
        <v>127</v>
      </c>
      <c r="F189">
        <v>7</v>
      </c>
      <c r="G189" t="s">
        <v>179</v>
      </c>
      <c r="H189">
        <v>123</v>
      </c>
      <c r="I189">
        <v>9</v>
      </c>
      <c r="J189" t="s">
        <v>157</v>
      </c>
      <c r="K189" t="s">
        <v>179</v>
      </c>
      <c r="L189" t="s">
        <v>26</v>
      </c>
      <c r="M189" t="s">
        <v>215</v>
      </c>
      <c r="N189" t="s">
        <v>28</v>
      </c>
      <c r="O189" t="s">
        <v>29</v>
      </c>
      <c r="P189">
        <v>0</v>
      </c>
      <c r="Q189">
        <v>4</v>
      </c>
      <c r="R189" t="s">
        <v>103</v>
      </c>
      <c r="S189" t="s">
        <v>50</v>
      </c>
      <c r="T189" t="s">
        <v>147</v>
      </c>
    </row>
    <row r="190" spans="1:20" x14ac:dyDescent="0.3">
      <c r="A190" t="s">
        <v>197</v>
      </c>
      <c r="B190" t="s">
        <v>176</v>
      </c>
      <c r="C190" t="s">
        <v>433</v>
      </c>
      <c r="D190" t="s">
        <v>160</v>
      </c>
      <c r="E190">
        <v>138</v>
      </c>
      <c r="F190">
        <v>5</v>
      </c>
      <c r="G190" t="s">
        <v>199</v>
      </c>
      <c r="H190">
        <v>139</v>
      </c>
      <c r="I190">
        <v>4</v>
      </c>
      <c r="J190" t="s">
        <v>207</v>
      </c>
      <c r="K190" t="s">
        <v>199</v>
      </c>
      <c r="L190" t="s">
        <v>26</v>
      </c>
      <c r="M190" t="s">
        <v>208</v>
      </c>
      <c r="N190" t="s">
        <v>28</v>
      </c>
      <c r="O190" t="s">
        <v>29</v>
      </c>
      <c r="P190">
        <v>6</v>
      </c>
      <c r="Q190">
        <v>0</v>
      </c>
      <c r="R190" t="s">
        <v>151</v>
      </c>
      <c r="S190" t="s">
        <v>202</v>
      </c>
      <c r="T190" t="s">
        <v>66</v>
      </c>
    </row>
    <row r="191" spans="1:20" x14ac:dyDescent="0.3">
      <c r="A191" t="s">
        <v>197</v>
      </c>
      <c r="B191" t="s">
        <v>180</v>
      </c>
      <c r="C191" t="s">
        <v>433</v>
      </c>
      <c r="D191" t="s">
        <v>143</v>
      </c>
      <c r="E191">
        <v>129</v>
      </c>
      <c r="F191">
        <v>8</v>
      </c>
      <c r="G191" t="s">
        <v>142</v>
      </c>
      <c r="H191">
        <v>130</v>
      </c>
      <c r="I191">
        <v>4</v>
      </c>
      <c r="J191" t="s">
        <v>434</v>
      </c>
      <c r="K191" t="s">
        <v>143</v>
      </c>
      <c r="L191" t="s">
        <v>37</v>
      </c>
      <c r="M191" t="s">
        <v>155</v>
      </c>
      <c r="N191" t="s">
        <v>28</v>
      </c>
      <c r="O191" t="s">
        <v>29</v>
      </c>
      <c r="P191">
        <v>6</v>
      </c>
      <c r="Q191">
        <v>0</v>
      </c>
      <c r="R191" t="s">
        <v>151</v>
      </c>
      <c r="S191" t="s">
        <v>39</v>
      </c>
      <c r="T191" t="s">
        <v>147</v>
      </c>
    </row>
    <row r="192" spans="1:20" x14ac:dyDescent="0.3">
      <c r="A192" t="s">
        <v>197</v>
      </c>
      <c r="B192" t="s">
        <v>186</v>
      </c>
      <c r="C192" t="s">
        <v>435</v>
      </c>
      <c r="D192" t="s">
        <v>206</v>
      </c>
      <c r="E192">
        <v>44</v>
      </c>
      <c r="F192">
        <v>10</v>
      </c>
      <c r="G192" t="s">
        <v>113</v>
      </c>
      <c r="H192">
        <v>45</v>
      </c>
      <c r="I192">
        <v>1</v>
      </c>
      <c r="J192" t="s">
        <v>235</v>
      </c>
      <c r="K192" t="s">
        <v>113</v>
      </c>
      <c r="L192" t="s">
        <v>26</v>
      </c>
      <c r="M192" t="s">
        <v>189</v>
      </c>
      <c r="N192" t="s">
        <v>28</v>
      </c>
      <c r="O192" t="s">
        <v>29</v>
      </c>
      <c r="P192">
        <v>9</v>
      </c>
      <c r="Q192">
        <v>0</v>
      </c>
      <c r="R192" t="s">
        <v>71</v>
      </c>
      <c r="S192" t="s">
        <v>50</v>
      </c>
      <c r="T192" t="s">
        <v>147</v>
      </c>
    </row>
    <row r="193" spans="1:20" x14ac:dyDescent="0.3">
      <c r="A193" t="s">
        <v>197</v>
      </c>
      <c r="B193" t="s">
        <v>190</v>
      </c>
      <c r="C193" t="s">
        <v>436</v>
      </c>
      <c r="D193" t="s">
        <v>179</v>
      </c>
      <c r="E193">
        <v>124</v>
      </c>
      <c r="F193">
        <v>10</v>
      </c>
      <c r="G193" t="s">
        <v>113</v>
      </c>
      <c r="H193">
        <v>125</v>
      </c>
      <c r="I193">
        <v>1</v>
      </c>
      <c r="J193" t="s">
        <v>221</v>
      </c>
      <c r="K193" t="s">
        <v>113</v>
      </c>
      <c r="L193" t="s">
        <v>26</v>
      </c>
      <c r="M193" t="s">
        <v>189</v>
      </c>
      <c r="N193" t="s">
        <v>28</v>
      </c>
      <c r="O193" t="s">
        <v>29</v>
      </c>
      <c r="P193">
        <v>9</v>
      </c>
      <c r="Q193">
        <v>0</v>
      </c>
      <c r="R193" t="s">
        <v>71</v>
      </c>
      <c r="S193" t="s">
        <v>202</v>
      </c>
      <c r="T193" t="s">
        <v>39</v>
      </c>
    </row>
    <row r="194" spans="1:20" x14ac:dyDescent="0.3">
      <c r="A194" t="s">
        <v>197</v>
      </c>
      <c r="B194" t="s">
        <v>195</v>
      </c>
      <c r="C194" t="s">
        <v>436</v>
      </c>
      <c r="D194" t="s">
        <v>206</v>
      </c>
      <c r="E194">
        <v>133</v>
      </c>
      <c r="F194">
        <v>8</v>
      </c>
      <c r="G194" t="s">
        <v>199</v>
      </c>
      <c r="H194">
        <v>130</v>
      </c>
      <c r="I194">
        <v>10</v>
      </c>
      <c r="J194" t="s">
        <v>157</v>
      </c>
      <c r="K194" t="s">
        <v>206</v>
      </c>
      <c r="L194" t="s">
        <v>37</v>
      </c>
      <c r="M194" t="s">
        <v>215</v>
      </c>
      <c r="N194" t="s">
        <v>28</v>
      </c>
      <c r="O194" t="s">
        <v>29</v>
      </c>
      <c r="P194">
        <v>0</v>
      </c>
      <c r="Q194">
        <v>3</v>
      </c>
      <c r="R194" t="s">
        <v>437</v>
      </c>
      <c r="S194" t="s">
        <v>438</v>
      </c>
      <c r="T194" t="s">
        <v>410</v>
      </c>
    </row>
    <row r="195" spans="1:20" x14ac:dyDescent="0.3">
      <c r="A195" t="s">
        <v>197</v>
      </c>
      <c r="B195" t="s">
        <v>33</v>
      </c>
      <c r="C195" t="s">
        <v>439</v>
      </c>
      <c r="D195" t="s">
        <v>142</v>
      </c>
      <c r="E195">
        <v>148</v>
      </c>
      <c r="F195">
        <v>6</v>
      </c>
      <c r="G195" t="s">
        <v>160</v>
      </c>
      <c r="H195">
        <v>149</v>
      </c>
      <c r="I195">
        <v>2</v>
      </c>
      <c r="J195" t="s">
        <v>370</v>
      </c>
      <c r="K195" t="s">
        <v>160</v>
      </c>
      <c r="L195" t="s">
        <v>26</v>
      </c>
      <c r="M195" t="s">
        <v>193</v>
      </c>
      <c r="N195" t="s">
        <v>28</v>
      </c>
      <c r="O195" t="s">
        <v>29</v>
      </c>
      <c r="P195">
        <v>8</v>
      </c>
      <c r="Q195">
        <v>0</v>
      </c>
      <c r="R195" t="s">
        <v>30</v>
      </c>
      <c r="S195" t="s">
        <v>202</v>
      </c>
      <c r="T195" t="s">
        <v>39</v>
      </c>
    </row>
    <row r="196" spans="1:20" x14ac:dyDescent="0.3">
      <c r="A196" t="s">
        <v>197</v>
      </c>
      <c r="B196" t="s">
        <v>40</v>
      </c>
      <c r="C196" t="s">
        <v>439</v>
      </c>
      <c r="D196" t="s">
        <v>179</v>
      </c>
      <c r="E196">
        <v>161</v>
      </c>
      <c r="F196">
        <v>3</v>
      </c>
      <c r="G196" t="s">
        <v>143</v>
      </c>
      <c r="H196">
        <v>132</v>
      </c>
      <c r="I196">
        <v>8</v>
      </c>
      <c r="J196" t="s">
        <v>356</v>
      </c>
      <c r="K196" t="s">
        <v>143</v>
      </c>
      <c r="L196" t="s">
        <v>26</v>
      </c>
      <c r="M196" t="s">
        <v>245</v>
      </c>
      <c r="N196" t="s">
        <v>28</v>
      </c>
      <c r="O196" t="s">
        <v>29</v>
      </c>
      <c r="P196">
        <v>0</v>
      </c>
      <c r="Q196">
        <v>29</v>
      </c>
      <c r="R196" t="s">
        <v>109</v>
      </c>
      <c r="S196" t="s">
        <v>440</v>
      </c>
      <c r="T196" t="s">
        <v>291</v>
      </c>
    </row>
    <row r="197" spans="1:20" x14ac:dyDescent="0.3">
      <c r="A197" t="s">
        <v>226</v>
      </c>
      <c r="B197" t="s">
        <v>321</v>
      </c>
      <c r="C197" t="s">
        <v>441</v>
      </c>
      <c r="D197" t="s">
        <v>160</v>
      </c>
      <c r="E197">
        <v>205</v>
      </c>
      <c r="F197">
        <v>5</v>
      </c>
      <c r="G197" t="s">
        <v>199</v>
      </c>
      <c r="H197">
        <v>106</v>
      </c>
      <c r="I197">
        <v>10</v>
      </c>
      <c r="J197" t="s">
        <v>260</v>
      </c>
      <c r="K197" t="s">
        <v>160</v>
      </c>
      <c r="L197" t="s">
        <v>37</v>
      </c>
      <c r="M197" t="s">
        <v>193</v>
      </c>
      <c r="N197" t="s">
        <v>28</v>
      </c>
      <c r="O197" t="s">
        <v>29</v>
      </c>
      <c r="P197">
        <v>0</v>
      </c>
      <c r="Q197">
        <v>99</v>
      </c>
      <c r="R197" t="s">
        <v>442</v>
      </c>
      <c r="S197" t="s">
        <v>66</v>
      </c>
      <c r="T197" t="s">
        <v>229</v>
      </c>
    </row>
    <row r="198" spans="1:20" x14ac:dyDescent="0.3">
      <c r="A198" t="s">
        <v>226</v>
      </c>
      <c r="B198" t="s">
        <v>324</v>
      </c>
      <c r="C198" t="s">
        <v>441</v>
      </c>
      <c r="D198" t="s">
        <v>113</v>
      </c>
      <c r="E198">
        <v>97</v>
      </c>
      <c r="F198">
        <v>10</v>
      </c>
      <c r="G198" t="s">
        <v>143</v>
      </c>
      <c r="H198">
        <v>100</v>
      </c>
      <c r="I198">
        <v>6</v>
      </c>
      <c r="J198" t="s">
        <v>443</v>
      </c>
      <c r="K198" t="s">
        <v>143</v>
      </c>
      <c r="L198" t="s">
        <v>26</v>
      </c>
      <c r="M198" t="s">
        <v>145</v>
      </c>
      <c r="N198" t="s">
        <v>28</v>
      </c>
      <c r="O198" t="s">
        <v>29</v>
      </c>
      <c r="P198">
        <v>4</v>
      </c>
      <c r="Q198">
        <v>0</v>
      </c>
      <c r="R198" t="s">
        <v>90</v>
      </c>
      <c r="S198" t="s">
        <v>39</v>
      </c>
      <c r="T198" t="s">
        <v>147</v>
      </c>
    </row>
    <row r="199" spans="1:20" x14ac:dyDescent="0.3">
      <c r="A199" t="s">
        <v>226</v>
      </c>
      <c r="B199" t="s">
        <v>326</v>
      </c>
      <c r="C199" t="s">
        <v>444</v>
      </c>
      <c r="D199" t="s">
        <v>143</v>
      </c>
      <c r="E199">
        <v>167</v>
      </c>
      <c r="F199">
        <v>6</v>
      </c>
      <c r="G199" t="s">
        <v>160</v>
      </c>
      <c r="H199">
        <v>155</v>
      </c>
      <c r="I199">
        <v>8</v>
      </c>
      <c r="J199" t="s">
        <v>79</v>
      </c>
      <c r="K199" t="s">
        <v>160</v>
      </c>
      <c r="L199" t="s">
        <v>26</v>
      </c>
      <c r="M199" t="s">
        <v>145</v>
      </c>
      <c r="N199" t="s">
        <v>88</v>
      </c>
      <c r="O199" t="s">
        <v>89</v>
      </c>
      <c r="P199">
        <v>0</v>
      </c>
      <c r="Q199">
        <v>12</v>
      </c>
      <c r="R199" t="s">
        <v>417</v>
      </c>
      <c r="S199" t="s">
        <v>39</v>
      </c>
      <c r="T199" t="s">
        <v>229</v>
      </c>
    </row>
    <row r="200" spans="1:20" x14ac:dyDescent="0.3">
      <c r="A200" t="s">
        <v>226</v>
      </c>
      <c r="B200" t="s">
        <v>328</v>
      </c>
      <c r="C200" t="s">
        <v>444</v>
      </c>
      <c r="D200" t="s">
        <v>199</v>
      </c>
      <c r="E200">
        <v>157</v>
      </c>
      <c r="F200">
        <v>6</v>
      </c>
      <c r="G200" t="s">
        <v>179</v>
      </c>
      <c r="H200">
        <v>124</v>
      </c>
      <c r="I200">
        <v>10</v>
      </c>
      <c r="J200" t="s">
        <v>213</v>
      </c>
      <c r="K200" t="s">
        <v>199</v>
      </c>
      <c r="L200" t="s">
        <v>37</v>
      </c>
      <c r="M200" t="s">
        <v>208</v>
      </c>
      <c r="N200" t="s">
        <v>88</v>
      </c>
      <c r="O200" t="s">
        <v>89</v>
      </c>
      <c r="P200">
        <v>0</v>
      </c>
      <c r="Q200">
        <v>33</v>
      </c>
      <c r="R200" t="s">
        <v>131</v>
      </c>
      <c r="S200" t="s">
        <v>445</v>
      </c>
      <c r="T200" t="s">
        <v>446</v>
      </c>
    </row>
    <row r="201" spans="1:20" x14ac:dyDescent="0.3">
      <c r="A201" t="s">
        <v>226</v>
      </c>
      <c r="B201" t="s">
        <v>330</v>
      </c>
      <c r="C201" t="s">
        <v>447</v>
      </c>
      <c r="D201" t="s">
        <v>206</v>
      </c>
      <c r="E201">
        <v>111</v>
      </c>
      <c r="F201">
        <v>10</v>
      </c>
      <c r="G201" t="s">
        <v>143</v>
      </c>
      <c r="H201">
        <v>112</v>
      </c>
      <c r="I201">
        <v>1</v>
      </c>
      <c r="J201" t="s">
        <v>381</v>
      </c>
      <c r="K201" t="s">
        <v>206</v>
      </c>
      <c r="L201" t="s">
        <v>37</v>
      </c>
      <c r="M201" t="s">
        <v>145</v>
      </c>
      <c r="N201" t="s">
        <v>88</v>
      </c>
      <c r="O201" t="s">
        <v>89</v>
      </c>
      <c r="P201">
        <v>9</v>
      </c>
      <c r="Q201">
        <v>0</v>
      </c>
      <c r="R201" t="s">
        <v>71</v>
      </c>
      <c r="S201" t="s">
        <v>39</v>
      </c>
      <c r="T201" t="s">
        <v>229</v>
      </c>
    </row>
    <row r="202" spans="1:20" x14ac:dyDescent="0.3">
      <c r="A202" t="s">
        <v>226</v>
      </c>
      <c r="B202" t="s">
        <v>334</v>
      </c>
      <c r="C202" t="s">
        <v>447</v>
      </c>
      <c r="D202" t="s">
        <v>238</v>
      </c>
      <c r="E202">
        <v>173</v>
      </c>
      <c r="F202">
        <v>5</v>
      </c>
      <c r="G202" t="s">
        <v>113</v>
      </c>
      <c r="H202">
        <v>177</v>
      </c>
      <c r="I202">
        <v>6</v>
      </c>
      <c r="J202" t="s">
        <v>448</v>
      </c>
      <c r="K202" t="s">
        <v>113</v>
      </c>
      <c r="L202" t="s">
        <v>26</v>
      </c>
      <c r="M202" t="s">
        <v>189</v>
      </c>
      <c r="N202" t="s">
        <v>88</v>
      </c>
      <c r="O202" t="s">
        <v>89</v>
      </c>
      <c r="P202">
        <v>4</v>
      </c>
      <c r="Q202">
        <v>0</v>
      </c>
      <c r="R202" t="s">
        <v>90</v>
      </c>
      <c r="S202" t="s">
        <v>50</v>
      </c>
      <c r="T202" t="s">
        <v>147</v>
      </c>
    </row>
    <row r="203" spans="1:20" x14ac:dyDescent="0.3">
      <c r="A203" t="s">
        <v>226</v>
      </c>
      <c r="B203" t="s">
        <v>336</v>
      </c>
      <c r="C203" t="s">
        <v>449</v>
      </c>
      <c r="D203" t="s">
        <v>206</v>
      </c>
      <c r="E203">
        <v>213</v>
      </c>
      <c r="F203">
        <v>5</v>
      </c>
      <c r="G203" t="s">
        <v>199</v>
      </c>
      <c r="H203">
        <v>145</v>
      </c>
      <c r="I203">
        <v>10</v>
      </c>
      <c r="J203" t="s">
        <v>450</v>
      </c>
      <c r="K203" t="s">
        <v>199</v>
      </c>
      <c r="L203" t="s">
        <v>26</v>
      </c>
      <c r="M203" t="s">
        <v>215</v>
      </c>
      <c r="N203" t="s">
        <v>88</v>
      </c>
      <c r="O203" t="s">
        <v>89</v>
      </c>
      <c r="P203">
        <v>0</v>
      </c>
      <c r="Q203">
        <v>68</v>
      </c>
      <c r="R203" t="s">
        <v>361</v>
      </c>
      <c r="S203" t="s">
        <v>56</v>
      </c>
      <c r="T203" t="s">
        <v>50</v>
      </c>
    </row>
    <row r="204" spans="1:20" x14ac:dyDescent="0.3">
      <c r="A204" t="s">
        <v>226</v>
      </c>
      <c r="B204" t="s">
        <v>45</v>
      </c>
      <c r="C204" t="s">
        <v>449</v>
      </c>
      <c r="D204" t="s">
        <v>179</v>
      </c>
      <c r="E204">
        <v>187</v>
      </c>
      <c r="F204">
        <v>5</v>
      </c>
      <c r="G204" t="s">
        <v>160</v>
      </c>
      <c r="H204">
        <v>191</v>
      </c>
      <c r="I204">
        <v>3</v>
      </c>
      <c r="J204" t="s">
        <v>259</v>
      </c>
      <c r="K204" t="s">
        <v>179</v>
      </c>
      <c r="L204" t="s">
        <v>37</v>
      </c>
      <c r="M204" t="s">
        <v>193</v>
      </c>
      <c r="N204" t="s">
        <v>88</v>
      </c>
      <c r="O204" t="s">
        <v>89</v>
      </c>
      <c r="P204">
        <v>7</v>
      </c>
      <c r="Q204">
        <v>0</v>
      </c>
      <c r="R204" t="s">
        <v>118</v>
      </c>
      <c r="S204" t="s">
        <v>39</v>
      </c>
      <c r="T204" t="s">
        <v>229</v>
      </c>
    </row>
    <row r="205" spans="1:20" x14ac:dyDescent="0.3">
      <c r="A205" t="s">
        <v>226</v>
      </c>
      <c r="B205" t="s">
        <v>51</v>
      </c>
      <c r="C205" t="s">
        <v>451</v>
      </c>
      <c r="D205" t="s">
        <v>179</v>
      </c>
      <c r="E205">
        <v>176</v>
      </c>
      <c r="F205">
        <v>7</v>
      </c>
      <c r="G205" t="s">
        <v>113</v>
      </c>
      <c r="H205">
        <v>180</v>
      </c>
      <c r="I205">
        <v>7</v>
      </c>
      <c r="J205" t="s">
        <v>397</v>
      </c>
      <c r="K205" t="s">
        <v>113</v>
      </c>
      <c r="L205" t="s">
        <v>26</v>
      </c>
      <c r="M205" t="s">
        <v>189</v>
      </c>
      <c r="N205" t="s">
        <v>88</v>
      </c>
      <c r="O205" t="s">
        <v>89</v>
      </c>
      <c r="P205">
        <v>3</v>
      </c>
      <c r="Q205">
        <v>0</v>
      </c>
      <c r="R205" t="s">
        <v>49</v>
      </c>
      <c r="S205" t="s">
        <v>229</v>
      </c>
      <c r="T205" t="s">
        <v>225</v>
      </c>
    </row>
    <row r="206" spans="1:20" x14ac:dyDescent="0.3">
      <c r="A206" t="s">
        <v>226</v>
      </c>
      <c r="B206" t="s">
        <v>58</v>
      </c>
      <c r="C206" t="s">
        <v>451</v>
      </c>
      <c r="D206" t="s">
        <v>199</v>
      </c>
      <c r="E206">
        <v>185</v>
      </c>
      <c r="F206">
        <v>7</v>
      </c>
      <c r="G206" t="s">
        <v>143</v>
      </c>
      <c r="H206">
        <v>155</v>
      </c>
      <c r="I206">
        <v>10</v>
      </c>
      <c r="J206" t="s">
        <v>213</v>
      </c>
      <c r="K206" t="s">
        <v>199</v>
      </c>
      <c r="L206" t="s">
        <v>37</v>
      </c>
      <c r="M206" t="s">
        <v>208</v>
      </c>
      <c r="N206" t="s">
        <v>88</v>
      </c>
      <c r="O206" t="s">
        <v>89</v>
      </c>
      <c r="P206">
        <v>0</v>
      </c>
      <c r="Q206">
        <v>30</v>
      </c>
      <c r="R206" t="s">
        <v>452</v>
      </c>
      <c r="S206" t="s">
        <v>72</v>
      </c>
      <c r="T206" t="s">
        <v>216</v>
      </c>
    </row>
    <row r="207" spans="1:20" x14ac:dyDescent="0.3">
      <c r="A207" t="s">
        <v>226</v>
      </c>
      <c r="B207" t="s">
        <v>60</v>
      </c>
      <c r="C207" t="s">
        <v>453</v>
      </c>
      <c r="D207" t="s">
        <v>179</v>
      </c>
      <c r="E207">
        <v>211</v>
      </c>
      <c r="F207">
        <v>5</v>
      </c>
      <c r="G207" t="s">
        <v>238</v>
      </c>
      <c r="H207">
        <v>171</v>
      </c>
      <c r="I207">
        <v>8</v>
      </c>
      <c r="J207" t="s">
        <v>454</v>
      </c>
      <c r="K207" t="s">
        <v>238</v>
      </c>
      <c r="L207" t="s">
        <v>26</v>
      </c>
      <c r="M207" t="s">
        <v>245</v>
      </c>
      <c r="N207" t="s">
        <v>88</v>
      </c>
      <c r="O207" t="s">
        <v>89</v>
      </c>
      <c r="P207">
        <v>0</v>
      </c>
      <c r="Q207">
        <v>40</v>
      </c>
      <c r="R207" t="s">
        <v>455</v>
      </c>
      <c r="S207" t="s">
        <v>72</v>
      </c>
      <c r="T207" t="s">
        <v>225</v>
      </c>
    </row>
    <row r="208" spans="1:20" x14ac:dyDescent="0.3">
      <c r="A208" t="s">
        <v>226</v>
      </c>
      <c r="B208" t="s">
        <v>67</v>
      </c>
      <c r="C208" t="s">
        <v>453</v>
      </c>
      <c r="D208" t="s">
        <v>206</v>
      </c>
      <c r="E208">
        <v>158</v>
      </c>
      <c r="F208">
        <v>8</v>
      </c>
      <c r="G208" t="s">
        <v>113</v>
      </c>
      <c r="H208">
        <v>149</v>
      </c>
      <c r="I208">
        <v>6</v>
      </c>
      <c r="J208" t="s">
        <v>157</v>
      </c>
      <c r="K208" t="s">
        <v>113</v>
      </c>
      <c r="L208" t="s">
        <v>26</v>
      </c>
      <c r="M208" t="s">
        <v>215</v>
      </c>
      <c r="N208" t="s">
        <v>88</v>
      </c>
      <c r="O208" t="s">
        <v>89</v>
      </c>
      <c r="P208">
        <v>0</v>
      </c>
      <c r="Q208">
        <v>9</v>
      </c>
      <c r="R208" t="s">
        <v>38</v>
      </c>
      <c r="S208" t="s">
        <v>216</v>
      </c>
      <c r="T208" t="s">
        <v>229</v>
      </c>
    </row>
    <row r="209" spans="1:20" x14ac:dyDescent="0.3">
      <c r="A209" t="s">
        <v>226</v>
      </c>
      <c r="B209" t="s">
        <v>68</v>
      </c>
      <c r="C209" t="s">
        <v>456</v>
      </c>
      <c r="D209" t="s">
        <v>113</v>
      </c>
      <c r="E209">
        <v>142</v>
      </c>
      <c r="F209">
        <v>10</v>
      </c>
      <c r="G209" t="s">
        <v>160</v>
      </c>
      <c r="H209">
        <v>139</v>
      </c>
      <c r="I209">
        <v>10</v>
      </c>
      <c r="J209" t="s">
        <v>102</v>
      </c>
      <c r="K209" t="s">
        <v>160</v>
      </c>
      <c r="L209" t="s">
        <v>26</v>
      </c>
      <c r="M209" t="s">
        <v>189</v>
      </c>
      <c r="N209" t="s">
        <v>28</v>
      </c>
      <c r="O209" t="s">
        <v>29</v>
      </c>
      <c r="P209">
        <v>0</v>
      </c>
      <c r="Q209">
        <v>3</v>
      </c>
      <c r="R209" t="s">
        <v>437</v>
      </c>
      <c r="S209" t="s">
        <v>72</v>
      </c>
      <c r="T209" t="s">
        <v>229</v>
      </c>
    </row>
    <row r="210" spans="1:20" x14ac:dyDescent="0.3">
      <c r="A210" t="s">
        <v>226</v>
      </c>
      <c r="B210" t="s">
        <v>78</v>
      </c>
      <c r="C210" t="s">
        <v>456</v>
      </c>
      <c r="D210" t="s">
        <v>199</v>
      </c>
      <c r="E210">
        <v>166</v>
      </c>
      <c r="F210">
        <v>8</v>
      </c>
      <c r="G210" t="s">
        <v>206</v>
      </c>
      <c r="H210">
        <v>168</v>
      </c>
      <c r="I210">
        <v>8</v>
      </c>
      <c r="J210" t="s">
        <v>247</v>
      </c>
      <c r="K210" t="s">
        <v>206</v>
      </c>
      <c r="L210" t="s">
        <v>26</v>
      </c>
      <c r="M210" t="s">
        <v>215</v>
      </c>
      <c r="N210" t="s">
        <v>28</v>
      </c>
      <c r="O210" t="s">
        <v>29</v>
      </c>
      <c r="P210">
        <v>2</v>
      </c>
      <c r="Q210">
        <v>0</v>
      </c>
      <c r="R210" t="s">
        <v>281</v>
      </c>
      <c r="S210" t="s">
        <v>39</v>
      </c>
      <c r="T210" t="s">
        <v>44</v>
      </c>
    </row>
    <row r="211" spans="1:20" x14ac:dyDescent="0.3">
      <c r="A211" t="s">
        <v>226</v>
      </c>
      <c r="B211" t="s">
        <v>85</v>
      </c>
      <c r="C211" t="s">
        <v>457</v>
      </c>
      <c r="D211" t="s">
        <v>113</v>
      </c>
      <c r="E211">
        <v>169</v>
      </c>
      <c r="F211">
        <v>7</v>
      </c>
      <c r="G211" t="s">
        <v>238</v>
      </c>
      <c r="H211">
        <v>162</v>
      </c>
      <c r="I211">
        <v>4</v>
      </c>
      <c r="J211" t="s">
        <v>102</v>
      </c>
      <c r="K211" t="s">
        <v>238</v>
      </c>
      <c r="L211" t="s">
        <v>26</v>
      </c>
      <c r="M211" t="s">
        <v>189</v>
      </c>
      <c r="N211" t="s">
        <v>28</v>
      </c>
      <c r="O211" t="s">
        <v>29</v>
      </c>
      <c r="P211">
        <v>0</v>
      </c>
      <c r="Q211">
        <v>7</v>
      </c>
      <c r="R211" t="s">
        <v>364</v>
      </c>
      <c r="S211" t="s">
        <v>72</v>
      </c>
      <c r="T211" t="s">
        <v>229</v>
      </c>
    </row>
    <row r="212" spans="1:20" x14ac:dyDescent="0.3">
      <c r="A212" t="s">
        <v>226</v>
      </c>
      <c r="B212" t="s">
        <v>91</v>
      </c>
      <c r="C212" t="s">
        <v>457</v>
      </c>
      <c r="D212" t="s">
        <v>160</v>
      </c>
      <c r="E212">
        <v>128</v>
      </c>
      <c r="F212">
        <v>10</v>
      </c>
      <c r="G212" t="s">
        <v>143</v>
      </c>
      <c r="H212">
        <v>129</v>
      </c>
      <c r="I212">
        <v>6</v>
      </c>
      <c r="J212" t="s">
        <v>458</v>
      </c>
      <c r="K212" t="s">
        <v>160</v>
      </c>
      <c r="L212" t="s">
        <v>37</v>
      </c>
      <c r="M212" t="s">
        <v>145</v>
      </c>
      <c r="N212" t="s">
        <v>28</v>
      </c>
      <c r="O212" t="s">
        <v>29</v>
      </c>
      <c r="P212">
        <v>4</v>
      </c>
      <c r="Q212">
        <v>0</v>
      </c>
      <c r="R212" t="s">
        <v>90</v>
      </c>
      <c r="S212" t="s">
        <v>66</v>
      </c>
      <c r="T212" t="s">
        <v>147</v>
      </c>
    </row>
    <row r="213" spans="1:20" x14ac:dyDescent="0.3">
      <c r="A213" t="s">
        <v>226</v>
      </c>
      <c r="B213" t="s">
        <v>95</v>
      </c>
      <c r="C213" t="s">
        <v>459</v>
      </c>
      <c r="D213" t="s">
        <v>143</v>
      </c>
      <c r="E213">
        <v>153</v>
      </c>
      <c r="F213">
        <v>6</v>
      </c>
      <c r="G213" t="s">
        <v>113</v>
      </c>
      <c r="H213">
        <v>139</v>
      </c>
      <c r="I213">
        <v>7</v>
      </c>
      <c r="J213" t="s">
        <v>443</v>
      </c>
      <c r="K213" t="s">
        <v>113</v>
      </c>
      <c r="L213" t="s">
        <v>26</v>
      </c>
      <c r="M213" t="s">
        <v>145</v>
      </c>
      <c r="N213" t="s">
        <v>28</v>
      </c>
      <c r="O213" t="s">
        <v>29</v>
      </c>
      <c r="P213">
        <v>0</v>
      </c>
      <c r="Q213">
        <v>14</v>
      </c>
      <c r="R213" t="s">
        <v>135</v>
      </c>
      <c r="S213" t="s">
        <v>50</v>
      </c>
      <c r="T213" t="s">
        <v>147</v>
      </c>
    </row>
    <row r="214" spans="1:20" x14ac:dyDescent="0.3">
      <c r="A214" t="s">
        <v>226</v>
      </c>
      <c r="B214" t="s">
        <v>104</v>
      </c>
      <c r="C214" t="s">
        <v>459</v>
      </c>
      <c r="D214" t="s">
        <v>160</v>
      </c>
      <c r="E214">
        <v>201</v>
      </c>
      <c r="F214">
        <v>7</v>
      </c>
      <c r="G214" t="s">
        <v>199</v>
      </c>
      <c r="H214">
        <v>133</v>
      </c>
      <c r="I214">
        <v>10</v>
      </c>
      <c r="J214" t="s">
        <v>259</v>
      </c>
      <c r="K214" t="s">
        <v>199</v>
      </c>
      <c r="L214" t="s">
        <v>26</v>
      </c>
      <c r="M214" t="s">
        <v>193</v>
      </c>
      <c r="N214" t="s">
        <v>28</v>
      </c>
      <c r="O214" t="s">
        <v>29</v>
      </c>
      <c r="P214">
        <v>0</v>
      </c>
      <c r="Q214">
        <v>68</v>
      </c>
      <c r="R214" t="s">
        <v>361</v>
      </c>
      <c r="S214" t="s">
        <v>39</v>
      </c>
      <c r="T214" t="s">
        <v>229</v>
      </c>
    </row>
    <row r="215" spans="1:20" x14ac:dyDescent="0.3">
      <c r="A215" t="s">
        <v>226</v>
      </c>
      <c r="B215" t="s">
        <v>110</v>
      </c>
      <c r="C215" t="s">
        <v>460</v>
      </c>
      <c r="D215" t="s">
        <v>179</v>
      </c>
      <c r="E215">
        <v>160</v>
      </c>
      <c r="F215">
        <v>5</v>
      </c>
      <c r="G215" t="s">
        <v>206</v>
      </c>
      <c r="H215">
        <v>164</v>
      </c>
      <c r="I215">
        <v>5</v>
      </c>
      <c r="J215" t="s">
        <v>461</v>
      </c>
      <c r="K215" t="s">
        <v>206</v>
      </c>
      <c r="L215" t="s">
        <v>26</v>
      </c>
      <c r="M215" t="s">
        <v>215</v>
      </c>
      <c r="N215" t="s">
        <v>28</v>
      </c>
      <c r="O215" t="s">
        <v>29</v>
      </c>
      <c r="P215">
        <v>5</v>
      </c>
      <c r="Q215">
        <v>0</v>
      </c>
      <c r="R215" t="s">
        <v>55</v>
      </c>
      <c r="S215" t="s">
        <v>39</v>
      </c>
      <c r="T215" t="s">
        <v>229</v>
      </c>
    </row>
    <row r="216" spans="1:20" x14ac:dyDescent="0.3">
      <c r="A216" t="s">
        <v>226</v>
      </c>
      <c r="B216" t="s">
        <v>116</v>
      </c>
      <c r="C216" t="s">
        <v>460</v>
      </c>
      <c r="D216" t="s">
        <v>238</v>
      </c>
      <c r="E216">
        <v>146</v>
      </c>
      <c r="F216">
        <v>6</v>
      </c>
      <c r="G216" t="s">
        <v>199</v>
      </c>
      <c r="H216">
        <v>150</v>
      </c>
      <c r="I216">
        <v>3</v>
      </c>
      <c r="J216" t="s">
        <v>462</v>
      </c>
      <c r="K216" t="s">
        <v>199</v>
      </c>
      <c r="L216" t="s">
        <v>26</v>
      </c>
      <c r="M216" t="s">
        <v>208</v>
      </c>
      <c r="N216" t="s">
        <v>28</v>
      </c>
      <c r="O216" t="s">
        <v>29</v>
      </c>
      <c r="P216">
        <v>7</v>
      </c>
      <c r="Q216">
        <v>0</v>
      </c>
      <c r="R216" t="s">
        <v>118</v>
      </c>
      <c r="S216" t="s">
        <v>50</v>
      </c>
      <c r="T216" t="s">
        <v>147</v>
      </c>
    </row>
    <row r="217" spans="1:20" x14ac:dyDescent="0.3">
      <c r="A217" t="s">
        <v>226</v>
      </c>
      <c r="B217" t="s">
        <v>132</v>
      </c>
      <c r="C217" t="s">
        <v>463</v>
      </c>
      <c r="D217" t="s">
        <v>179</v>
      </c>
      <c r="E217">
        <v>139</v>
      </c>
      <c r="F217">
        <v>4</v>
      </c>
      <c r="G217" t="s">
        <v>143</v>
      </c>
      <c r="H217">
        <v>140</v>
      </c>
      <c r="I217">
        <v>4</v>
      </c>
      <c r="J217" t="s">
        <v>464</v>
      </c>
      <c r="K217" t="s">
        <v>143</v>
      </c>
      <c r="L217" t="s">
        <v>26</v>
      </c>
      <c r="M217" t="s">
        <v>145</v>
      </c>
      <c r="N217" t="s">
        <v>28</v>
      </c>
      <c r="O217" t="s">
        <v>29</v>
      </c>
      <c r="P217">
        <v>6</v>
      </c>
      <c r="Q217">
        <v>0</v>
      </c>
      <c r="R217" t="s">
        <v>151</v>
      </c>
      <c r="S217" t="s">
        <v>229</v>
      </c>
      <c r="T217" t="s">
        <v>44</v>
      </c>
    </row>
    <row r="218" spans="1:20" x14ac:dyDescent="0.3">
      <c r="A218" t="s">
        <v>226</v>
      </c>
      <c r="B218" t="s">
        <v>138</v>
      </c>
      <c r="C218" t="s">
        <v>463</v>
      </c>
      <c r="D218" t="s">
        <v>206</v>
      </c>
      <c r="E218">
        <v>156</v>
      </c>
      <c r="F218">
        <v>5</v>
      </c>
      <c r="G218" t="s">
        <v>160</v>
      </c>
      <c r="H218">
        <v>157</v>
      </c>
      <c r="I218">
        <v>6</v>
      </c>
      <c r="J218" t="s">
        <v>188</v>
      </c>
      <c r="K218" t="s">
        <v>160</v>
      </c>
      <c r="L218" t="s">
        <v>26</v>
      </c>
      <c r="M218" t="s">
        <v>193</v>
      </c>
      <c r="N218" t="s">
        <v>28</v>
      </c>
      <c r="O218" t="s">
        <v>29</v>
      </c>
      <c r="P218">
        <v>4</v>
      </c>
      <c r="Q218">
        <v>0</v>
      </c>
      <c r="R218" t="s">
        <v>90</v>
      </c>
      <c r="S218" t="s">
        <v>50</v>
      </c>
      <c r="T218" t="s">
        <v>147</v>
      </c>
    </row>
    <row r="219" spans="1:20" x14ac:dyDescent="0.3">
      <c r="A219" t="s">
        <v>226</v>
      </c>
      <c r="B219" t="s">
        <v>148</v>
      </c>
      <c r="C219" t="s">
        <v>465</v>
      </c>
      <c r="D219" t="s">
        <v>199</v>
      </c>
      <c r="E219">
        <v>115</v>
      </c>
      <c r="F219">
        <v>7</v>
      </c>
      <c r="G219" t="s">
        <v>143</v>
      </c>
      <c r="H219">
        <v>120</v>
      </c>
      <c r="I219">
        <v>1</v>
      </c>
      <c r="J219" t="s">
        <v>217</v>
      </c>
      <c r="K219" t="s">
        <v>143</v>
      </c>
      <c r="L219" t="s">
        <v>26</v>
      </c>
      <c r="M219" t="s">
        <v>145</v>
      </c>
      <c r="N219" t="s">
        <v>28</v>
      </c>
      <c r="O219" t="s">
        <v>29</v>
      </c>
      <c r="P219">
        <v>9</v>
      </c>
      <c r="Q219">
        <v>0</v>
      </c>
      <c r="R219" t="s">
        <v>71</v>
      </c>
      <c r="S219" t="s">
        <v>66</v>
      </c>
      <c r="T219" t="s">
        <v>229</v>
      </c>
    </row>
    <row r="220" spans="1:20" x14ac:dyDescent="0.3">
      <c r="A220" t="s">
        <v>226</v>
      </c>
      <c r="B220" t="s">
        <v>156</v>
      </c>
      <c r="C220" t="s">
        <v>465</v>
      </c>
      <c r="D220" t="s">
        <v>206</v>
      </c>
      <c r="E220">
        <v>170</v>
      </c>
      <c r="F220">
        <v>7</v>
      </c>
      <c r="G220" t="s">
        <v>179</v>
      </c>
      <c r="H220">
        <v>152</v>
      </c>
      <c r="I220">
        <v>7</v>
      </c>
      <c r="J220" t="s">
        <v>466</v>
      </c>
      <c r="K220" t="s">
        <v>179</v>
      </c>
      <c r="L220" t="s">
        <v>26</v>
      </c>
      <c r="M220" t="s">
        <v>215</v>
      </c>
      <c r="N220" t="s">
        <v>28</v>
      </c>
      <c r="O220" t="s">
        <v>29</v>
      </c>
      <c r="P220">
        <v>0</v>
      </c>
      <c r="Q220">
        <v>18</v>
      </c>
      <c r="R220" t="s">
        <v>162</v>
      </c>
      <c r="S220" t="s">
        <v>50</v>
      </c>
      <c r="T220" t="s">
        <v>147</v>
      </c>
    </row>
    <row r="221" spans="1:20" x14ac:dyDescent="0.3">
      <c r="A221" t="s">
        <v>226</v>
      </c>
      <c r="B221" t="s">
        <v>163</v>
      </c>
      <c r="C221" t="s">
        <v>467</v>
      </c>
      <c r="D221" t="s">
        <v>238</v>
      </c>
      <c r="E221">
        <v>101</v>
      </c>
      <c r="F221">
        <v>9</v>
      </c>
      <c r="G221" t="s">
        <v>160</v>
      </c>
      <c r="H221">
        <v>106</v>
      </c>
      <c r="I221">
        <v>2</v>
      </c>
      <c r="J221" t="s">
        <v>235</v>
      </c>
      <c r="K221" t="s">
        <v>160</v>
      </c>
      <c r="L221" t="s">
        <v>26</v>
      </c>
      <c r="M221" t="s">
        <v>193</v>
      </c>
      <c r="N221" t="s">
        <v>28</v>
      </c>
      <c r="O221" t="s">
        <v>29</v>
      </c>
      <c r="P221">
        <v>8</v>
      </c>
      <c r="Q221">
        <v>0</v>
      </c>
      <c r="R221" t="s">
        <v>30</v>
      </c>
      <c r="S221" t="s">
        <v>39</v>
      </c>
      <c r="T221" t="s">
        <v>147</v>
      </c>
    </row>
    <row r="222" spans="1:20" x14ac:dyDescent="0.3">
      <c r="A222" t="s">
        <v>226</v>
      </c>
      <c r="B222" t="s">
        <v>168</v>
      </c>
      <c r="C222" t="s">
        <v>467</v>
      </c>
      <c r="D222" t="s">
        <v>113</v>
      </c>
      <c r="E222">
        <v>134</v>
      </c>
      <c r="F222">
        <v>5</v>
      </c>
      <c r="G222" t="s">
        <v>199</v>
      </c>
      <c r="H222">
        <v>138</v>
      </c>
      <c r="I222">
        <v>2</v>
      </c>
      <c r="J222" t="s">
        <v>87</v>
      </c>
      <c r="K222" t="s">
        <v>113</v>
      </c>
      <c r="L222" t="s">
        <v>37</v>
      </c>
      <c r="M222" t="s">
        <v>208</v>
      </c>
      <c r="N222" t="s">
        <v>28</v>
      </c>
      <c r="O222" t="s">
        <v>29</v>
      </c>
      <c r="P222">
        <v>8</v>
      </c>
      <c r="Q222">
        <v>0</v>
      </c>
      <c r="R222" t="s">
        <v>30</v>
      </c>
      <c r="S222" t="s">
        <v>72</v>
      </c>
      <c r="T222" t="s">
        <v>229</v>
      </c>
    </row>
    <row r="223" spans="1:20" x14ac:dyDescent="0.3">
      <c r="A223" t="s">
        <v>226</v>
      </c>
      <c r="B223" t="s">
        <v>170</v>
      </c>
      <c r="C223" t="s">
        <v>468</v>
      </c>
      <c r="D223" t="s">
        <v>238</v>
      </c>
      <c r="E223">
        <v>135</v>
      </c>
      <c r="F223">
        <v>5</v>
      </c>
      <c r="G223" t="s">
        <v>206</v>
      </c>
      <c r="H223">
        <v>138</v>
      </c>
      <c r="I223">
        <v>4</v>
      </c>
      <c r="J223" t="s">
        <v>157</v>
      </c>
      <c r="K223" t="s">
        <v>206</v>
      </c>
      <c r="L223" t="s">
        <v>26</v>
      </c>
      <c r="M223" t="s">
        <v>215</v>
      </c>
      <c r="N223" t="s">
        <v>469</v>
      </c>
      <c r="O223" t="s">
        <v>470</v>
      </c>
      <c r="P223">
        <v>6</v>
      </c>
      <c r="Q223">
        <v>0</v>
      </c>
      <c r="R223" t="s">
        <v>151</v>
      </c>
      <c r="S223" t="s">
        <v>72</v>
      </c>
      <c r="T223" t="s">
        <v>66</v>
      </c>
    </row>
    <row r="224" spans="1:20" x14ac:dyDescent="0.3">
      <c r="A224" t="s">
        <v>226</v>
      </c>
      <c r="B224" t="s">
        <v>176</v>
      </c>
      <c r="C224" t="s">
        <v>468</v>
      </c>
      <c r="D224" t="s">
        <v>179</v>
      </c>
      <c r="E224">
        <v>166</v>
      </c>
      <c r="F224">
        <v>4</v>
      </c>
      <c r="G224" t="s">
        <v>113</v>
      </c>
      <c r="H224">
        <v>155</v>
      </c>
      <c r="I224">
        <v>8</v>
      </c>
      <c r="J224" t="s">
        <v>94</v>
      </c>
      <c r="K224" t="s">
        <v>113</v>
      </c>
      <c r="L224" t="s">
        <v>26</v>
      </c>
      <c r="M224" t="s">
        <v>245</v>
      </c>
      <c r="N224" t="s">
        <v>469</v>
      </c>
      <c r="O224" t="s">
        <v>470</v>
      </c>
      <c r="P224">
        <v>0</v>
      </c>
      <c r="Q224">
        <v>11</v>
      </c>
      <c r="R224" t="s">
        <v>273</v>
      </c>
      <c r="S224" t="s">
        <v>229</v>
      </c>
      <c r="T224" t="s">
        <v>44</v>
      </c>
    </row>
    <row r="225" spans="1:20" x14ac:dyDescent="0.3">
      <c r="A225" t="s">
        <v>226</v>
      </c>
      <c r="B225" t="s">
        <v>180</v>
      </c>
      <c r="C225" t="s">
        <v>471</v>
      </c>
      <c r="D225" t="s">
        <v>238</v>
      </c>
      <c r="E225">
        <v>205</v>
      </c>
      <c r="F225">
        <v>6</v>
      </c>
      <c r="G225" t="s">
        <v>199</v>
      </c>
      <c r="H225">
        <v>172</v>
      </c>
      <c r="I225">
        <v>8</v>
      </c>
      <c r="J225" t="s">
        <v>472</v>
      </c>
      <c r="K225" t="s">
        <v>199</v>
      </c>
      <c r="L225" t="s">
        <v>26</v>
      </c>
      <c r="M225" t="s">
        <v>250</v>
      </c>
      <c r="N225" t="s">
        <v>469</v>
      </c>
      <c r="O225" t="s">
        <v>470</v>
      </c>
      <c r="P225">
        <v>0</v>
      </c>
      <c r="Q225">
        <v>33</v>
      </c>
      <c r="R225" t="s">
        <v>131</v>
      </c>
      <c r="S225" t="s">
        <v>72</v>
      </c>
      <c r="T225" t="s">
        <v>229</v>
      </c>
    </row>
    <row r="226" spans="1:20" x14ac:dyDescent="0.3">
      <c r="A226" t="s">
        <v>226</v>
      </c>
      <c r="B226" t="s">
        <v>186</v>
      </c>
      <c r="C226" t="s">
        <v>471</v>
      </c>
      <c r="D226" t="s">
        <v>179</v>
      </c>
      <c r="E226">
        <v>143</v>
      </c>
      <c r="F226">
        <v>7</v>
      </c>
      <c r="G226" t="s">
        <v>143</v>
      </c>
      <c r="H226">
        <v>144</v>
      </c>
      <c r="I226">
        <v>2</v>
      </c>
      <c r="J226" t="s">
        <v>268</v>
      </c>
      <c r="K226" t="s">
        <v>143</v>
      </c>
      <c r="L226" t="s">
        <v>26</v>
      </c>
      <c r="M226" t="s">
        <v>145</v>
      </c>
      <c r="N226" t="s">
        <v>469</v>
      </c>
      <c r="O226" t="s">
        <v>470</v>
      </c>
      <c r="P226">
        <v>8</v>
      </c>
      <c r="Q226">
        <v>0</v>
      </c>
      <c r="R226" t="s">
        <v>30</v>
      </c>
      <c r="S226" t="s">
        <v>66</v>
      </c>
      <c r="T226" t="s">
        <v>44</v>
      </c>
    </row>
    <row r="227" spans="1:20" x14ac:dyDescent="0.3">
      <c r="A227" t="s">
        <v>226</v>
      </c>
      <c r="B227" t="s">
        <v>190</v>
      </c>
      <c r="C227" t="s">
        <v>473</v>
      </c>
      <c r="D227" t="s">
        <v>160</v>
      </c>
      <c r="E227">
        <v>202</v>
      </c>
      <c r="F227">
        <v>7</v>
      </c>
      <c r="G227" t="s">
        <v>206</v>
      </c>
      <c r="H227">
        <v>137</v>
      </c>
      <c r="I227">
        <v>10</v>
      </c>
      <c r="J227" t="s">
        <v>272</v>
      </c>
      <c r="K227" t="s">
        <v>206</v>
      </c>
      <c r="L227" t="s">
        <v>26</v>
      </c>
      <c r="M227" t="s">
        <v>193</v>
      </c>
      <c r="N227" t="s">
        <v>469</v>
      </c>
      <c r="O227" t="s">
        <v>470</v>
      </c>
      <c r="P227">
        <v>0</v>
      </c>
      <c r="Q227">
        <v>65</v>
      </c>
      <c r="R227" t="s">
        <v>474</v>
      </c>
      <c r="S227" t="s">
        <v>241</v>
      </c>
      <c r="T227" t="s">
        <v>229</v>
      </c>
    </row>
    <row r="228" spans="1:20" x14ac:dyDescent="0.3">
      <c r="A228" t="s">
        <v>226</v>
      </c>
      <c r="B228" t="s">
        <v>195</v>
      </c>
      <c r="C228" t="s">
        <v>473</v>
      </c>
      <c r="D228" t="s">
        <v>143</v>
      </c>
      <c r="E228">
        <v>145</v>
      </c>
      <c r="F228">
        <v>6</v>
      </c>
      <c r="G228" t="s">
        <v>238</v>
      </c>
      <c r="H228">
        <v>148</v>
      </c>
      <c r="I228">
        <v>6</v>
      </c>
      <c r="J228" t="s">
        <v>262</v>
      </c>
      <c r="K228" t="s">
        <v>238</v>
      </c>
      <c r="L228" t="s">
        <v>26</v>
      </c>
      <c r="M228" t="s">
        <v>250</v>
      </c>
      <c r="N228" t="s">
        <v>469</v>
      </c>
      <c r="O228" t="s">
        <v>470</v>
      </c>
      <c r="P228">
        <v>4</v>
      </c>
      <c r="Q228">
        <v>0</v>
      </c>
      <c r="R228" t="s">
        <v>90</v>
      </c>
      <c r="S228" t="s">
        <v>50</v>
      </c>
      <c r="T228" t="s">
        <v>66</v>
      </c>
    </row>
    <row r="229" spans="1:20" x14ac:dyDescent="0.3">
      <c r="A229" t="s">
        <v>226</v>
      </c>
      <c r="B229" t="s">
        <v>33</v>
      </c>
      <c r="C229" t="s">
        <v>475</v>
      </c>
      <c r="D229" t="s">
        <v>199</v>
      </c>
      <c r="E229">
        <v>154</v>
      </c>
      <c r="F229">
        <v>8</v>
      </c>
      <c r="G229" t="s">
        <v>113</v>
      </c>
      <c r="H229">
        <v>155</v>
      </c>
      <c r="I229">
        <v>4</v>
      </c>
      <c r="J229" t="s">
        <v>183</v>
      </c>
      <c r="K229" t="s">
        <v>113</v>
      </c>
      <c r="L229" t="s">
        <v>26</v>
      </c>
      <c r="M229" t="s">
        <v>189</v>
      </c>
      <c r="N229" t="s">
        <v>469</v>
      </c>
      <c r="O229" t="s">
        <v>470</v>
      </c>
      <c r="P229">
        <v>6</v>
      </c>
      <c r="Q229">
        <v>0</v>
      </c>
      <c r="R229" t="s">
        <v>151</v>
      </c>
      <c r="S229" t="s">
        <v>50</v>
      </c>
      <c r="T229" t="s">
        <v>225</v>
      </c>
    </row>
    <row r="230" spans="1:20" x14ac:dyDescent="0.3">
      <c r="A230" t="s">
        <v>226</v>
      </c>
      <c r="B230" t="s">
        <v>40</v>
      </c>
      <c r="C230" t="s">
        <v>475</v>
      </c>
      <c r="D230" t="s">
        <v>160</v>
      </c>
      <c r="E230">
        <v>136</v>
      </c>
      <c r="F230">
        <v>7</v>
      </c>
      <c r="G230" t="s">
        <v>238</v>
      </c>
      <c r="H230">
        <v>137</v>
      </c>
      <c r="I230">
        <v>1</v>
      </c>
      <c r="J230" t="s">
        <v>262</v>
      </c>
      <c r="K230" t="s">
        <v>238</v>
      </c>
      <c r="L230" t="s">
        <v>26</v>
      </c>
      <c r="M230" t="s">
        <v>250</v>
      </c>
      <c r="N230" t="s">
        <v>469</v>
      </c>
      <c r="O230" t="s">
        <v>470</v>
      </c>
      <c r="P230">
        <v>9</v>
      </c>
      <c r="Q230">
        <v>0</v>
      </c>
      <c r="R230" t="s">
        <v>71</v>
      </c>
      <c r="S230" t="s">
        <v>66</v>
      </c>
      <c r="T230" t="s">
        <v>229</v>
      </c>
    </row>
    <row r="231" spans="1:20" x14ac:dyDescent="0.3">
      <c r="A231" t="s">
        <v>251</v>
      </c>
      <c r="B231" t="s">
        <v>321</v>
      </c>
      <c r="C231" t="s">
        <v>476</v>
      </c>
      <c r="D231" t="s">
        <v>199</v>
      </c>
      <c r="E231">
        <v>141</v>
      </c>
      <c r="F231">
        <v>8</v>
      </c>
      <c r="G231" t="s">
        <v>113</v>
      </c>
      <c r="H231">
        <v>145</v>
      </c>
      <c r="I231">
        <v>4</v>
      </c>
      <c r="J231" t="s">
        <v>477</v>
      </c>
      <c r="K231" t="s">
        <v>199</v>
      </c>
      <c r="L231" t="s">
        <v>37</v>
      </c>
      <c r="M231" t="s">
        <v>189</v>
      </c>
      <c r="N231" t="s">
        <v>88</v>
      </c>
      <c r="O231" t="s">
        <v>89</v>
      </c>
      <c r="P231">
        <v>6</v>
      </c>
      <c r="Q231">
        <v>0</v>
      </c>
      <c r="R231" t="s">
        <v>151</v>
      </c>
      <c r="S231" t="s">
        <v>255</v>
      </c>
      <c r="T231" t="s">
        <v>66</v>
      </c>
    </row>
    <row r="232" spans="1:20" x14ac:dyDescent="0.3">
      <c r="A232" t="s">
        <v>251</v>
      </c>
      <c r="B232" t="s">
        <v>324</v>
      </c>
      <c r="C232" t="s">
        <v>476</v>
      </c>
      <c r="D232" t="s">
        <v>179</v>
      </c>
      <c r="E232">
        <v>116</v>
      </c>
      <c r="F232">
        <v>8</v>
      </c>
      <c r="G232" t="s">
        <v>143</v>
      </c>
      <c r="H232">
        <v>117</v>
      </c>
      <c r="I232">
        <v>3</v>
      </c>
      <c r="J232" t="s">
        <v>235</v>
      </c>
      <c r="K232" t="s">
        <v>179</v>
      </c>
      <c r="L232" t="s">
        <v>37</v>
      </c>
      <c r="M232" t="s">
        <v>145</v>
      </c>
      <c r="N232" t="s">
        <v>88</v>
      </c>
      <c r="O232" t="s">
        <v>89</v>
      </c>
      <c r="P232">
        <v>7</v>
      </c>
      <c r="Q232">
        <v>0</v>
      </c>
      <c r="R232" t="s">
        <v>118</v>
      </c>
      <c r="S232" t="s">
        <v>50</v>
      </c>
      <c r="T232" t="s">
        <v>147</v>
      </c>
    </row>
    <row r="233" spans="1:20" x14ac:dyDescent="0.3">
      <c r="A233" t="s">
        <v>251</v>
      </c>
      <c r="B233" t="s">
        <v>326</v>
      </c>
      <c r="C233" t="s">
        <v>478</v>
      </c>
      <c r="D233" t="s">
        <v>160</v>
      </c>
      <c r="E233">
        <v>186</v>
      </c>
      <c r="F233">
        <v>6</v>
      </c>
      <c r="G233" t="s">
        <v>113</v>
      </c>
      <c r="H233">
        <v>189</v>
      </c>
      <c r="I233">
        <v>2</v>
      </c>
      <c r="J233" t="s">
        <v>479</v>
      </c>
      <c r="K233" t="s">
        <v>160</v>
      </c>
      <c r="L233" t="s">
        <v>37</v>
      </c>
      <c r="M233" t="s">
        <v>189</v>
      </c>
      <c r="N233" t="s">
        <v>88</v>
      </c>
      <c r="O233" t="s">
        <v>89</v>
      </c>
      <c r="P233">
        <v>8</v>
      </c>
      <c r="Q233">
        <v>0</v>
      </c>
      <c r="R233" t="s">
        <v>30</v>
      </c>
      <c r="S233" t="s">
        <v>66</v>
      </c>
      <c r="T233" t="s">
        <v>147</v>
      </c>
    </row>
    <row r="234" spans="1:20" x14ac:dyDescent="0.3">
      <c r="A234" t="s">
        <v>251</v>
      </c>
      <c r="B234" t="s">
        <v>328</v>
      </c>
      <c r="C234" t="s">
        <v>478</v>
      </c>
      <c r="D234" t="s">
        <v>143</v>
      </c>
      <c r="E234">
        <v>237</v>
      </c>
      <c r="F234">
        <v>5</v>
      </c>
      <c r="G234" t="s">
        <v>206</v>
      </c>
      <c r="H234">
        <v>157</v>
      </c>
      <c r="I234">
        <v>10</v>
      </c>
      <c r="J234" t="s">
        <v>259</v>
      </c>
      <c r="K234" t="s">
        <v>206</v>
      </c>
      <c r="L234" t="s">
        <v>26</v>
      </c>
      <c r="M234" t="s">
        <v>145</v>
      </c>
      <c r="N234" t="s">
        <v>88</v>
      </c>
      <c r="O234" t="s">
        <v>89</v>
      </c>
      <c r="P234">
        <v>0</v>
      </c>
      <c r="Q234">
        <v>80</v>
      </c>
      <c r="R234" t="s">
        <v>480</v>
      </c>
      <c r="S234" t="s">
        <v>267</v>
      </c>
      <c r="T234" t="s">
        <v>225</v>
      </c>
    </row>
    <row r="235" spans="1:20" x14ac:dyDescent="0.3">
      <c r="A235" t="s">
        <v>251</v>
      </c>
      <c r="B235" t="s">
        <v>330</v>
      </c>
      <c r="C235" t="s">
        <v>481</v>
      </c>
      <c r="D235" t="s">
        <v>199</v>
      </c>
      <c r="E235">
        <v>198</v>
      </c>
      <c r="F235">
        <v>5</v>
      </c>
      <c r="G235" t="s">
        <v>179</v>
      </c>
      <c r="H235">
        <v>191</v>
      </c>
      <c r="I235">
        <v>8</v>
      </c>
      <c r="J235" t="s">
        <v>306</v>
      </c>
      <c r="K235" t="s">
        <v>179</v>
      </c>
      <c r="L235" t="s">
        <v>26</v>
      </c>
      <c r="M235" t="s">
        <v>208</v>
      </c>
      <c r="N235" t="s">
        <v>88</v>
      </c>
      <c r="O235" t="s">
        <v>89</v>
      </c>
      <c r="P235">
        <v>0</v>
      </c>
      <c r="Q235">
        <v>7</v>
      </c>
      <c r="R235" t="s">
        <v>364</v>
      </c>
      <c r="S235" t="s">
        <v>44</v>
      </c>
      <c r="T235" t="s">
        <v>267</v>
      </c>
    </row>
    <row r="236" spans="1:20" x14ac:dyDescent="0.3">
      <c r="A236" t="s">
        <v>251</v>
      </c>
      <c r="B236" t="s">
        <v>334</v>
      </c>
      <c r="C236" t="s">
        <v>481</v>
      </c>
      <c r="D236" t="s">
        <v>238</v>
      </c>
      <c r="E236">
        <v>195</v>
      </c>
      <c r="F236">
        <v>4</v>
      </c>
      <c r="G236" t="s">
        <v>206</v>
      </c>
      <c r="H236">
        <v>137</v>
      </c>
      <c r="I236">
        <v>10</v>
      </c>
      <c r="J236" t="s">
        <v>482</v>
      </c>
      <c r="K236" t="s">
        <v>238</v>
      </c>
      <c r="L236" t="s">
        <v>37</v>
      </c>
      <c r="M236" t="s">
        <v>250</v>
      </c>
      <c r="N236" t="s">
        <v>88</v>
      </c>
      <c r="O236" t="s">
        <v>89</v>
      </c>
      <c r="P236">
        <v>0</v>
      </c>
      <c r="Q236">
        <v>58</v>
      </c>
      <c r="R236" t="s">
        <v>483</v>
      </c>
      <c r="S236" t="s">
        <v>255</v>
      </c>
      <c r="T236" t="s">
        <v>56</v>
      </c>
    </row>
    <row r="237" spans="1:20" x14ac:dyDescent="0.3">
      <c r="A237" t="s">
        <v>251</v>
      </c>
      <c r="B237" t="s">
        <v>336</v>
      </c>
      <c r="C237" t="s">
        <v>484</v>
      </c>
      <c r="D237" t="s">
        <v>113</v>
      </c>
      <c r="E237">
        <v>239</v>
      </c>
      <c r="F237">
        <v>4</v>
      </c>
      <c r="G237" t="s">
        <v>179</v>
      </c>
      <c r="H237">
        <v>167</v>
      </c>
      <c r="I237">
        <v>8</v>
      </c>
      <c r="J237" t="s">
        <v>485</v>
      </c>
      <c r="K237" t="s">
        <v>179</v>
      </c>
      <c r="L237" t="s">
        <v>26</v>
      </c>
      <c r="M237" t="s">
        <v>189</v>
      </c>
      <c r="N237" t="s">
        <v>88</v>
      </c>
      <c r="O237" t="s">
        <v>89</v>
      </c>
      <c r="P237">
        <v>0</v>
      </c>
      <c r="Q237">
        <v>72</v>
      </c>
      <c r="R237" t="s">
        <v>167</v>
      </c>
      <c r="S237" t="s">
        <v>255</v>
      </c>
      <c r="T237" t="s">
        <v>44</v>
      </c>
    </row>
    <row r="238" spans="1:20" x14ac:dyDescent="0.3">
      <c r="A238" t="s">
        <v>251</v>
      </c>
      <c r="B238" t="s">
        <v>45</v>
      </c>
      <c r="C238" t="s">
        <v>484</v>
      </c>
      <c r="D238" t="s">
        <v>238</v>
      </c>
      <c r="E238">
        <v>180</v>
      </c>
      <c r="F238">
        <v>6</v>
      </c>
      <c r="G238" t="s">
        <v>199</v>
      </c>
      <c r="H238">
        <v>104</v>
      </c>
      <c r="I238">
        <v>10</v>
      </c>
      <c r="J238" t="s">
        <v>70</v>
      </c>
      <c r="K238" t="s">
        <v>199</v>
      </c>
      <c r="L238" t="s">
        <v>26</v>
      </c>
      <c r="M238" t="s">
        <v>250</v>
      </c>
      <c r="N238" t="s">
        <v>88</v>
      </c>
      <c r="O238" t="s">
        <v>89</v>
      </c>
      <c r="P238">
        <v>0</v>
      </c>
      <c r="Q238">
        <v>76</v>
      </c>
      <c r="R238" t="s">
        <v>486</v>
      </c>
      <c r="S238" t="s">
        <v>216</v>
      </c>
      <c r="T238" t="s">
        <v>267</v>
      </c>
    </row>
    <row r="239" spans="1:20" x14ac:dyDescent="0.3">
      <c r="A239" t="s">
        <v>251</v>
      </c>
      <c r="B239" t="s">
        <v>51</v>
      </c>
      <c r="C239" t="s">
        <v>487</v>
      </c>
      <c r="D239" t="s">
        <v>206</v>
      </c>
      <c r="E239">
        <v>170</v>
      </c>
      <c r="F239">
        <v>9</v>
      </c>
      <c r="G239" t="s">
        <v>238</v>
      </c>
      <c r="H239">
        <v>149</v>
      </c>
      <c r="I239">
        <v>7</v>
      </c>
      <c r="J239" t="s">
        <v>488</v>
      </c>
      <c r="K239" t="s">
        <v>238</v>
      </c>
      <c r="L239" t="s">
        <v>26</v>
      </c>
      <c r="M239" t="s">
        <v>215</v>
      </c>
      <c r="N239" t="s">
        <v>28</v>
      </c>
      <c r="O239" t="s">
        <v>29</v>
      </c>
      <c r="P239">
        <v>0</v>
      </c>
      <c r="Q239">
        <v>21</v>
      </c>
      <c r="R239" t="s">
        <v>165</v>
      </c>
      <c r="S239" t="s">
        <v>255</v>
      </c>
      <c r="T239" t="s">
        <v>216</v>
      </c>
    </row>
    <row r="240" spans="1:20" x14ac:dyDescent="0.3">
      <c r="A240" t="s">
        <v>251</v>
      </c>
      <c r="B240" t="s">
        <v>58</v>
      </c>
      <c r="C240" t="s">
        <v>487</v>
      </c>
      <c r="D240" t="s">
        <v>199</v>
      </c>
      <c r="E240">
        <v>157</v>
      </c>
      <c r="F240">
        <v>5</v>
      </c>
      <c r="G240" t="s">
        <v>179</v>
      </c>
      <c r="H240">
        <v>159</v>
      </c>
      <c r="I240">
        <v>4</v>
      </c>
      <c r="J240" t="s">
        <v>150</v>
      </c>
      <c r="K240" t="s">
        <v>179</v>
      </c>
      <c r="L240" t="s">
        <v>26</v>
      </c>
      <c r="M240" t="s">
        <v>245</v>
      </c>
      <c r="N240" t="s">
        <v>28</v>
      </c>
      <c r="O240" t="s">
        <v>29</v>
      </c>
      <c r="P240">
        <v>6</v>
      </c>
      <c r="Q240">
        <v>0</v>
      </c>
      <c r="R240" t="s">
        <v>151</v>
      </c>
      <c r="S240" t="s">
        <v>39</v>
      </c>
      <c r="T240" t="s">
        <v>147</v>
      </c>
    </row>
    <row r="241" spans="1:20" x14ac:dyDescent="0.3">
      <c r="A241" t="s">
        <v>251</v>
      </c>
      <c r="B241" t="s">
        <v>60</v>
      </c>
      <c r="C241" t="s">
        <v>489</v>
      </c>
      <c r="D241" t="s">
        <v>143</v>
      </c>
      <c r="E241">
        <v>153</v>
      </c>
      <c r="F241">
        <v>8</v>
      </c>
      <c r="G241" t="s">
        <v>160</v>
      </c>
      <c r="H241">
        <v>146</v>
      </c>
      <c r="I241">
        <v>9</v>
      </c>
      <c r="J241" t="s">
        <v>434</v>
      </c>
      <c r="K241" t="s">
        <v>160</v>
      </c>
      <c r="L241" t="s">
        <v>26</v>
      </c>
      <c r="M241" t="s">
        <v>145</v>
      </c>
      <c r="N241" t="s">
        <v>28</v>
      </c>
      <c r="O241" t="s">
        <v>29</v>
      </c>
      <c r="P241">
        <v>0</v>
      </c>
      <c r="Q241">
        <v>7</v>
      </c>
      <c r="R241" t="s">
        <v>364</v>
      </c>
      <c r="S241" t="s">
        <v>50</v>
      </c>
      <c r="T241" t="s">
        <v>147</v>
      </c>
    </row>
    <row r="242" spans="1:20" x14ac:dyDescent="0.3">
      <c r="A242" t="s">
        <v>251</v>
      </c>
      <c r="B242" t="s">
        <v>67</v>
      </c>
      <c r="C242" t="s">
        <v>489</v>
      </c>
      <c r="D242" t="s">
        <v>206</v>
      </c>
      <c r="E242">
        <v>181</v>
      </c>
      <c r="F242">
        <v>6</v>
      </c>
      <c r="G242" t="s">
        <v>113</v>
      </c>
      <c r="H242">
        <v>183</v>
      </c>
      <c r="I242">
        <v>4</v>
      </c>
      <c r="J242" t="s">
        <v>477</v>
      </c>
      <c r="K242" t="s">
        <v>113</v>
      </c>
      <c r="L242" t="s">
        <v>26</v>
      </c>
      <c r="M242" t="s">
        <v>189</v>
      </c>
      <c r="N242" t="s">
        <v>28</v>
      </c>
      <c r="O242" t="s">
        <v>29</v>
      </c>
      <c r="P242">
        <v>6</v>
      </c>
      <c r="Q242">
        <v>0</v>
      </c>
      <c r="R242" t="s">
        <v>151</v>
      </c>
      <c r="S242" t="s">
        <v>44</v>
      </c>
      <c r="T242" t="s">
        <v>267</v>
      </c>
    </row>
    <row r="243" spans="1:20" x14ac:dyDescent="0.3">
      <c r="A243" t="s">
        <v>251</v>
      </c>
      <c r="B243" t="s">
        <v>68</v>
      </c>
      <c r="C243" t="s">
        <v>490</v>
      </c>
      <c r="D243" t="s">
        <v>160</v>
      </c>
      <c r="E243">
        <v>139</v>
      </c>
      <c r="F243">
        <v>9</v>
      </c>
      <c r="G243" t="s">
        <v>179</v>
      </c>
      <c r="H243">
        <v>145</v>
      </c>
      <c r="I243">
        <v>7</v>
      </c>
      <c r="J243" t="s">
        <v>302</v>
      </c>
      <c r="K243" t="s">
        <v>160</v>
      </c>
      <c r="L243" t="s">
        <v>37</v>
      </c>
      <c r="M243" t="s">
        <v>245</v>
      </c>
      <c r="N243" t="s">
        <v>28</v>
      </c>
      <c r="O243" t="s">
        <v>29</v>
      </c>
      <c r="P243">
        <v>3</v>
      </c>
      <c r="Q243">
        <v>0</v>
      </c>
      <c r="R243" t="s">
        <v>49</v>
      </c>
      <c r="S243" t="s">
        <v>39</v>
      </c>
      <c r="T243" t="s">
        <v>147</v>
      </c>
    </row>
    <row r="244" spans="1:20" x14ac:dyDescent="0.3">
      <c r="A244" t="s">
        <v>251</v>
      </c>
      <c r="B244" t="s">
        <v>78</v>
      </c>
      <c r="C244" t="s">
        <v>490</v>
      </c>
      <c r="D244" t="s">
        <v>199</v>
      </c>
      <c r="E244">
        <v>176</v>
      </c>
      <c r="F244">
        <v>3</v>
      </c>
      <c r="G244" t="s">
        <v>143</v>
      </c>
      <c r="H244">
        <v>138</v>
      </c>
      <c r="I244">
        <v>10</v>
      </c>
      <c r="J244" t="s">
        <v>271</v>
      </c>
      <c r="K244" t="s">
        <v>143</v>
      </c>
      <c r="L244" t="s">
        <v>26</v>
      </c>
      <c r="M244" t="s">
        <v>208</v>
      </c>
      <c r="N244" t="s">
        <v>28</v>
      </c>
      <c r="O244" t="s">
        <v>29</v>
      </c>
      <c r="P244">
        <v>0</v>
      </c>
      <c r="Q244">
        <v>38</v>
      </c>
      <c r="R244" t="s">
        <v>491</v>
      </c>
      <c r="S244" t="s">
        <v>44</v>
      </c>
      <c r="T244" t="s">
        <v>267</v>
      </c>
    </row>
    <row r="245" spans="1:20" x14ac:dyDescent="0.3">
      <c r="A245" t="s">
        <v>251</v>
      </c>
      <c r="B245" t="s">
        <v>85</v>
      </c>
      <c r="C245" t="s">
        <v>492</v>
      </c>
      <c r="D245" t="s">
        <v>179</v>
      </c>
      <c r="E245">
        <v>214</v>
      </c>
      <c r="F245">
        <v>4</v>
      </c>
      <c r="G245" t="s">
        <v>206</v>
      </c>
      <c r="H245">
        <v>188</v>
      </c>
      <c r="I245">
        <v>8</v>
      </c>
      <c r="J245" t="s">
        <v>150</v>
      </c>
      <c r="K245" t="s">
        <v>206</v>
      </c>
      <c r="L245" t="s">
        <v>26</v>
      </c>
      <c r="M245" t="s">
        <v>245</v>
      </c>
      <c r="N245" t="s">
        <v>469</v>
      </c>
      <c r="O245" t="s">
        <v>470</v>
      </c>
      <c r="P245">
        <v>0</v>
      </c>
      <c r="Q245">
        <v>26</v>
      </c>
      <c r="R245" t="s">
        <v>115</v>
      </c>
      <c r="S245" t="s">
        <v>147</v>
      </c>
      <c r="T245" t="s">
        <v>225</v>
      </c>
    </row>
    <row r="246" spans="1:20" x14ac:dyDescent="0.3">
      <c r="A246" t="s">
        <v>251</v>
      </c>
      <c r="B246" t="s">
        <v>91</v>
      </c>
      <c r="C246" t="s">
        <v>492</v>
      </c>
      <c r="D246" t="s">
        <v>238</v>
      </c>
      <c r="E246">
        <v>194</v>
      </c>
      <c r="F246">
        <v>4</v>
      </c>
      <c r="G246" t="s">
        <v>113</v>
      </c>
      <c r="H246">
        <v>195</v>
      </c>
      <c r="I246">
        <v>6</v>
      </c>
      <c r="J246" t="s">
        <v>461</v>
      </c>
      <c r="K246" t="s">
        <v>113</v>
      </c>
      <c r="L246" t="s">
        <v>26</v>
      </c>
      <c r="M246" t="s">
        <v>189</v>
      </c>
      <c r="N246" t="s">
        <v>469</v>
      </c>
      <c r="O246" t="s">
        <v>470</v>
      </c>
      <c r="P246">
        <v>4</v>
      </c>
      <c r="Q246">
        <v>0</v>
      </c>
      <c r="R246" t="s">
        <v>90</v>
      </c>
      <c r="S246" t="s">
        <v>255</v>
      </c>
      <c r="T246" t="s">
        <v>56</v>
      </c>
    </row>
    <row r="247" spans="1:20" x14ac:dyDescent="0.3">
      <c r="A247" t="s">
        <v>251</v>
      </c>
      <c r="B247" t="s">
        <v>95</v>
      </c>
      <c r="C247" t="s">
        <v>493</v>
      </c>
      <c r="D247" t="s">
        <v>206</v>
      </c>
      <c r="E247">
        <v>181</v>
      </c>
      <c r="F247">
        <v>7</v>
      </c>
      <c r="G247" t="s">
        <v>143</v>
      </c>
      <c r="H247">
        <v>186</v>
      </c>
      <c r="I247">
        <v>7</v>
      </c>
      <c r="J247" t="s">
        <v>253</v>
      </c>
      <c r="K247" t="s">
        <v>143</v>
      </c>
      <c r="L247" t="s">
        <v>26</v>
      </c>
      <c r="M247" t="s">
        <v>145</v>
      </c>
      <c r="N247" t="s">
        <v>469</v>
      </c>
      <c r="O247" t="s">
        <v>470</v>
      </c>
      <c r="P247">
        <v>3</v>
      </c>
      <c r="Q247">
        <v>0</v>
      </c>
      <c r="R247" t="s">
        <v>49</v>
      </c>
      <c r="S247" t="s">
        <v>255</v>
      </c>
      <c r="T247" t="s">
        <v>56</v>
      </c>
    </row>
    <row r="248" spans="1:20" x14ac:dyDescent="0.3">
      <c r="A248" t="s">
        <v>251</v>
      </c>
      <c r="B248" t="s">
        <v>104</v>
      </c>
      <c r="C248" t="s">
        <v>493</v>
      </c>
      <c r="D248" t="s">
        <v>238</v>
      </c>
      <c r="E248">
        <v>158</v>
      </c>
      <c r="F248">
        <v>8</v>
      </c>
      <c r="G248" t="s">
        <v>160</v>
      </c>
      <c r="H248">
        <v>163</v>
      </c>
      <c r="I248">
        <v>4</v>
      </c>
      <c r="J248" t="s">
        <v>108</v>
      </c>
      <c r="K248" t="s">
        <v>238</v>
      </c>
      <c r="L248" t="s">
        <v>37</v>
      </c>
      <c r="M248" t="s">
        <v>193</v>
      </c>
      <c r="N248" t="s">
        <v>469</v>
      </c>
      <c r="O248" t="s">
        <v>470</v>
      </c>
      <c r="P248">
        <v>6</v>
      </c>
      <c r="Q248">
        <v>0</v>
      </c>
      <c r="R248" t="s">
        <v>151</v>
      </c>
      <c r="S248" t="s">
        <v>66</v>
      </c>
      <c r="T248" t="s">
        <v>147</v>
      </c>
    </row>
    <row r="249" spans="1:20" x14ac:dyDescent="0.3">
      <c r="A249" t="s">
        <v>251</v>
      </c>
      <c r="B249" t="s">
        <v>110</v>
      </c>
      <c r="C249" t="s">
        <v>494</v>
      </c>
      <c r="D249" t="s">
        <v>238</v>
      </c>
      <c r="E249">
        <v>187</v>
      </c>
      <c r="F249">
        <v>5</v>
      </c>
      <c r="G249" t="s">
        <v>113</v>
      </c>
      <c r="H249">
        <v>160</v>
      </c>
      <c r="I249">
        <v>6</v>
      </c>
      <c r="J249" t="s">
        <v>239</v>
      </c>
      <c r="K249" t="s">
        <v>113</v>
      </c>
      <c r="L249" t="s">
        <v>26</v>
      </c>
      <c r="M249" t="s">
        <v>250</v>
      </c>
      <c r="N249" t="s">
        <v>469</v>
      </c>
      <c r="O249" t="s">
        <v>470</v>
      </c>
      <c r="P249">
        <v>0</v>
      </c>
      <c r="Q249">
        <v>27</v>
      </c>
      <c r="R249" t="s">
        <v>285</v>
      </c>
      <c r="S249" t="s">
        <v>66</v>
      </c>
      <c r="T249" t="s">
        <v>147</v>
      </c>
    </row>
    <row r="250" spans="1:20" x14ac:dyDescent="0.3">
      <c r="A250" t="s">
        <v>251</v>
      </c>
      <c r="B250" t="s">
        <v>116</v>
      </c>
      <c r="C250" t="s">
        <v>494</v>
      </c>
      <c r="D250" t="s">
        <v>199</v>
      </c>
      <c r="E250">
        <v>136</v>
      </c>
      <c r="F250">
        <v>6</v>
      </c>
      <c r="G250" t="s">
        <v>160</v>
      </c>
      <c r="H250">
        <v>116</v>
      </c>
      <c r="I250">
        <v>9</v>
      </c>
      <c r="J250" t="s">
        <v>377</v>
      </c>
      <c r="K250" t="s">
        <v>199</v>
      </c>
      <c r="L250" t="s">
        <v>37</v>
      </c>
      <c r="M250" t="s">
        <v>208</v>
      </c>
      <c r="N250" t="s">
        <v>469</v>
      </c>
      <c r="O250" t="s">
        <v>470</v>
      </c>
      <c r="P250">
        <v>0</v>
      </c>
      <c r="Q250">
        <v>20</v>
      </c>
      <c r="R250" t="s">
        <v>495</v>
      </c>
      <c r="S250" t="s">
        <v>255</v>
      </c>
      <c r="T250" t="s">
        <v>50</v>
      </c>
    </row>
    <row r="251" spans="1:20" x14ac:dyDescent="0.3">
      <c r="A251" t="s">
        <v>251</v>
      </c>
      <c r="B251" t="s">
        <v>123</v>
      </c>
      <c r="C251" t="s">
        <v>496</v>
      </c>
      <c r="D251" t="s">
        <v>238</v>
      </c>
      <c r="E251">
        <v>68</v>
      </c>
      <c r="F251">
        <v>10</v>
      </c>
      <c r="G251" t="s">
        <v>143</v>
      </c>
      <c r="H251">
        <v>69</v>
      </c>
      <c r="I251">
        <v>2</v>
      </c>
      <c r="J251" t="s">
        <v>443</v>
      </c>
      <c r="K251" t="s">
        <v>143</v>
      </c>
      <c r="L251" t="s">
        <v>26</v>
      </c>
      <c r="M251" t="s">
        <v>145</v>
      </c>
      <c r="N251" t="s">
        <v>469</v>
      </c>
      <c r="O251" t="s">
        <v>470</v>
      </c>
      <c r="P251">
        <v>8</v>
      </c>
      <c r="Q251">
        <v>0</v>
      </c>
      <c r="R251" t="s">
        <v>30</v>
      </c>
      <c r="S251" t="s">
        <v>66</v>
      </c>
      <c r="T251" t="s">
        <v>147</v>
      </c>
    </row>
    <row r="252" spans="1:20" x14ac:dyDescent="0.3">
      <c r="A252" t="s">
        <v>251</v>
      </c>
      <c r="B252" t="s">
        <v>126</v>
      </c>
      <c r="C252" t="s">
        <v>496</v>
      </c>
      <c r="D252" t="s">
        <v>206</v>
      </c>
      <c r="E252">
        <v>128</v>
      </c>
      <c r="F252">
        <v>9</v>
      </c>
      <c r="G252" t="s">
        <v>199</v>
      </c>
      <c r="H252">
        <v>103</v>
      </c>
      <c r="I252">
        <v>10</v>
      </c>
      <c r="J252" t="s">
        <v>497</v>
      </c>
      <c r="K252" t="s">
        <v>206</v>
      </c>
      <c r="L252" t="s">
        <v>37</v>
      </c>
      <c r="M252" t="s">
        <v>215</v>
      </c>
      <c r="N252" t="s">
        <v>469</v>
      </c>
      <c r="O252" t="s">
        <v>470</v>
      </c>
      <c r="P252">
        <v>0</v>
      </c>
      <c r="Q252">
        <v>25</v>
      </c>
      <c r="R252" t="s">
        <v>240</v>
      </c>
      <c r="S252" t="s">
        <v>255</v>
      </c>
      <c r="T252" t="s">
        <v>225</v>
      </c>
    </row>
    <row r="253" spans="1:20" x14ac:dyDescent="0.3">
      <c r="A253" t="s">
        <v>251</v>
      </c>
      <c r="B253" t="s">
        <v>132</v>
      </c>
      <c r="C253" t="s">
        <v>498</v>
      </c>
      <c r="D253" t="s">
        <v>143</v>
      </c>
      <c r="E253">
        <v>184</v>
      </c>
      <c r="F253">
        <v>5</v>
      </c>
      <c r="G253" t="s">
        <v>179</v>
      </c>
      <c r="H253">
        <v>186</v>
      </c>
      <c r="I253">
        <v>6</v>
      </c>
      <c r="J253" t="s">
        <v>150</v>
      </c>
      <c r="K253" t="s">
        <v>179</v>
      </c>
      <c r="L253" t="s">
        <v>26</v>
      </c>
      <c r="M253" t="s">
        <v>245</v>
      </c>
      <c r="N253" t="s">
        <v>28</v>
      </c>
      <c r="O253" t="s">
        <v>29</v>
      </c>
      <c r="P253">
        <v>4</v>
      </c>
      <c r="Q253">
        <v>0</v>
      </c>
      <c r="R253" t="s">
        <v>90</v>
      </c>
      <c r="S253" t="s">
        <v>255</v>
      </c>
      <c r="T253" t="s">
        <v>39</v>
      </c>
    </row>
    <row r="254" spans="1:20" x14ac:dyDescent="0.3">
      <c r="A254" t="s">
        <v>251</v>
      </c>
      <c r="B254" t="s">
        <v>138</v>
      </c>
      <c r="C254" t="s">
        <v>498</v>
      </c>
      <c r="D254" t="s">
        <v>199</v>
      </c>
      <c r="E254">
        <v>135</v>
      </c>
      <c r="F254">
        <v>8</v>
      </c>
      <c r="G254" t="s">
        <v>113</v>
      </c>
      <c r="H254">
        <v>130</v>
      </c>
      <c r="I254">
        <v>6</v>
      </c>
      <c r="J254" t="s">
        <v>462</v>
      </c>
      <c r="K254" t="s">
        <v>113</v>
      </c>
      <c r="L254" t="s">
        <v>26</v>
      </c>
      <c r="M254" t="s">
        <v>208</v>
      </c>
      <c r="N254" t="s">
        <v>28</v>
      </c>
      <c r="O254" t="s">
        <v>29</v>
      </c>
      <c r="P254">
        <v>0</v>
      </c>
      <c r="Q254">
        <v>5</v>
      </c>
      <c r="R254" t="s">
        <v>499</v>
      </c>
      <c r="S254" t="s">
        <v>147</v>
      </c>
      <c r="T254" t="s">
        <v>44</v>
      </c>
    </row>
    <row r="255" spans="1:20" x14ac:dyDescent="0.3">
      <c r="A255" t="s">
        <v>251</v>
      </c>
      <c r="B255" t="s">
        <v>148</v>
      </c>
      <c r="C255" t="s">
        <v>500</v>
      </c>
      <c r="D255" t="s">
        <v>160</v>
      </c>
      <c r="E255">
        <v>173</v>
      </c>
      <c r="F255">
        <v>7</v>
      </c>
      <c r="G255" t="s">
        <v>238</v>
      </c>
      <c r="H255">
        <v>141</v>
      </c>
      <c r="I255">
        <v>9</v>
      </c>
      <c r="J255" t="s">
        <v>501</v>
      </c>
      <c r="K255" t="s">
        <v>160</v>
      </c>
      <c r="L255" t="s">
        <v>37</v>
      </c>
      <c r="M255" t="s">
        <v>193</v>
      </c>
      <c r="N255" t="s">
        <v>28</v>
      </c>
      <c r="O255" t="s">
        <v>29</v>
      </c>
      <c r="P255">
        <v>0</v>
      </c>
      <c r="Q255">
        <v>32</v>
      </c>
      <c r="R255" t="s">
        <v>414</v>
      </c>
      <c r="S255" t="s">
        <v>255</v>
      </c>
      <c r="T255" t="s">
        <v>50</v>
      </c>
    </row>
    <row r="256" spans="1:20" x14ac:dyDescent="0.3">
      <c r="A256" t="s">
        <v>251</v>
      </c>
      <c r="B256" t="s">
        <v>156</v>
      </c>
      <c r="C256" t="s">
        <v>500</v>
      </c>
      <c r="D256" t="s">
        <v>206</v>
      </c>
      <c r="E256">
        <v>151</v>
      </c>
      <c r="F256">
        <v>6</v>
      </c>
      <c r="G256" t="s">
        <v>179</v>
      </c>
      <c r="H256">
        <v>151</v>
      </c>
      <c r="I256">
        <v>8</v>
      </c>
      <c r="J256" t="s">
        <v>302</v>
      </c>
      <c r="K256" t="s">
        <v>179</v>
      </c>
      <c r="L256" t="s">
        <v>26</v>
      </c>
      <c r="M256" t="s">
        <v>502</v>
      </c>
      <c r="N256" t="s">
        <v>28</v>
      </c>
      <c r="O256" t="s">
        <v>29</v>
      </c>
      <c r="P256">
        <v>0</v>
      </c>
      <c r="Q256">
        <v>0</v>
      </c>
      <c r="R256" t="s">
        <v>503</v>
      </c>
      <c r="S256" t="s">
        <v>216</v>
      </c>
      <c r="T256" t="s">
        <v>147</v>
      </c>
    </row>
    <row r="257" spans="1:20" x14ac:dyDescent="0.3">
      <c r="A257" t="s">
        <v>251</v>
      </c>
      <c r="B257" t="s">
        <v>163</v>
      </c>
      <c r="C257" t="s">
        <v>504</v>
      </c>
      <c r="D257" t="s">
        <v>199</v>
      </c>
      <c r="E257">
        <v>124</v>
      </c>
      <c r="F257">
        <v>10</v>
      </c>
      <c r="G257" t="s">
        <v>143</v>
      </c>
      <c r="H257">
        <v>130</v>
      </c>
      <c r="I257">
        <v>5</v>
      </c>
      <c r="J257" t="s">
        <v>235</v>
      </c>
      <c r="K257" t="s">
        <v>143</v>
      </c>
      <c r="L257" t="s">
        <v>26</v>
      </c>
      <c r="M257" t="s">
        <v>145</v>
      </c>
      <c r="N257" t="s">
        <v>28</v>
      </c>
      <c r="O257" t="s">
        <v>29</v>
      </c>
      <c r="P257">
        <v>5</v>
      </c>
      <c r="Q257">
        <v>0</v>
      </c>
      <c r="R257" t="s">
        <v>55</v>
      </c>
      <c r="S257" t="s">
        <v>255</v>
      </c>
      <c r="T257" t="s">
        <v>216</v>
      </c>
    </row>
    <row r="258" spans="1:20" x14ac:dyDescent="0.3">
      <c r="A258" t="s">
        <v>251</v>
      </c>
      <c r="B258" t="s">
        <v>168</v>
      </c>
      <c r="C258" t="s">
        <v>504</v>
      </c>
      <c r="D258" t="s">
        <v>160</v>
      </c>
      <c r="E258">
        <v>183</v>
      </c>
      <c r="F258">
        <v>9</v>
      </c>
      <c r="G258" t="s">
        <v>113</v>
      </c>
      <c r="H258">
        <v>181</v>
      </c>
      <c r="I258">
        <v>9</v>
      </c>
      <c r="J258" t="s">
        <v>505</v>
      </c>
      <c r="K258" t="s">
        <v>113</v>
      </c>
      <c r="L258" t="s">
        <v>26</v>
      </c>
      <c r="M258" t="s">
        <v>193</v>
      </c>
      <c r="N258" t="s">
        <v>28</v>
      </c>
      <c r="O258" t="s">
        <v>29</v>
      </c>
      <c r="P258">
        <v>0</v>
      </c>
      <c r="Q258">
        <v>2</v>
      </c>
      <c r="R258" t="s">
        <v>128</v>
      </c>
      <c r="S258" t="s">
        <v>66</v>
      </c>
      <c r="T258" t="s">
        <v>147</v>
      </c>
    </row>
    <row r="259" spans="1:20" x14ac:dyDescent="0.3">
      <c r="A259" t="s">
        <v>251</v>
      </c>
      <c r="B259" t="s">
        <v>170</v>
      </c>
      <c r="C259" t="s">
        <v>506</v>
      </c>
      <c r="D259" t="s">
        <v>206</v>
      </c>
      <c r="E259">
        <v>117</v>
      </c>
      <c r="F259">
        <v>9</v>
      </c>
      <c r="G259" t="s">
        <v>199</v>
      </c>
      <c r="H259">
        <v>118</v>
      </c>
      <c r="I259">
        <v>3</v>
      </c>
      <c r="J259" t="s">
        <v>507</v>
      </c>
      <c r="K259" t="s">
        <v>206</v>
      </c>
      <c r="L259" t="s">
        <v>37</v>
      </c>
      <c r="M259" t="s">
        <v>208</v>
      </c>
      <c r="N259" t="s">
        <v>28</v>
      </c>
      <c r="O259" t="s">
        <v>29</v>
      </c>
      <c r="P259">
        <v>7</v>
      </c>
      <c r="Q259">
        <v>0</v>
      </c>
      <c r="R259" t="s">
        <v>118</v>
      </c>
      <c r="S259" t="s">
        <v>255</v>
      </c>
      <c r="T259" t="s">
        <v>39</v>
      </c>
    </row>
    <row r="260" spans="1:20" x14ac:dyDescent="0.3">
      <c r="A260" t="s">
        <v>251</v>
      </c>
      <c r="B260" t="s">
        <v>176</v>
      </c>
      <c r="C260" t="s">
        <v>506</v>
      </c>
      <c r="D260" t="s">
        <v>238</v>
      </c>
      <c r="E260">
        <v>168</v>
      </c>
      <c r="F260">
        <v>5</v>
      </c>
      <c r="G260" t="s">
        <v>179</v>
      </c>
      <c r="H260">
        <v>163</v>
      </c>
      <c r="I260">
        <v>7</v>
      </c>
      <c r="J260" t="s">
        <v>450</v>
      </c>
      <c r="K260" t="s">
        <v>238</v>
      </c>
      <c r="L260" t="s">
        <v>37</v>
      </c>
      <c r="M260" t="s">
        <v>250</v>
      </c>
      <c r="N260" t="s">
        <v>28</v>
      </c>
      <c r="O260" t="s">
        <v>29</v>
      </c>
      <c r="P260">
        <v>0</v>
      </c>
      <c r="Q260">
        <v>5</v>
      </c>
      <c r="R260" t="s">
        <v>499</v>
      </c>
      <c r="S260" t="s">
        <v>50</v>
      </c>
      <c r="T260" t="s">
        <v>147</v>
      </c>
    </row>
    <row r="261" spans="1:20" x14ac:dyDescent="0.3">
      <c r="A261" t="s">
        <v>251</v>
      </c>
      <c r="B261" t="s">
        <v>180</v>
      </c>
      <c r="C261" t="s">
        <v>508</v>
      </c>
      <c r="D261" t="s">
        <v>143</v>
      </c>
      <c r="E261">
        <v>63</v>
      </c>
      <c r="F261">
        <v>10</v>
      </c>
      <c r="G261" t="s">
        <v>113</v>
      </c>
      <c r="H261">
        <v>67</v>
      </c>
      <c r="I261">
        <v>1</v>
      </c>
      <c r="J261" t="s">
        <v>397</v>
      </c>
      <c r="K261" t="s">
        <v>113</v>
      </c>
      <c r="L261" t="s">
        <v>26</v>
      </c>
      <c r="M261" t="s">
        <v>189</v>
      </c>
      <c r="N261" t="s">
        <v>28</v>
      </c>
      <c r="O261" t="s">
        <v>29</v>
      </c>
      <c r="P261">
        <v>9</v>
      </c>
      <c r="Q261">
        <v>0</v>
      </c>
      <c r="R261" t="s">
        <v>71</v>
      </c>
      <c r="S261" t="s">
        <v>50</v>
      </c>
      <c r="T261" t="s">
        <v>147</v>
      </c>
    </row>
    <row r="262" spans="1:20" x14ac:dyDescent="0.3">
      <c r="A262" t="s">
        <v>251</v>
      </c>
      <c r="B262" t="s">
        <v>186</v>
      </c>
      <c r="C262" t="s">
        <v>508</v>
      </c>
      <c r="D262" t="s">
        <v>160</v>
      </c>
      <c r="E262">
        <v>192</v>
      </c>
      <c r="F262">
        <v>6</v>
      </c>
      <c r="G262" t="s">
        <v>206</v>
      </c>
      <c r="H262">
        <v>87</v>
      </c>
      <c r="I262">
        <v>10</v>
      </c>
      <c r="J262" t="s">
        <v>509</v>
      </c>
      <c r="K262" t="s">
        <v>206</v>
      </c>
      <c r="L262" t="s">
        <v>26</v>
      </c>
      <c r="M262" t="s">
        <v>193</v>
      </c>
      <c r="N262" t="s">
        <v>28</v>
      </c>
      <c r="O262" t="s">
        <v>29</v>
      </c>
      <c r="P262">
        <v>0</v>
      </c>
      <c r="Q262">
        <v>105</v>
      </c>
      <c r="R262" t="s">
        <v>510</v>
      </c>
      <c r="S262" t="s">
        <v>255</v>
      </c>
      <c r="T262" t="s">
        <v>39</v>
      </c>
    </row>
    <row r="263" spans="1:20" x14ac:dyDescent="0.3">
      <c r="A263" t="s">
        <v>251</v>
      </c>
      <c r="B263" t="s">
        <v>190</v>
      </c>
      <c r="C263" t="s">
        <v>511</v>
      </c>
      <c r="D263" t="s">
        <v>113</v>
      </c>
      <c r="E263">
        <v>169</v>
      </c>
      <c r="F263">
        <v>3</v>
      </c>
      <c r="G263" t="s">
        <v>206</v>
      </c>
      <c r="H263">
        <v>161</v>
      </c>
      <c r="I263">
        <v>5</v>
      </c>
      <c r="J263" t="s">
        <v>461</v>
      </c>
      <c r="K263" t="s">
        <v>206</v>
      </c>
      <c r="L263" t="s">
        <v>26</v>
      </c>
      <c r="M263" t="s">
        <v>189</v>
      </c>
      <c r="N263" t="s">
        <v>28</v>
      </c>
      <c r="O263" t="s">
        <v>29</v>
      </c>
      <c r="P263">
        <v>0</v>
      </c>
      <c r="Q263">
        <v>8</v>
      </c>
      <c r="R263" t="s">
        <v>218</v>
      </c>
      <c r="S263" t="s">
        <v>255</v>
      </c>
      <c r="T263" t="s">
        <v>44</v>
      </c>
    </row>
    <row r="264" spans="1:20" x14ac:dyDescent="0.3">
      <c r="A264" t="s">
        <v>251</v>
      </c>
      <c r="B264" t="s">
        <v>195</v>
      </c>
      <c r="C264" t="s">
        <v>511</v>
      </c>
      <c r="D264" t="s">
        <v>238</v>
      </c>
      <c r="E264">
        <v>127</v>
      </c>
      <c r="F264">
        <v>8</v>
      </c>
      <c r="G264" t="s">
        <v>143</v>
      </c>
      <c r="H264">
        <v>130</v>
      </c>
      <c r="I264">
        <v>6</v>
      </c>
      <c r="J264" t="s">
        <v>235</v>
      </c>
      <c r="K264" t="s">
        <v>143</v>
      </c>
      <c r="L264" t="s">
        <v>26</v>
      </c>
      <c r="M264" t="s">
        <v>145</v>
      </c>
      <c r="N264" t="s">
        <v>28</v>
      </c>
      <c r="O264" t="s">
        <v>29</v>
      </c>
      <c r="P264">
        <v>4</v>
      </c>
      <c r="Q264">
        <v>0</v>
      </c>
      <c r="R264" t="s">
        <v>90</v>
      </c>
      <c r="S264" t="s">
        <v>66</v>
      </c>
      <c r="T264" t="s">
        <v>147</v>
      </c>
    </row>
    <row r="265" spans="1:20" x14ac:dyDescent="0.3">
      <c r="A265" t="s">
        <v>251</v>
      </c>
      <c r="B265" t="s">
        <v>33</v>
      </c>
      <c r="C265" t="s">
        <v>512</v>
      </c>
      <c r="D265" t="s">
        <v>160</v>
      </c>
      <c r="E265">
        <v>189</v>
      </c>
      <c r="F265">
        <v>5</v>
      </c>
      <c r="G265" t="s">
        <v>199</v>
      </c>
      <c r="H265">
        <v>106</v>
      </c>
      <c r="I265">
        <v>10</v>
      </c>
      <c r="J265" t="s">
        <v>509</v>
      </c>
      <c r="K265" t="s">
        <v>199</v>
      </c>
      <c r="L265" t="s">
        <v>26</v>
      </c>
      <c r="M265" t="s">
        <v>193</v>
      </c>
      <c r="N265" t="s">
        <v>28</v>
      </c>
      <c r="O265" t="s">
        <v>29</v>
      </c>
      <c r="P265">
        <v>0</v>
      </c>
      <c r="Q265">
        <v>83</v>
      </c>
      <c r="R265" t="s">
        <v>513</v>
      </c>
      <c r="S265" t="s">
        <v>66</v>
      </c>
      <c r="T265" t="s">
        <v>147</v>
      </c>
    </row>
    <row r="266" spans="1:20" x14ac:dyDescent="0.3">
      <c r="A266" t="s">
        <v>251</v>
      </c>
      <c r="B266" t="s">
        <v>40</v>
      </c>
      <c r="C266" t="s">
        <v>512</v>
      </c>
      <c r="D266" t="s">
        <v>113</v>
      </c>
      <c r="E266">
        <v>98</v>
      </c>
      <c r="F266">
        <v>10</v>
      </c>
      <c r="G266" t="s">
        <v>179</v>
      </c>
      <c r="H266">
        <v>101</v>
      </c>
      <c r="I266">
        <v>7</v>
      </c>
      <c r="J266" t="s">
        <v>302</v>
      </c>
      <c r="K266" t="s">
        <v>179</v>
      </c>
      <c r="L266" t="s">
        <v>26</v>
      </c>
      <c r="M266" t="s">
        <v>245</v>
      </c>
      <c r="N266" t="s">
        <v>28</v>
      </c>
      <c r="O266" t="s">
        <v>29</v>
      </c>
      <c r="P266">
        <v>3</v>
      </c>
      <c r="Q266">
        <v>0</v>
      </c>
      <c r="R266" t="s">
        <v>49</v>
      </c>
      <c r="S266" t="s">
        <v>255</v>
      </c>
      <c r="T266" t="s">
        <v>44</v>
      </c>
    </row>
    <row r="267" spans="1:20" x14ac:dyDescent="0.3">
      <c r="A267" t="s">
        <v>274</v>
      </c>
      <c r="B267" t="s">
        <v>321</v>
      </c>
      <c r="C267" t="s">
        <v>514</v>
      </c>
      <c r="D267" t="s">
        <v>276</v>
      </c>
      <c r="E267">
        <v>166</v>
      </c>
      <c r="F267">
        <v>8</v>
      </c>
      <c r="G267" t="s">
        <v>280</v>
      </c>
      <c r="H267">
        <v>170</v>
      </c>
      <c r="I267">
        <v>3</v>
      </c>
      <c r="J267" t="s">
        <v>464</v>
      </c>
      <c r="K267" t="s">
        <v>280</v>
      </c>
      <c r="L267" t="s">
        <v>26</v>
      </c>
      <c r="M267" t="s">
        <v>289</v>
      </c>
      <c r="N267" t="s">
        <v>28</v>
      </c>
      <c r="O267" t="s">
        <v>29</v>
      </c>
      <c r="P267">
        <v>7</v>
      </c>
      <c r="Q267">
        <v>0</v>
      </c>
      <c r="R267" t="s">
        <v>118</v>
      </c>
      <c r="S267" t="s">
        <v>278</v>
      </c>
      <c r="T267" t="s">
        <v>216</v>
      </c>
    </row>
    <row r="268" spans="1:20" x14ac:dyDescent="0.3">
      <c r="A268" t="s">
        <v>274</v>
      </c>
      <c r="B268" t="s">
        <v>324</v>
      </c>
      <c r="C268" t="s">
        <v>514</v>
      </c>
      <c r="D268" t="s">
        <v>515</v>
      </c>
      <c r="E268">
        <v>141</v>
      </c>
      <c r="F268">
        <v>5</v>
      </c>
      <c r="G268" t="s">
        <v>293</v>
      </c>
      <c r="H268">
        <v>142</v>
      </c>
      <c r="I268">
        <v>5</v>
      </c>
      <c r="J268" t="s">
        <v>429</v>
      </c>
      <c r="K268" t="s">
        <v>293</v>
      </c>
      <c r="L268" t="s">
        <v>26</v>
      </c>
      <c r="M268" t="s">
        <v>516</v>
      </c>
      <c r="N268" t="s">
        <v>28</v>
      </c>
      <c r="O268" t="s">
        <v>29</v>
      </c>
      <c r="P268">
        <v>5</v>
      </c>
      <c r="Q268">
        <v>0</v>
      </c>
      <c r="R268" t="s">
        <v>55</v>
      </c>
      <c r="S268" t="s">
        <v>56</v>
      </c>
      <c r="T268" t="s">
        <v>286</v>
      </c>
    </row>
    <row r="269" spans="1:20" x14ac:dyDescent="0.3">
      <c r="A269" t="s">
        <v>274</v>
      </c>
      <c r="B269" t="s">
        <v>326</v>
      </c>
      <c r="C269" t="s">
        <v>517</v>
      </c>
      <c r="D269" t="s">
        <v>515</v>
      </c>
      <c r="E269">
        <v>143</v>
      </c>
      <c r="F269">
        <v>6</v>
      </c>
      <c r="G269" t="s">
        <v>276</v>
      </c>
      <c r="H269">
        <v>145</v>
      </c>
      <c r="I269">
        <v>4</v>
      </c>
      <c r="J269" t="s">
        <v>220</v>
      </c>
      <c r="K269" t="s">
        <v>515</v>
      </c>
      <c r="L269" t="s">
        <v>37</v>
      </c>
      <c r="M269" t="s">
        <v>64</v>
      </c>
      <c r="N269" t="s">
        <v>469</v>
      </c>
      <c r="O269" t="s">
        <v>470</v>
      </c>
      <c r="P269">
        <v>6</v>
      </c>
      <c r="Q269">
        <v>0</v>
      </c>
      <c r="R269" t="s">
        <v>151</v>
      </c>
      <c r="S269" t="s">
        <v>286</v>
      </c>
      <c r="T269" t="s">
        <v>225</v>
      </c>
    </row>
    <row r="270" spans="1:20" x14ac:dyDescent="0.3">
      <c r="A270" t="s">
        <v>274</v>
      </c>
      <c r="B270" t="s">
        <v>328</v>
      </c>
      <c r="C270" t="s">
        <v>517</v>
      </c>
      <c r="D270" t="s">
        <v>277</v>
      </c>
      <c r="E270">
        <v>121</v>
      </c>
      <c r="F270">
        <v>10</v>
      </c>
      <c r="G270" t="s">
        <v>280</v>
      </c>
      <c r="H270">
        <v>124</v>
      </c>
      <c r="I270">
        <v>4</v>
      </c>
      <c r="J270" t="s">
        <v>320</v>
      </c>
      <c r="K270" t="s">
        <v>280</v>
      </c>
      <c r="L270" t="s">
        <v>26</v>
      </c>
      <c r="M270" t="s">
        <v>289</v>
      </c>
      <c r="N270" t="s">
        <v>469</v>
      </c>
      <c r="O270" t="s">
        <v>470</v>
      </c>
      <c r="P270">
        <v>6</v>
      </c>
      <c r="Q270">
        <v>0</v>
      </c>
      <c r="R270" t="s">
        <v>151</v>
      </c>
      <c r="S270" t="s">
        <v>278</v>
      </c>
      <c r="T270" t="s">
        <v>50</v>
      </c>
    </row>
    <row r="271" spans="1:20" x14ac:dyDescent="0.3">
      <c r="A271" t="s">
        <v>274</v>
      </c>
      <c r="B271" t="s">
        <v>330</v>
      </c>
      <c r="C271" t="s">
        <v>518</v>
      </c>
      <c r="D271" t="s">
        <v>295</v>
      </c>
      <c r="E271">
        <v>199</v>
      </c>
      <c r="F271">
        <v>5</v>
      </c>
      <c r="G271" t="s">
        <v>515</v>
      </c>
      <c r="H271">
        <v>161</v>
      </c>
      <c r="I271">
        <v>10</v>
      </c>
      <c r="J271" t="s">
        <v>519</v>
      </c>
      <c r="K271" t="s">
        <v>515</v>
      </c>
      <c r="L271" t="s">
        <v>26</v>
      </c>
      <c r="M271" t="s">
        <v>297</v>
      </c>
      <c r="N271" t="s">
        <v>469</v>
      </c>
      <c r="O271" t="s">
        <v>470</v>
      </c>
      <c r="P271">
        <v>0</v>
      </c>
      <c r="Q271">
        <v>38</v>
      </c>
      <c r="R271" t="s">
        <v>491</v>
      </c>
      <c r="S271" t="s">
        <v>278</v>
      </c>
      <c r="T271" t="s">
        <v>56</v>
      </c>
    </row>
    <row r="272" spans="1:20" x14ac:dyDescent="0.3">
      <c r="A272" t="s">
        <v>274</v>
      </c>
      <c r="B272" t="s">
        <v>334</v>
      </c>
      <c r="C272" t="s">
        <v>518</v>
      </c>
      <c r="D272" t="s">
        <v>287</v>
      </c>
      <c r="E272">
        <v>172</v>
      </c>
      <c r="F272">
        <v>4</v>
      </c>
      <c r="G272" t="s">
        <v>277</v>
      </c>
      <c r="H272">
        <v>160</v>
      </c>
      <c r="I272">
        <v>8</v>
      </c>
      <c r="J272" t="s">
        <v>520</v>
      </c>
      <c r="K272" t="s">
        <v>277</v>
      </c>
      <c r="L272" t="s">
        <v>26</v>
      </c>
      <c r="M272" t="s">
        <v>300</v>
      </c>
      <c r="N272" t="s">
        <v>469</v>
      </c>
      <c r="O272" t="s">
        <v>470</v>
      </c>
      <c r="P272">
        <v>0</v>
      </c>
      <c r="Q272">
        <v>12</v>
      </c>
      <c r="R272" t="s">
        <v>417</v>
      </c>
      <c r="S272" t="s">
        <v>286</v>
      </c>
      <c r="T272" t="s">
        <v>225</v>
      </c>
    </row>
    <row r="273" spans="1:20" x14ac:dyDescent="0.3">
      <c r="A273" t="s">
        <v>274</v>
      </c>
      <c r="B273" t="s">
        <v>336</v>
      </c>
      <c r="C273" t="s">
        <v>521</v>
      </c>
      <c r="D273" t="s">
        <v>293</v>
      </c>
      <c r="E273">
        <v>140</v>
      </c>
      <c r="F273">
        <v>9</v>
      </c>
      <c r="G273" t="s">
        <v>515</v>
      </c>
      <c r="H273">
        <v>140</v>
      </c>
      <c r="I273">
        <v>10</v>
      </c>
      <c r="J273" t="s">
        <v>522</v>
      </c>
      <c r="K273" t="s">
        <v>515</v>
      </c>
      <c r="L273" t="s">
        <v>26</v>
      </c>
      <c r="M273" t="s">
        <v>502</v>
      </c>
      <c r="N273" t="s">
        <v>469</v>
      </c>
      <c r="O273" t="s">
        <v>470</v>
      </c>
      <c r="P273">
        <v>0</v>
      </c>
      <c r="Q273">
        <v>0</v>
      </c>
      <c r="R273" t="s">
        <v>503</v>
      </c>
      <c r="S273" t="s">
        <v>66</v>
      </c>
      <c r="T273" t="s">
        <v>286</v>
      </c>
    </row>
    <row r="274" spans="1:20" x14ac:dyDescent="0.3">
      <c r="A274" t="s">
        <v>274</v>
      </c>
      <c r="B274" t="s">
        <v>45</v>
      </c>
      <c r="C274" t="s">
        <v>521</v>
      </c>
      <c r="D274" t="s">
        <v>276</v>
      </c>
      <c r="E274">
        <v>179</v>
      </c>
      <c r="F274">
        <v>4</v>
      </c>
      <c r="G274" t="s">
        <v>295</v>
      </c>
      <c r="H274">
        <v>149</v>
      </c>
      <c r="I274">
        <v>7</v>
      </c>
      <c r="J274" t="s">
        <v>183</v>
      </c>
      <c r="K274" t="s">
        <v>295</v>
      </c>
      <c r="L274" t="s">
        <v>26</v>
      </c>
      <c r="M274" t="s">
        <v>64</v>
      </c>
      <c r="N274" t="s">
        <v>469</v>
      </c>
      <c r="O274" t="s">
        <v>470</v>
      </c>
      <c r="P274">
        <v>0</v>
      </c>
      <c r="Q274">
        <v>30</v>
      </c>
      <c r="R274" t="s">
        <v>452</v>
      </c>
      <c r="S274" t="s">
        <v>278</v>
      </c>
      <c r="T274" t="s">
        <v>50</v>
      </c>
    </row>
    <row r="275" spans="1:20" x14ac:dyDescent="0.3">
      <c r="A275" t="s">
        <v>274</v>
      </c>
      <c r="B275" t="s">
        <v>51</v>
      </c>
      <c r="C275" t="s">
        <v>523</v>
      </c>
      <c r="D275" t="s">
        <v>295</v>
      </c>
      <c r="E275">
        <v>182</v>
      </c>
      <c r="F275">
        <v>6</v>
      </c>
      <c r="G275" t="s">
        <v>276</v>
      </c>
      <c r="H275">
        <v>135</v>
      </c>
      <c r="I275">
        <v>8</v>
      </c>
      <c r="J275" t="s">
        <v>296</v>
      </c>
      <c r="K275" t="s">
        <v>276</v>
      </c>
      <c r="L275" t="s">
        <v>26</v>
      </c>
      <c r="M275" t="s">
        <v>297</v>
      </c>
      <c r="N275" t="s">
        <v>28</v>
      </c>
      <c r="O275" t="s">
        <v>29</v>
      </c>
      <c r="P275">
        <v>0</v>
      </c>
      <c r="Q275">
        <v>47</v>
      </c>
      <c r="R275" t="s">
        <v>524</v>
      </c>
      <c r="S275" t="s">
        <v>278</v>
      </c>
      <c r="T275" t="s">
        <v>225</v>
      </c>
    </row>
    <row r="276" spans="1:20" x14ac:dyDescent="0.3">
      <c r="A276" t="s">
        <v>274</v>
      </c>
      <c r="B276" t="s">
        <v>58</v>
      </c>
      <c r="C276" t="s">
        <v>523</v>
      </c>
      <c r="D276" t="s">
        <v>280</v>
      </c>
      <c r="E276">
        <v>159</v>
      </c>
      <c r="F276">
        <v>6</v>
      </c>
      <c r="G276" t="s">
        <v>293</v>
      </c>
      <c r="H276">
        <v>161</v>
      </c>
      <c r="I276">
        <v>8</v>
      </c>
      <c r="J276" t="s">
        <v>429</v>
      </c>
      <c r="K276" t="s">
        <v>293</v>
      </c>
      <c r="L276" t="s">
        <v>26</v>
      </c>
      <c r="M276" t="s">
        <v>516</v>
      </c>
      <c r="N276" t="s">
        <v>28</v>
      </c>
      <c r="O276" t="s">
        <v>29</v>
      </c>
      <c r="P276">
        <v>2</v>
      </c>
      <c r="Q276">
        <v>0</v>
      </c>
      <c r="R276" t="s">
        <v>281</v>
      </c>
      <c r="S276" t="s">
        <v>66</v>
      </c>
      <c r="T276" t="s">
        <v>286</v>
      </c>
    </row>
    <row r="277" spans="1:20" x14ac:dyDescent="0.3">
      <c r="A277" t="s">
        <v>274</v>
      </c>
      <c r="B277" t="s">
        <v>60</v>
      </c>
      <c r="C277" t="s">
        <v>525</v>
      </c>
      <c r="D277" t="s">
        <v>287</v>
      </c>
      <c r="E277">
        <v>174</v>
      </c>
      <c r="F277">
        <v>5</v>
      </c>
      <c r="G277" t="s">
        <v>276</v>
      </c>
      <c r="H277">
        <v>100</v>
      </c>
      <c r="I277">
        <v>10</v>
      </c>
      <c r="J277" t="s">
        <v>526</v>
      </c>
      <c r="K277" t="s">
        <v>276</v>
      </c>
      <c r="L277" t="s">
        <v>26</v>
      </c>
      <c r="M277" t="s">
        <v>300</v>
      </c>
      <c r="N277" t="s">
        <v>28</v>
      </c>
      <c r="O277" t="s">
        <v>29</v>
      </c>
      <c r="P277">
        <v>0</v>
      </c>
      <c r="Q277">
        <v>74</v>
      </c>
      <c r="R277" t="s">
        <v>527</v>
      </c>
      <c r="S277" t="s">
        <v>528</v>
      </c>
      <c r="T277" t="s">
        <v>225</v>
      </c>
    </row>
    <row r="278" spans="1:20" x14ac:dyDescent="0.3">
      <c r="A278" t="s">
        <v>274</v>
      </c>
      <c r="B278" t="s">
        <v>67</v>
      </c>
      <c r="C278" t="s">
        <v>525</v>
      </c>
      <c r="D278" t="s">
        <v>515</v>
      </c>
      <c r="E278">
        <v>133</v>
      </c>
      <c r="F278">
        <v>9</v>
      </c>
      <c r="G278" t="s">
        <v>295</v>
      </c>
      <c r="H278">
        <v>134</v>
      </c>
      <c r="I278">
        <v>3</v>
      </c>
      <c r="J278" t="s">
        <v>306</v>
      </c>
      <c r="K278" t="s">
        <v>295</v>
      </c>
      <c r="L278" t="s">
        <v>26</v>
      </c>
      <c r="M278" t="s">
        <v>297</v>
      </c>
      <c r="N278" t="s">
        <v>28</v>
      </c>
      <c r="O278" t="s">
        <v>29</v>
      </c>
      <c r="P278">
        <v>7</v>
      </c>
      <c r="Q278">
        <v>0</v>
      </c>
      <c r="R278" t="s">
        <v>118</v>
      </c>
      <c r="S278" t="s">
        <v>242</v>
      </c>
      <c r="T278" t="s">
        <v>286</v>
      </c>
    </row>
    <row r="279" spans="1:20" x14ac:dyDescent="0.3">
      <c r="A279" t="s">
        <v>274</v>
      </c>
      <c r="B279" t="s">
        <v>68</v>
      </c>
      <c r="C279" t="s">
        <v>529</v>
      </c>
      <c r="D279" t="s">
        <v>515</v>
      </c>
      <c r="E279">
        <v>157</v>
      </c>
      <c r="F279">
        <v>4</v>
      </c>
      <c r="G279" t="s">
        <v>277</v>
      </c>
      <c r="H279">
        <v>158</v>
      </c>
      <c r="I279">
        <v>2</v>
      </c>
      <c r="J279" t="s">
        <v>410</v>
      </c>
      <c r="K279" t="s">
        <v>277</v>
      </c>
      <c r="L279" t="s">
        <v>26</v>
      </c>
      <c r="M279" t="s">
        <v>284</v>
      </c>
      <c r="N279" t="s">
        <v>28</v>
      </c>
      <c r="O279" t="s">
        <v>29</v>
      </c>
      <c r="P279">
        <v>8</v>
      </c>
      <c r="Q279">
        <v>0</v>
      </c>
      <c r="R279" t="s">
        <v>30</v>
      </c>
      <c r="S279" t="s">
        <v>50</v>
      </c>
      <c r="T279" t="s">
        <v>286</v>
      </c>
    </row>
    <row r="280" spans="1:20" x14ac:dyDescent="0.3">
      <c r="A280" t="s">
        <v>274</v>
      </c>
      <c r="B280" t="s">
        <v>78</v>
      </c>
      <c r="C280" t="s">
        <v>529</v>
      </c>
      <c r="D280" t="s">
        <v>276</v>
      </c>
      <c r="E280">
        <v>190</v>
      </c>
      <c r="F280">
        <v>4</v>
      </c>
      <c r="G280" t="s">
        <v>293</v>
      </c>
      <c r="H280">
        <v>175</v>
      </c>
      <c r="I280">
        <v>4</v>
      </c>
      <c r="J280" t="s">
        <v>381</v>
      </c>
      <c r="K280" t="s">
        <v>293</v>
      </c>
      <c r="L280" t="s">
        <v>26</v>
      </c>
      <c r="M280" t="s">
        <v>64</v>
      </c>
      <c r="N280" t="s">
        <v>28</v>
      </c>
      <c r="O280" t="s">
        <v>29</v>
      </c>
      <c r="P280">
        <v>0</v>
      </c>
      <c r="Q280">
        <v>15</v>
      </c>
      <c r="R280" t="s">
        <v>530</v>
      </c>
      <c r="S280" t="s">
        <v>278</v>
      </c>
      <c r="T280" t="s">
        <v>216</v>
      </c>
    </row>
    <row r="281" spans="1:20" x14ac:dyDescent="0.3">
      <c r="A281" t="s">
        <v>274</v>
      </c>
      <c r="B281" t="s">
        <v>85</v>
      </c>
      <c r="C281" t="s">
        <v>531</v>
      </c>
      <c r="D281" t="s">
        <v>277</v>
      </c>
      <c r="E281">
        <v>182</v>
      </c>
      <c r="F281">
        <v>7</v>
      </c>
      <c r="G281" t="s">
        <v>295</v>
      </c>
      <c r="H281">
        <v>130</v>
      </c>
      <c r="I281">
        <v>9</v>
      </c>
      <c r="J281" t="s">
        <v>422</v>
      </c>
      <c r="K281" t="s">
        <v>295</v>
      </c>
      <c r="L281" t="s">
        <v>26</v>
      </c>
      <c r="M281" t="s">
        <v>284</v>
      </c>
      <c r="N281" t="s">
        <v>28</v>
      </c>
      <c r="O281" t="s">
        <v>29</v>
      </c>
      <c r="P281">
        <v>0</v>
      </c>
      <c r="Q281">
        <v>52</v>
      </c>
      <c r="R281" t="s">
        <v>317</v>
      </c>
      <c r="S281" t="s">
        <v>50</v>
      </c>
      <c r="T281" t="s">
        <v>286</v>
      </c>
    </row>
    <row r="282" spans="1:20" x14ac:dyDescent="0.3">
      <c r="A282" t="s">
        <v>274</v>
      </c>
      <c r="B282" t="s">
        <v>91</v>
      </c>
      <c r="C282" t="s">
        <v>531</v>
      </c>
      <c r="D282" t="s">
        <v>287</v>
      </c>
      <c r="E282">
        <v>124</v>
      </c>
      <c r="F282">
        <v>9</v>
      </c>
      <c r="G282" t="s">
        <v>280</v>
      </c>
      <c r="H282">
        <v>125</v>
      </c>
      <c r="I282">
        <v>4</v>
      </c>
      <c r="J282" t="s">
        <v>464</v>
      </c>
      <c r="K282" t="s">
        <v>280</v>
      </c>
      <c r="L282" t="s">
        <v>26</v>
      </c>
      <c r="M282" t="s">
        <v>289</v>
      </c>
      <c r="N282" t="s">
        <v>28</v>
      </c>
      <c r="O282" t="s">
        <v>29</v>
      </c>
      <c r="P282">
        <v>6</v>
      </c>
      <c r="Q282">
        <v>0</v>
      </c>
      <c r="R282" t="s">
        <v>151</v>
      </c>
      <c r="S282" t="s">
        <v>278</v>
      </c>
      <c r="T282" t="s">
        <v>44</v>
      </c>
    </row>
    <row r="283" spans="1:20" x14ac:dyDescent="0.3">
      <c r="A283" t="s">
        <v>274</v>
      </c>
      <c r="B283" t="s">
        <v>95</v>
      </c>
      <c r="C283" t="s">
        <v>532</v>
      </c>
      <c r="D283" t="s">
        <v>293</v>
      </c>
      <c r="E283">
        <v>170</v>
      </c>
      <c r="F283">
        <v>8</v>
      </c>
      <c r="G283" t="s">
        <v>276</v>
      </c>
      <c r="H283">
        <v>171</v>
      </c>
      <c r="I283">
        <v>3</v>
      </c>
      <c r="J283" t="s">
        <v>429</v>
      </c>
      <c r="K283" t="s">
        <v>276</v>
      </c>
      <c r="L283" t="s">
        <v>26</v>
      </c>
      <c r="M283" t="s">
        <v>64</v>
      </c>
      <c r="N283" t="s">
        <v>88</v>
      </c>
      <c r="O283" t="s">
        <v>89</v>
      </c>
      <c r="P283">
        <v>7</v>
      </c>
      <c r="Q283">
        <v>0</v>
      </c>
      <c r="R283" t="s">
        <v>118</v>
      </c>
      <c r="S283" t="s">
        <v>429</v>
      </c>
      <c r="T283" t="s">
        <v>220</v>
      </c>
    </row>
    <row r="284" spans="1:20" x14ac:dyDescent="0.3">
      <c r="A284" t="s">
        <v>274</v>
      </c>
      <c r="B284" t="s">
        <v>104</v>
      </c>
      <c r="C284" t="s">
        <v>532</v>
      </c>
      <c r="D284" t="s">
        <v>515</v>
      </c>
      <c r="E284">
        <v>174</v>
      </c>
      <c r="F284">
        <v>4</v>
      </c>
      <c r="G284" t="s">
        <v>287</v>
      </c>
      <c r="H284">
        <v>175</v>
      </c>
      <c r="I284">
        <v>2</v>
      </c>
      <c r="J284" t="s">
        <v>443</v>
      </c>
      <c r="K284" t="s">
        <v>515</v>
      </c>
      <c r="L284" t="s">
        <v>37</v>
      </c>
      <c r="M284" t="s">
        <v>300</v>
      </c>
      <c r="N284" t="s">
        <v>88</v>
      </c>
      <c r="O284" t="s">
        <v>89</v>
      </c>
      <c r="P284">
        <v>8</v>
      </c>
      <c r="Q284">
        <v>0</v>
      </c>
      <c r="R284" t="s">
        <v>30</v>
      </c>
      <c r="S284" t="s">
        <v>278</v>
      </c>
      <c r="T284" t="s">
        <v>56</v>
      </c>
    </row>
    <row r="285" spans="1:20" x14ac:dyDescent="0.3">
      <c r="A285" t="s">
        <v>274</v>
      </c>
      <c r="B285" t="s">
        <v>110</v>
      </c>
      <c r="C285" t="s">
        <v>533</v>
      </c>
      <c r="D285" t="s">
        <v>277</v>
      </c>
      <c r="E285">
        <v>145</v>
      </c>
      <c r="F285">
        <v>9</v>
      </c>
      <c r="G285" t="s">
        <v>276</v>
      </c>
      <c r="H285">
        <v>149</v>
      </c>
      <c r="I285">
        <v>3</v>
      </c>
      <c r="J285" t="s">
        <v>127</v>
      </c>
      <c r="K285" t="s">
        <v>276</v>
      </c>
      <c r="L285" t="s">
        <v>26</v>
      </c>
      <c r="M285" t="s">
        <v>64</v>
      </c>
      <c r="N285" t="s">
        <v>88</v>
      </c>
      <c r="O285" t="s">
        <v>89</v>
      </c>
      <c r="P285">
        <v>7</v>
      </c>
      <c r="Q285">
        <v>0</v>
      </c>
      <c r="R285" t="s">
        <v>118</v>
      </c>
      <c r="S285" t="s">
        <v>278</v>
      </c>
      <c r="T285" t="s">
        <v>216</v>
      </c>
    </row>
    <row r="286" spans="1:20" x14ac:dyDescent="0.3">
      <c r="A286" t="s">
        <v>274</v>
      </c>
      <c r="B286" t="s">
        <v>116</v>
      </c>
      <c r="C286" t="s">
        <v>533</v>
      </c>
      <c r="D286" t="s">
        <v>293</v>
      </c>
      <c r="E286">
        <v>160</v>
      </c>
      <c r="F286">
        <v>3</v>
      </c>
      <c r="G286" t="s">
        <v>287</v>
      </c>
      <c r="H286">
        <v>161</v>
      </c>
      <c r="I286">
        <v>5</v>
      </c>
      <c r="J286" t="s">
        <v>443</v>
      </c>
      <c r="K286" t="s">
        <v>287</v>
      </c>
      <c r="L286" t="s">
        <v>26</v>
      </c>
      <c r="M286" t="s">
        <v>300</v>
      </c>
      <c r="N286" t="s">
        <v>88</v>
      </c>
      <c r="O286" t="s">
        <v>89</v>
      </c>
      <c r="P286">
        <v>5</v>
      </c>
      <c r="Q286">
        <v>0</v>
      </c>
      <c r="R286" t="s">
        <v>55</v>
      </c>
      <c r="S286" t="s">
        <v>56</v>
      </c>
      <c r="T286" t="s">
        <v>286</v>
      </c>
    </row>
    <row r="287" spans="1:20" x14ac:dyDescent="0.3">
      <c r="A287" t="s">
        <v>274</v>
      </c>
      <c r="B287" t="s">
        <v>123</v>
      </c>
      <c r="C287" t="s">
        <v>534</v>
      </c>
      <c r="D287" t="s">
        <v>280</v>
      </c>
      <c r="E287">
        <v>163</v>
      </c>
      <c r="F287">
        <v>7</v>
      </c>
      <c r="G287" t="s">
        <v>295</v>
      </c>
      <c r="H287">
        <v>167</v>
      </c>
      <c r="I287">
        <v>4</v>
      </c>
      <c r="J287" t="s">
        <v>296</v>
      </c>
      <c r="K287" t="s">
        <v>295</v>
      </c>
      <c r="L287" t="s">
        <v>26</v>
      </c>
      <c r="M287" t="s">
        <v>297</v>
      </c>
      <c r="N287" t="s">
        <v>88</v>
      </c>
      <c r="O287" t="s">
        <v>89</v>
      </c>
      <c r="P287">
        <v>6</v>
      </c>
      <c r="Q287">
        <v>0</v>
      </c>
      <c r="R287" t="s">
        <v>151</v>
      </c>
      <c r="S287" t="s">
        <v>278</v>
      </c>
      <c r="T287" t="s">
        <v>66</v>
      </c>
    </row>
    <row r="288" spans="1:20" x14ac:dyDescent="0.3">
      <c r="A288" t="s">
        <v>274</v>
      </c>
      <c r="B288" t="s">
        <v>126</v>
      </c>
      <c r="C288" t="s">
        <v>534</v>
      </c>
      <c r="D288" t="s">
        <v>515</v>
      </c>
      <c r="E288">
        <v>232</v>
      </c>
      <c r="F288">
        <v>5</v>
      </c>
      <c r="G288" t="s">
        <v>277</v>
      </c>
      <c r="H288">
        <v>152</v>
      </c>
      <c r="I288">
        <v>10</v>
      </c>
      <c r="J288" t="s">
        <v>308</v>
      </c>
      <c r="K288" t="s">
        <v>277</v>
      </c>
      <c r="L288" t="s">
        <v>26</v>
      </c>
      <c r="M288" t="s">
        <v>535</v>
      </c>
      <c r="N288" t="s">
        <v>88</v>
      </c>
      <c r="O288" t="s">
        <v>89</v>
      </c>
      <c r="P288">
        <v>0</v>
      </c>
      <c r="Q288">
        <v>80</v>
      </c>
      <c r="R288" t="s">
        <v>480</v>
      </c>
      <c r="S288" t="s">
        <v>50</v>
      </c>
      <c r="T288" t="s">
        <v>286</v>
      </c>
    </row>
    <row r="289" spans="1:20" x14ac:dyDescent="0.3">
      <c r="A289" t="s">
        <v>274</v>
      </c>
      <c r="B289" t="s">
        <v>132</v>
      </c>
      <c r="C289" t="s">
        <v>536</v>
      </c>
      <c r="D289" t="s">
        <v>280</v>
      </c>
      <c r="E289">
        <v>238</v>
      </c>
      <c r="F289">
        <v>4</v>
      </c>
      <c r="G289" t="s">
        <v>293</v>
      </c>
      <c r="H289">
        <v>222</v>
      </c>
      <c r="I289">
        <v>7</v>
      </c>
      <c r="J289" t="s">
        <v>537</v>
      </c>
      <c r="K289" t="s">
        <v>293</v>
      </c>
      <c r="L289" t="s">
        <v>26</v>
      </c>
      <c r="M289" t="s">
        <v>289</v>
      </c>
      <c r="N289" t="s">
        <v>88</v>
      </c>
      <c r="O289" t="s">
        <v>89</v>
      </c>
      <c r="P289">
        <v>0</v>
      </c>
      <c r="Q289">
        <v>16</v>
      </c>
      <c r="R289" t="s">
        <v>169</v>
      </c>
      <c r="S289" t="s">
        <v>528</v>
      </c>
      <c r="T289" t="s">
        <v>66</v>
      </c>
    </row>
    <row r="290" spans="1:20" x14ac:dyDescent="0.3">
      <c r="A290" t="s">
        <v>274</v>
      </c>
      <c r="B290" t="s">
        <v>138</v>
      </c>
      <c r="C290" t="s">
        <v>536</v>
      </c>
      <c r="D290" t="s">
        <v>295</v>
      </c>
      <c r="E290">
        <v>137</v>
      </c>
      <c r="F290">
        <v>9</v>
      </c>
      <c r="G290" t="s">
        <v>277</v>
      </c>
      <c r="H290">
        <v>138</v>
      </c>
      <c r="I290">
        <v>2</v>
      </c>
      <c r="J290" t="s">
        <v>399</v>
      </c>
      <c r="K290" t="s">
        <v>277</v>
      </c>
      <c r="L290" t="s">
        <v>26</v>
      </c>
      <c r="M290" t="s">
        <v>284</v>
      </c>
      <c r="N290" t="s">
        <v>88</v>
      </c>
      <c r="O290" t="s">
        <v>89</v>
      </c>
      <c r="P290">
        <v>8</v>
      </c>
      <c r="Q290">
        <v>0</v>
      </c>
      <c r="R290" t="s">
        <v>30</v>
      </c>
      <c r="S290" t="s">
        <v>286</v>
      </c>
      <c r="T290" t="s">
        <v>225</v>
      </c>
    </row>
    <row r="291" spans="1:20" x14ac:dyDescent="0.3">
      <c r="A291" t="s">
        <v>274</v>
      </c>
      <c r="B291" t="s">
        <v>148</v>
      </c>
      <c r="C291" t="s">
        <v>538</v>
      </c>
      <c r="D291" t="s">
        <v>280</v>
      </c>
      <c r="E291">
        <v>221</v>
      </c>
      <c r="F291">
        <v>4</v>
      </c>
      <c r="G291" t="s">
        <v>287</v>
      </c>
      <c r="H291">
        <v>205</v>
      </c>
      <c r="I291">
        <v>10</v>
      </c>
      <c r="J291" t="s">
        <v>320</v>
      </c>
      <c r="K291" t="s">
        <v>287</v>
      </c>
      <c r="L291" t="s">
        <v>26</v>
      </c>
      <c r="M291" t="s">
        <v>289</v>
      </c>
      <c r="N291" t="s">
        <v>88</v>
      </c>
      <c r="O291" t="s">
        <v>89</v>
      </c>
      <c r="P291">
        <v>0</v>
      </c>
      <c r="Q291">
        <v>16</v>
      </c>
      <c r="R291" t="s">
        <v>169</v>
      </c>
      <c r="S291" t="s">
        <v>286</v>
      </c>
      <c r="T291" t="s">
        <v>44</v>
      </c>
    </row>
    <row r="292" spans="1:20" x14ac:dyDescent="0.3">
      <c r="A292" t="s">
        <v>274</v>
      </c>
      <c r="B292" t="s">
        <v>156</v>
      </c>
      <c r="C292" t="s">
        <v>538</v>
      </c>
      <c r="D292" t="s">
        <v>295</v>
      </c>
      <c r="E292">
        <v>181</v>
      </c>
      <c r="F292">
        <v>8</v>
      </c>
      <c r="G292" t="s">
        <v>293</v>
      </c>
      <c r="H292">
        <v>182</v>
      </c>
      <c r="I292">
        <v>4</v>
      </c>
      <c r="J292" t="s">
        <v>429</v>
      </c>
      <c r="K292" t="s">
        <v>295</v>
      </c>
      <c r="L292" t="s">
        <v>37</v>
      </c>
      <c r="M292" t="s">
        <v>516</v>
      </c>
      <c r="N292" t="s">
        <v>88</v>
      </c>
      <c r="O292" t="s">
        <v>89</v>
      </c>
      <c r="P292">
        <v>6</v>
      </c>
      <c r="Q292">
        <v>0</v>
      </c>
      <c r="R292" t="s">
        <v>151</v>
      </c>
      <c r="S292" t="s">
        <v>278</v>
      </c>
      <c r="T292" t="s">
        <v>50</v>
      </c>
    </row>
    <row r="293" spans="1:20" x14ac:dyDescent="0.3">
      <c r="A293" t="s">
        <v>274</v>
      </c>
      <c r="B293" t="s">
        <v>163</v>
      </c>
      <c r="C293" t="s">
        <v>539</v>
      </c>
      <c r="D293" t="s">
        <v>515</v>
      </c>
      <c r="E293">
        <v>129</v>
      </c>
      <c r="F293">
        <v>8</v>
      </c>
      <c r="G293" t="s">
        <v>280</v>
      </c>
      <c r="H293">
        <v>130</v>
      </c>
      <c r="I293">
        <v>6</v>
      </c>
      <c r="J293" t="s">
        <v>320</v>
      </c>
      <c r="K293" t="s">
        <v>280</v>
      </c>
      <c r="L293" t="s">
        <v>26</v>
      </c>
      <c r="M293" t="s">
        <v>289</v>
      </c>
      <c r="N293" t="s">
        <v>88</v>
      </c>
      <c r="O293" t="s">
        <v>89</v>
      </c>
      <c r="P293">
        <v>4</v>
      </c>
      <c r="Q293">
        <v>0</v>
      </c>
      <c r="R293" t="s">
        <v>90</v>
      </c>
      <c r="S293" t="s">
        <v>278</v>
      </c>
      <c r="T293" t="s">
        <v>66</v>
      </c>
    </row>
    <row r="294" spans="1:20" x14ac:dyDescent="0.3">
      <c r="A294" t="s">
        <v>274</v>
      </c>
      <c r="B294" t="s">
        <v>168</v>
      </c>
      <c r="C294" t="s">
        <v>539</v>
      </c>
      <c r="D294" t="s">
        <v>276</v>
      </c>
      <c r="E294">
        <v>189</v>
      </c>
      <c r="F294">
        <v>4</v>
      </c>
      <c r="G294" t="s">
        <v>277</v>
      </c>
      <c r="H294">
        <v>192</v>
      </c>
      <c r="I294">
        <v>5</v>
      </c>
      <c r="J294" t="s">
        <v>150</v>
      </c>
      <c r="K294" t="s">
        <v>277</v>
      </c>
      <c r="L294" t="s">
        <v>26</v>
      </c>
      <c r="M294" t="s">
        <v>284</v>
      </c>
      <c r="N294" t="s">
        <v>88</v>
      </c>
      <c r="O294" t="s">
        <v>89</v>
      </c>
      <c r="P294">
        <v>5</v>
      </c>
      <c r="Q294">
        <v>0</v>
      </c>
      <c r="R294" t="s">
        <v>55</v>
      </c>
      <c r="S294" t="s">
        <v>286</v>
      </c>
      <c r="T294" t="s">
        <v>44</v>
      </c>
    </row>
    <row r="295" spans="1:20" x14ac:dyDescent="0.3">
      <c r="A295" t="s">
        <v>274</v>
      </c>
      <c r="B295" t="s">
        <v>170</v>
      </c>
      <c r="C295" t="s">
        <v>540</v>
      </c>
      <c r="D295" t="s">
        <v>287</v>
      </c>
      <c r="E295">
        <v>182</v>
      </c>
      <c r="F295">
        <v>4</v>
      </c>
      <c r="G295" t="s">
        <v>515</v>
      </c>
      <c r="H295">
        <v>158</v>
      </c>
      <c r="I295">
        <v>7</v>
      </c>
      <c r="J295" t="s">
        <v>182</v>
      </c>
      <c r="K295" t="s">
        <v>515</v>
      </c>
      <c r="L295" t="s">
        <v>26</v>
      </c>
      <c r="M295" t="s">
        <v>300</v>
      </c>
      <c r="N295" t="s">
        <v>28</v>
      </c>
      <c r="O295" t="s">
        <v>29</v>
      </c>
      <c r="P295">
        <v>0</v>
      </c>
      <c r="Q295">
        <v>24</v>
      </c>
      <c r="R295" t="s">
        <v>541</v>
      </c>
      <c r="S295" t="s">
        <v>66</v>
      </c>
      <c r="T295" t="s">
        <v>286</v>
      </c>
    </row>
    <row r="296" spans="1:20" x14ac:dyDescent="0.3">
      <c r="A296" t="s">
        <v>274</v>
      </c>
      <c r="B296" t="s">
        <v>176</v>
      </c>
      <c r="C296" t="s">
        <v>540</v>
      </c>
      <c r="D296" t="s">
        <v>295</v>
      </c>
      <c r="E296">
        <v>157</v>
      </c>
      <c r="F296">
        <v>8</v>
      </c>
      <c r="G296" t="s">
        <v>280</v>
      </c>
      <c r="H296">
        <v>158</v>
      </c>
      <c r="I296">
        <v>4</v>
      </c>
      <c r="J296" t="s">
        <v>542</v>
      </c>
      <c r="K296" t="s">
        <v>280</v>
      </c>
      <c r="L296" t="s">
        <v>26</v>
      </c>
      <c r="M296" t="s">
        <v>289</v>
      </c>
      <c r="N296" t="s">
        <v>28</v>
      </c>
      <c r="O296" t="s">
        <v>29</v>
      </c>
      <c r="P296">
        <v>6</v>
      </c>
      <c r="Q296">
        <v>0</v>
      </c>
      <c r="R296" t="s">
        <v>151</v>
      </c>
      <c r="S296" t="s">
        <v>216</v>
      </c>
      <c r="T296" t="s">
        <v>44</v>
      </c>
    </row>
    <row r="297" spans="1:20" x14ac:dyDescent="0.3">
      <c r="A297" t="s">
        <v>274</v>
      </c>
      <c r="B297" t="s">
        <v>180</v>
      </c>
      <c r="C297" t="s">
        <v>543</v>
      </c>
      <c r="D297" t="s">
        <v>287</v>
      </c>
      <c r="E297">
        <v>180</v>
      </c>
      <c r="F297">
        <v>7</v>
      </c>
      <c r="G297" t="s">
        <v>293</v>
      </c>
      <c r="H297">
        <v>160</v>
      </c>
      <c r="I297">
        <v>9</v>
      </c>
      <c r="J297" t="s">
        <v>434</v>
      </c>
      <c r="K297" t="s">
        <v>293</v>
      </c>
      <c r="L297" t="s">
        <v>26</v>
      </c>
      <c r="M297" t="s">
        <v>300</v>
      </c>
      <c r="N297" t="s">
        <v>28</v>
      </c>
      <c r="O297" t="s">
        <v>29</v>
      </c>
      <c r="P297">
        <v>0</v>
      </c>
      <c r="Q297">
        <v>20</v>
      </c>
      <c r="R297" t="s">
        <v>495</v>
      </c>
      <c r="S297" t="s">
        <v>66</v>
      </c>
      <c r="T297" t="s">
        <v>286</v>
      </c>
    </row>
    <row r="298" spans="1:20" x14ac:dyDescent="0.3">
      <c r="A298" t="s">
        <v>274</v>
      </c>
      <c r="B298" t="s">
        <v>186</v>
      </c>
      <c r="C298" t="s">
        <v>543</v>
      </c>
      <c r="D298" t="s">
        <v>515</v>
      </c>
      <c r="E298">
        <v>91</v>
      </c>
      <c r="F298">
        <v>10</v>
      </c>
      <c r="G298" t="s">
        <v>276</v>
      </c>
      <c r="H298">
        <v>95</v>
      </c>
      <c r="I298">
        <v>2</v>
      </c>
      <c r="J298" t="s">
        <v>144</v>
      </c>
      <c r="K298" t="s">
        <v>276</v>
      </c>
      <c r="L298" t="s">
        <v>26</v>
      </c>
      <c r="M298" t="s">
        <v>64</v>
      </c>
      <c r="N298" t="s">
        <v>28</v>
      </c>
      <c r="O298" t="s">
        <v>29</v>
      </c>
      <c r="P298">
        <v>8</v>
      </c>
      <c r="Q298">
        <v>0</v>
      </c>
      <c r="R298" t="s">
        <v>30</v>
      </c>
      <c r="S298" t="s">
        <v>50</v>
      </c>
      <c r="T298" t="s">
        <v>44</v>
      </c>
    </row>
    <row r="299" spans="1:20" x14ac:dyDescent="0.3">
      <c r="A299" t="s">
        <v>274</v>
      </c>
      <c r="B299" t="s">
        <v>190</v>
      </c>
      <c r="C299" t="s">
        <v>544</v>
      </c>
      <c r="D299" t="s">
        <v>280</v>
      </c>
      <c r="E299">
        <v>144</v>
      </c>
      <c r="F299">
        <v>6</v>
      </c>
      <c r="G299" t="s">
        <v>277</v>
      </c>
      <c r="H299">
        <v>146</v>
      </c>
      <c r="I299">
        <v>2</v>
      </c>
      <c r="J299" t="s">
        <v>461</v>
      </c>
      <c r="K299" t="s">
        <v>277</v>
      </c>
      <c r="L299" t="s">
        <v>26</v>
      </c>
      <c r="M299" t="s">
        <v>284</v>
      </c>
      <c r="N299" t="s">
        <v>28</v>
      </c>
      <c r="O299" t="s">
        <v>29</v>
      </c>
      <c r="P299">
        <v>8</v>
      </c>
      <c r="Q299">
        <v>0</v>
      </c>
      <c r="R299" t="s">
        <v>30</v>
      </c>
      <c r="S299" t="s">
        <v>66</v>
      </c>
      <c r="T299" t="s">
        <v>286</v>
      </c>
    </row>
    <row r="300" spans="1:20" x14ac:dyDescent="0.3">
      <c r="A300" t="s">
        <v>274</v>
      </c>
      <c r="B300" t="s">
        <v>195</v>
      </c>
      <c r="C300" t="s">
        <v>544</v>
      </c>
      <c r="D300" t="s">
        <v>287</v>
      </c>
      <c r="E300">
        <v>134</v>
      </c>
      <c r="F300">
        <v>9</v>
      </c>
      <c r="G300" t="s">
        <v>276</v>
      </c>
      <c r="H300">
        <v>136</v>
      </c>
      <c r="I300">
        <v>1</v>
      </c>
      <c r="J300" t="s">
        <v>183</v>
      </c>
      <c r="K300" t="s">
        <v>276</v>
      </c>
      <c r="L300" t="s">
        <v>26</v>
      </c>
      <c r="M300" t="s">
        <v>64</v>
      </c>
      <c r="N300" t="s">
        <v>28</v>
      </c>
      <c r="O300" t="s">
        <v>29</v>
      </c>
      <c r="P300">
        <v>9</v>
      </c>
      <c r="Q300">
        <v>0</v>
      </c>
      <c r="R300" t="s">
        <v>71</v>
      </c>
      <c r="S300" t="s">
        <v>56</v>
      </c>
      <c r="T300" t="s">
        <v>44</v>
      </c>
    </row>
    <row r="301" spans="1:20" x14ac:dyDescent="0.3">
      <c r="A301" t="s">
        <v>274</v>
      </c>
      <c r="B301" t="s">
        <v>33</v>
      </c>
      <c r="C301" t="s">
        <v>545</v>
      </c>
      <c r="D301" t="s">
        <v>293</v>
      </c>
      <c r="E301">
        <v>173</v>
      </c>
      <c r="F301">
        <v>7</v>
      </c>
      <c r="G301" t="s">
        <v>295</v>
      </c>
      <c r="H301">
        <v>68</v>
      </c>
      <c r="I301">
        <v>10</v>
      </c>
      <c r="J301" t="s">
        <v>546</v>
      </c>
      <c r="K301" t="s">
        <v>293</v>
      </c>
      <c r="L301" t="s">
        <v>37</v>
      </c>
      <c r="M301" t="s">
        <v>516</v>
      </c>
      <c r="N301" t="s">
        <v>28</v>
      </c>
      <c r="O301" t="s">
        <v>29</v>
      </c>
      <c r="P301">
        <v>0</v>
      </c>
      <c r="Q301">
        <v>105</v>
      </c>
      <c r="R301" t="s">
        <v>510</v>
      </c>
      <c r="S301" t="s">
        <v>66</v>
      </c>
      <c r="T301" t="s">
        <v>225</v>
      </c>
    </row>
    <row r="302" spans="1:20" x14ac:dyDescent="0.3">
      <c r="A302" t="s">
        <v>274</v>
      </c>
      <c r="B302" t="s">
        <v>40</v>
      </c>
      <c r="C302" t="s">
        <v>545</v>
      </c>
      <c r="D302" t="s">
        <v>515</v>
      </c>
      <c r="E302">
        <v>162</v>
      </c>
      <c r="F302">
        <v>4</v>
      </c>
      <c r="G302" t="s">
        <v>280</v>
      </c>
      <c r="H302">
        <v>163</v>
      </c>
      <c r="I302">
        <v>5</v>
      </c>
      <c r="J302" t="s">
        <v>464</v>
      </c>
      <c r="K302" t="s">
        <v>280</v>
      </c>
      <c r="L302" t="s">
        <v>26</v>
      </c>
      <c r="M302" t="s">
        <v>289</v>
      </c>
      <c r="N302" t="s">
        <v>28</v>
      </c>
      <c r="O302" t="s">
        <v>29</v>
      </c>
      <c r="P302">
        <v>5</v>
      </c>
      <c r="Q302">
        <v>0</v>
      </c>
      <c r="R302" t="s">
        <v>55</v>
      </c>
      <c r="S302" t="s">
        <v>286</v>
      </c>
      <c r="T302" t="s">
        <v>44</v>
      </c>
    </row>
    <row r="303" spans="1:20" x14ac:dyDescent="0.3">
      <c r="A303" t="s">
        <v>304</v>
      </c>
      <c r="B303" t="s">
        <v>163</v>
      </c>
      <c r="C303" t="s">
        <v>547</v>
      </c>
      <c r="D303" t="s">
        <v>307</v>
      </c>
      <c r="E303">
        <v>175</v>
      </c>
      <c r="F303">
        <v>5</v>
      </c>
      <c r="G303" t="s">
        <v>312</v>
      </c>
      <c r="H303">
        <v>177</v>
      </c>
      <c r="I303">
        <v>1</v>
      </c>
      <c r="J303" t="s">
        <v>253</v>
      </c>
      <c r="K303" t="s">
        <v>312</v>
      </c>
      <c r="L303" t="s">
        <v>26</v>
      </c>
      <c r="M303" t="s">
        <v>27</v>
      </c>
      <c r="N303" t="s">
        <v>88</v>
      </c>
      <c r="O303" t="s">
        <v>89</v>
      </c>
      <c r="P303">
        <v>9</v>
      </c>
      <c r="Q303">
        <v>0</v>
      </c>
      <c r="R303" t="s">
        <v>71</v>
      </c>
      <c r="S303" t="s">
        <v>50</v>
      </c>
      <c r="T303" t="s">
        <v>286</v>
      </c>
    </row>
    <row r="304" spans="1:20" x14ac:dyDescent="0.3">
      <c r="A304" t="s">
        <v>304</v>
      </c>
      <c r="B304" t="s">
        <v>168</v>
      </c>
      <c r="C304" t="s">
        <v>547</v>
      </c>
      <c r="D304" t="s">
        <v>280</v>
      </c>
      <c r="E304">
        <v>143</v>
      </c>
      <c r="F304">
        <v>8</v>
      </c>
      <c r="G304" t="s">
        <v>277</v>
      </c>
      <c r="H304">
        <v>144</v>
      </c>
      <c r="I304">
        <v>4</v>
      </c>
      <c r="J304" t="s">
        <v>308</v>
      </c>
      <c r="K304" t="s">
        <v>277</v>
      </c>
      <c r="L304" t="s">
        <v>26</v>
      </c>
      <c r="M304" t="s">
        <v>284</v>
      </c>
      <c r="N304" t="s">
        <v>88</v>
      </c>
      <c r="O304" t="s">
        <v>89</v>
      </c>
      <c r="P304">
        <v>6</v>
      </c>
      <c r="Q304">
        <v>0</v>
      </c>
      <c r="R304" t="s">
        <v>151</v>
      </c>
      <c r="S304" t="s">
        <v>66</v>
      </c>
      <c r="T304" t="s">
        <v>225</v>
      </c>
    </row>
    <row r="305" spans="1:20" x14ac:dyDescent="0.3">
      <c r="A305" t="s">
        <v>304</v>
      </c>
      <c r="B305" t="s">
        <v>170</v>
      </c>
      <c r="C305" t="s">
        <v>548</v>
      </c>
      <c r="D305" t="s">
        <v>143</v>
      </c>
      <c r="E305">
        <v>158</v>
      </c>
      <c r="F305">
        <v>7</v>
      </c>
      <c r="G305" t="s">
        <v>310</v>
      </c>
      <c r="H305">
        <v>95</v>
      </c>
      <c r="I305">
        <v>10</v>
      </c>
      <c r="J305" t="s">
        <v>440</v>
      </c>
      <c r="K305" t="s">
        <v>310</v>
      </c>
      <c r="L305" t="s">
        <v>26</v>
      </c>
      <c r="M305" t="s">
        <v>145</v>
      </c>
      <c r="N305" t="s">
        <v>28</v>
      </c>
      <c r="O305" t="s">
        <v>29</v>
      </c>
      <c r="P305">
        <v>0</v>
      </c>
      <c r="Q305">
        <v>63</v>
      </c>
      <c r="R305" t="s">
        <v>549</v>
      </c>
      <c r="S305" t="s">
        <v>216</v>
      </c>
      <c r="T305" t="s">
        <v>225</v>
      </c>
    </row>
    <row r="306" spans="1:20" x14ac:dyDescent="0.3">
      <c r="A306" t="s">
        <v>304</v>
      </c>
      <c r="B306" t="s">
        <v>176</v>
      </c>
      <c r="C306" t="s">
        <v>548</v>
      </c>
      <c r="D306" t="s">
        <v>312</v>
      </c>
      <c r="E306">
        <v>100</v>
      </c>
      <c r="F306">
        <v>10</v>
      </c>
      <c r="G306" t="s">
        <v>307</v>
      </c>
      <c r="H306">
        <v>101</v>
      </c>
      <c r="I306">
        <v>3</v>
      </c>
      <c r="J306" t="s">
        <v>448</v>
      </c>
      <c r="K306" t="s">
        <v>307</v>
      </c>
      <c r="L306" t="s">
        <v>26</v>
      </c>
      <c r="M306" t="s">
        <v>550</v>
      </c>
      <c r="N306" t="s">
        <v>28</v>
      </c>
      <c r="O306" t="s">
        <v>29</v>
      </c>
      <c r="P306">
        <v>7</v>
      </c>
      <c r="Q306">
        <v>0</v>
      </c>
      <c r="R306" t="s">
        <v>118</v>
      </c>
      <c r="S306" t="s">
        <v>66</v>
      </c>
      <c r="T306" t="s">
        <v>44</v>
      </c>
    </row>
    <row r="307" spans="1:20" x14ac:dyDescent="0.3">
      <c r="A307" t="s">
        <v>304</v>
      </c>
      <c r="B307" t="s">
        <v>180</v>
      </c>
      <c r="C307" t="s">
        <v>551</v>
      </c>
      <c r="D307" t="s">
        <v>280</v>
      </c>
      <c r="E307">
        <v>190</v>
      </c>
      <c r="F307">
        <v>7</v>
      </c>
      <c r="G307" t="s">
        <v>277</v>
      </c>
      <c r="H307">
        <v>165</v>
      </c>
      <c r="I307">
        <v>9</v>
      </c>
      <c r="J307" t="s">
        <v>552</v>
      </c>
      <c r="K307" t="s">
        <v>277</v>
      </c>
      <c r="L307" t="s">
        <v>26</v>
      </c>
      <c r="M307" t="s">
        <v>289</v>
      </c>
      <c r="N307" t="s">
        <v>28</v>
      </c>
      <c r="O307" t="s">
        <v>29</v>
      </c>
      <c r="P307">
        <v>0</v>
      </c>
      <c r="Q307">
        <v>25</v>
      </c>
      <c r="R307" t="s">
        <v>240</v>
      </c>
      <c r="S307" t="s">
        <v>216</v>
      </c>
      <c r="T307" t="s">
        <v>44</v>
      </c>
    </row>
    <row r="308" spans="1:20" x14ac:dyDescent="0.3">
      <c r="A308" t="s">
        <v>304</v>
      </c>
      <c r="B308" t="s">
        <v>186</v>
      </c>
      <c r="C308" t="s">
        <v>551</v>
      </c>
      <c r="D308" t="s">
        <v>310</v>
      </c>
      <c r="E308">
        <v>129</v>
      </c>
      <c r="F308">
        <v>8</v>
      </c>
      <c r="G308" t="s">
        <v>312</v>
      </c>
      <c r="H308">
        <v>130</v>
      </c>
      <c r="I308">
        <v>6</v>
      </c>
      <c r="J308" t="s">
        <v>157</v>
      </c>
      <c r="K308" t="s">
        <v>312</v>
      </c>
      <c r="L308" t="s">
        <v>26</v>
      </c>
      <c r="M308" t="s">
        <v>27</v>
      </c>
      <c r="N308" t="s">
        <v>28</v>
      </c>
      <c r="O308" t="s">
        <v>29</v>
      </c>
      <c r="P308">
        <v>4</v>
      </c>
      <c r="Q308">
        <v>0</v>
      </c>
      <c r="R308" t="s">
        <v>90</v>
      </c>
      <c r="S308" t="s">
        <v>66</v>
      </c>
      <c r="T308" t="s">
        <v>225</v>
      </c>
    </row>
    <row r="309" spans="1:20" x14ac:dyDescent="0.3">
      <c r="A309" t="s">
        <v>304</v>
      </c>
      <c r="B309" t="s">
        <v>190</v>
      </c>
      <c r="C309" t="s">
        <v>553</v>
      </c>
      <c r="D309" t="s">
        <v>280</v>
      </c>
      <c r="E309">
        <v>161</v>
      </c>
      <c r="F309">
        <v>8</v>
      </c>
      <c r="G309" t="s">
        <v>312</v>
      </c>
      <c r="H309">
        <v>131</v>
      </c>
      <c r="I309">
        <v>10</v>
      </c>
      <c r="J309" t="s">
        <v>554</v>
      </c>
      <c r="K309" t="s">
        <v>312</v>
      </c>
      <c r="L309" t="s">
        <v>26</v>
      </c>
      <c r="M309" t="s">
        <v>289</v>
      </c>
      <c r="N309" t="s">
        <v>28</v>
      </c>
      <c r="O309" t="s">
        <v>29</v>
      </c>
      <c r="P309">
        <v>0</v>
      </c>
      <c r="Q309">
        <v>30</v>
      </c>
      <c r="R309" t="s">
        <v>452</v>
      </c>
      <c r="S309" t="s">
        <v>44</v>
      </c>
      <c r="T309" t="s">
        <v>225</v>
      </c>
    </row>
    <row r="310" spans="1:20" x14ac:dyDescent="0.3">
      <c r="A310" t="s">
        <v>304</v>
      </c>
      <c r="B310" t="s">
        <v>195</v>
      </c>
      <c r="C310" t="s">
        <v>553</v>
      </c>
      <c r="D310" t="s">
        <v>307</v>
      </c>
      <c r="E310">
        <v>96</v>
      </c>
      <c r="F310">
        <v>10</v>
      </c>
      <c r="G310" t="s">
        <v>143</v>
      </c>
      <c r="H310">
        <v>97</v>
      </c>
      <c r="I310">
        <v>8</v>
      </c>
      <c r="J310" t="s">
        <v>440</v>
      </c>
      <c r="K310" t="s">
        <v>143</v>
      </c>
      <c r="L310" t="s">
        <v>26</v>
      </c>
      <c r="M310" t="s">
        <v>145</v>
      </c>
      <c r="N310" t="s">
        <v>28</v>
      </c>
      <c r="O310" t="s">
        <v>29</v>
      </c>
      <c r="P310">
        <v>2</v>
      </c>
      <c r="Q310">
        <v>0</v>
      </c>
      <c r="R310" t="s">
        <v>281</v>
      </c>
      <c r="S310" t="s">
        <v>66</v>
      </c>
      <c r="T310" t="s">
        <v>216</v>
      </c>
    </row>
    <row r="311" spans="1:20" x14ac:dyDescent="0.3">
      <c r="A311" t="s">
        <v>304</v>
      </c>
      <c r="B311" t="s">
        <v>33</v>
      </c>
      <c r="C311" t="s">
        <v>555</v>
      </c>
      <c r="D311" t="s">
        <v>312</v>
      </c>
      <c r="E311">
        <v>183</v>
      </c>
      <c r="F311">
        <v>6</v>
      </c>
      <c r="G311" t="s">
        <v>277</v>
      </c>
      <c r="H311">
        <v>186</v>
      </c>
      <c r="I311">
        <v>5</v>
      </c>
      <c r="J311" t="s">
        <v>501</v>
      </c>
      <c r="K311" t="s">
        <v>277</v>
      </c>
      <c r="L311" t="s">
        <v>26</v>
      </c>
      <c r="M311" t="s">
        <v>284</v>
      </c>
      <c r="N311" t="s">
        <v>28</v>
      </c>
      <c r="O311" t="s">
        <v>29</v>
      </c>
      <c r="P311">
        <v>5</v>
      </c>
      <c r="Q311">
        <v>0</v>
      </c>
      <c r="R311" t="s">
        <v>55</v>
      </c>
      <c r="S311" t="s">
        <v>66</v>
      </c>
      <c r="T311" t="s">
        <v>216</v>
      </c>
    </row>
    <row r="312" spans="1:20" x14ac:dyDescent="0.3">
      <c r="A312" t="s">
        <v>304</v>
      </c>
      <c r="B312" t="s">
        <v>40</v>
      </c>
      <c r="C312" t="s">
        <v>555</v>
      </c>
      <c r="D312" t="s">
        <v>280</v>
      </c>
      <c r="E312">
        <v>125</v>
      </c>
      <c r="F312">
        <v>8</v>
      </c>
      <c r="G312" t="s">
        <v>310</v>
      </c>
      <c r="H312">
        <v>126</v>
      </c>
      <c r="I312">
        <v>6</v>
      </c>
      <c r="J312" t="s">
        <v>410</v>
      </c>
      <c r="K312" t="s">
        <v>310</v>
      </c>
      <c r="L312" t="s">
        <v>26</v>
      </c>
      <c r="M312" t="s">
        <v>311</v>
      </c>
      <c r="N312" t="s">
        <v>28</v>
      </c>
      <c r="O312" t="s">
        <v>29</v>
      </c>
      <c r="P312">
        <v>4</v>
      </c>
      <c r="Q312">
        <v>0</v>
      </c>
      <c r="R312" t="s">
        <v>90</v>
      </c>
      <c r="S312" t="s">
        <v>44</v>
      </c>
      <c r="T312" t="s">
        <v>225</v>
      </c>
    </row>
    <row r="313" spans="1:20" x14ac:dyDescent="0.3">
      <c r="A313" t="s">
        <v>304</v>
      </c>
      <c r="B313" t="s">
        <v>40</v>
      </c>
      <c r="C313" t="s">
        <v>555</v>
      </c>
      <c r="D313" t="s">
        <v>280</v>
      </c>
      <c r="E313">
        <v>125</v>
      </c>
      <c r="F313">
        <v>8</v>
      </c>
      <c r="G313" t="s">
        <v>310</v>
      </c>
      <c r="H313">
        <v>126</v>
      </c>
      <c r="I313">
        <v>6</v>
      </c>
      <c r="J313" t="s">
        <v>410</v>
      </c>
      <c r="K313" t="s">
        <v>310</v>
      </c>
      <c r="L313" t="s">
        <v>37</v>
      </c>
      <c r="M313" t="s">
        <v>310</v>
      </c>
      <c r="N313" t="s">
        <v>28</v>
      </c>
      <c r="O313" t="s">
        <v>29</v>
      </c>
      <c r="P313">
        <v>4</v>
      </c>
      <c r="Q313">
        <v>0</v>
      </c>
      <c r="R313" t="s">
        <v>90</v>
      </c>
      <c r="S313" t="s">
        <v>44</v>
      </c>
      <c r="T313" t="s">
        <v>225</v>
      </c>
    </row>
    <row r="314" spans="1:20" x14ac:dyDescent="0.3">
      <c r="A314" t="s">
        <v>304</v>
      </c>
      <c r="B314" t="s">
        <v>556</v>
      </c>
      <c r="C314" t="s">
        <v>555</v>
      </c>
      <c r="D314" t="s">
        <v>312</v>
      </c>
      <c r="E314">
        <v>183</v>
      </c>
      <c r="F314">
        <v>6</v>
      </c>
      <c r="G314" t="s">
        <v>277</v>
      </c>
      <c r="H314">
        <v>186</v>
      </c>
      <c r="I314">
        <v>5</v>
      </c>
      <c r="J314" t="s">
        <v>501</v>
      </c>
      <c r="K314" t="s">
        <v>277</v>
      </c>
      <c r="L314" t="s">
        <v>26</v>
      </c>
      <c r="M314" t="s">
        <v>277</v>
      </c>
      <c r="N314" t="s">
        <v>28</v>
      </c>
      <c r="O314" t="s">
        <v>29</v>
      </c>
      <c r="P314">
        <v>5</v>
      </c>
      <c r="Q314">
        <v>0</v>
      </c>
      <c r="R314" t="s">
        <v>55</v>
      </c>
      <c r="S314" t="s">
        <v>557</v>
      </c>
      <c r="T314" t="s">
        <v>66</v>
      </c>
    </row>
    <row r="315" spans="1:20" x14ac:dyDescent="0.3">
      <c r="A315" t="s">
        <v>304</v>
      </c>
      <c r="B315" t="s">
        <v>195</v>
      </c>
      <c r="C315" t="s">
        <v>553</v>
      </c>
      <c r="D315" t="s">
        <v>307</v>
      </c>
      <c r="E315">
        <v>96</v>
      </c>
      <c r="F315">
        <v>10</v>
      </c>
      <c r="G315" t="s">
        <v>143</v>
      </c>
      <c r="H315">
        <v>97</v>
      </c>
      <c r="I315">
        <v>8</v>
      </c>
      <c r="J315" t="s">
        <v>440</v>
      </c>
      <c r="K315" t="s">
        <v>143</v>
      </c>
      <c r="L315" t="s">
        <v>26</v>
      </c>
      <c r="M315" t="s">
        <v>143</v>
      </c>
      <c r="N315" t="s">
        <v>28</v>
      </c>
      <c r="O315" t="s">
        <v>29</v>
      </c>
      <c r="P315">
        <v>2</v>
      </c>
      <c r="Q315">
        <v>0</v>
      </c>
      <c r="R315" t="s">
        <v>281</v>
      </c>
      <c r="S315" t="s">
        <v>66</v>
      </c>
      <c r="T315" t="s">
        <v>557</v>
      </c>
    </row>
    <row r="316" spans="1:20" x14ac:dyDescent="0.3">
      <c r="A316" t="s">
        <v>304</v>
      </c>
      <c r="B316" t="s">
        <v>190</v>
      </c>
      <c r="C316" t="s">
        <v>553</v>
      </c>
      <c r="D316" t="s">
        <v>280</v>
      </c>
      <c r="E316">
        <v>161</v>
      </c>
      <c r="F316">
        <v>8</v>
      </c>
      <c r="G316" t="s">
        <v>312</v>
      </c>
      <c r="H316">
        <v>131</v>
      </c>
      <c r="I316">
        <v>10</v>
      </c>
      <c r="J316" t="s">
        <v>554</v>
      </c>
      <c r="K316" t="s">
        <v>312</v>
      </c>
      <c r="L316" t="s">
        <v>26</v>
      </c>
      <c r="M316" t="s">
        <v>280</v>
      </c>
      <c r="N316" t="s">
        <v>28</v>
      </c>
      <c r="O316" t="s">
        <v>29</v>
      </c>
      <c r="P316">
        <v>0</v>
      </c>
      <c r="Q316">
        <v>30</v>
      </c>
      <c r="R316" t="s">
        <v>452</v>
      </c>
      <c r="S316" t="s">
        <v>44</v>
      </c>
      <c r="T316" t="s">
        <v>558</v>
      </c>
    </row>
    <row r="317" spans="1:20" x14ac:dyDescent="0.3">
      <c r="A317" t="s">
        <v>304</v>
      </c>
      <c r="B317" t="s">
        <v>186</v>
      </c>
      <c r="C317" t="s">
        <v>551</v>
      </c>
      <c r="D317" t="s">
        <v>310</v>
      </c>
      <c r="E317">
        <v>129</v>
      </c>
      <c r="F317">
        <v>8</v>
      </c>
      <c r="G317" t="s">
        <v>312</v>
      </c>
      <c r="H317">
        <v>130</v>
      </c>
      <c r="I317">
        <v>6</v>
      </c>
      <c r="J317" t="s">
        <v>157</v>
      </c>
      <c r="K317" t="s">
        <v>312</v>
      </c>
      <c r="L317" t="s">
        <v>26</v>
      </c>
      <c r="M317" t="s">
        <v>312</v>
      </c>
      <c r="N317" t="s">
        <v>28</v>
      </c>
      <c r="O317" t="s">
        <v>29</v>
      </c>
      <c r="P317">
        <v>4</v>
      </c>
      <c r="Q317">
        <v>0</v>
      </c>
      <c r="R317" t="s">
        <v>90</v>
      </c>
      <c r="S317" t="s">
        <v>66</v>
      </c>
      <c r="T317" t="s">
        <v>225</v>
      </c>
    </row>
    <row r="318" spans="1:20" x14ac:dyDescent="0.3">
      <c r="A318" t="s">
        <v>304</v>
      </c>
      <c r="B318" t="s">
        <v>180</v>
      </c>
      <c r="C318" t="s">
        <v>551</v>
      </c>
      <c r="D318" t="s">
        <v>280</v>
      </c>
      <c r="E318">
        <v>190</v>
      </c>
      <c r="F318">
        <v>7</v>
      </c>
      <c r="G318" t="s">
        <v>277</v>
      </c>
      <c r="H318">
        <v>165</v>
      </c>
      <c r="I318">
        <v>9</v>
      </c>
      <c r="J318" t="s">
        <v>552</v>
      </c>
      <c r="K318" t="s">
        <v>277</v>
      </c>
      <c r="L318" t="s">
        <v>26</v>
      </c>
      <c r="M318" t="s">
        <v>280</v>
      </c>
      <c r="N318" t="s">
        <v>28</v>
      </c>
      <c r="O318" t="s">
        <v>29</v>
      </c>
      <c r="P318">
        <v>0</v>
      </c>
      <c r="Q318">
        <v>25</v>
      </c>
      <c r="R318" t="s">
        <v>240</v>
      </c>
      <c r="S318" t="s">
        <v>216</v>
      </c>
      <c r="T318" t="s">
        <v>44</v>
      </c>
    </row>
    <row r="319" spans="1:20" x14ac:dyDescent="0.3">
      <c r="A319" t="s">
        <v>304</v>
      </c>
      <c r="B319" t="s">
        <v>176</v>
      </c>
      <c r="C319" t="s">
        <v>548</v>
      </c>
      <c r="D319" t="s">
        <v>312</v>
      </c>
      <c r="E319">
        <v>100</v>
      </c>
      <c r="F319">
        <v>10</v>
      </c>
      <c r="G319" t="s">
        <v>307</v>
      </c>
      <c r="H319">
        <v>101</v>
      </c>
      <c r="I319">
        <v>3</v>
      </c>
      <c r="J319" t="s">
        <v>448</v>
      </c>
      <c r="K319" t="s">
        <v>307</v>
      </c>
      <c r="L319" t="s">
        <v>26</v>
      </c>
      <c r="M319" t="s">
        <v>307</v>
      </c>
      <c r="N319" t="s">
        <v>28</v>
      </c>
      <c r="O319" t="s">
        <v>29</v>
      </c>
      <c r="P319">
        <v>7</v>
      </c>
      <c r="Q319">
        <v>0</v>
      </c>
      <c r="R319" t="s">
        <v>118</v>
      </c>
      <c r="S319" t="s">
        <v>66</v>
      </c>
      <c r="T319" t="s">
        <v>44</v>
      </c>
    </row>
    <row r="320" spans="1:20" x14ac:dyDescent="0.3">
      <c r="A320" t="s">
        <v>304</v>
      </c>
      <c r="B320" t="s">
        <v>170</v>
      </c>
      <c r="C320" t="s">
        <v>548</v>
      </c>
      <c r="D320" t="s">
        <v>143</v>
      </c>
      <c r="E320">
        <v>158</v>
      </c>
      <c r="F320">
        <v>7</v>
      </c>
      <c r="G320" t="s">
        <v>310</v>
      </c>
      <c r="H320">
        <v>95</v>
      </c>
      <c r="I320">
        <v>10</v>
      </c>
      <c r="J320" t="s">
        <v>440</v>
      </c>
      <c r="K320" t="s">
        <v>310</v>
      </c>
      <c r="L320" t="s">
        <v>26</v>
      </c>
      <c r="M320" t="s">
        <v>143</v>
      </c>
      <c r="N320" t="s">
        <v>28</v>
      </c>
      <c r="O320" t="s">
        <v>29</v>
      </c>
      <c r="P320">
        <v>0</v>
      </c>
      <c r="Q320">
        <v>63</v>
      </c>
      <c r="R320" t="s">
        <v>549</v>
      </c>
      <c r="S320" t="s">
        <v>216</v>
      </c>
      <c r="T320" t="s">
        <v>225</v>
      </c>
    </row>
    <row r="321" spans="1:20" x14ac:dyDescent="0.3">
      <c r="A321" t="s">
        <v>304</v>
      </c>
      <c r="B321" t="s">
        <v>168</v>
      </c>
      <c r="C321" t="s">
        <v>547</v>
      </c>
      <c r="D321" t="s">
        <v>280</v>
      </c>
      <c r="E321">
        <v>143</v>
      </c>
      <c r="F321">
        <v>8</v>
      </c>
      <c r="G321" t="s">
        <v>277</v>
      </c>
      <c r="H321">
        <v>144</v>
      </c>
      <c r="I321">
        <v>4</v>
      </c>
      <c r="J321" t="s">
        <v>308</v>
      </c>
      <c r="K321" t="s">
        <v>277</v>
      </c>
      <c r="L321" t="s">
        <v>26</v>
      </c>
      <c r="M321" t="s">
        <v>277</v>
      </c>
      <c r="N321" t="s">
        <v>28</v>
      </c>
      <c r="O321" t="s">
        <v>29</v>
      </c>
      <c r="P321">
        <v>6</v>
      </c>
      <c r="Q321">
        <v>0</v>
      </c>
      <c r="R321" t="s">
        <v>151</v>
      </c>
      <c r="S321" t="s">
        <v>66</v>
      </c>
      <c r="T321" t="s">
        <v>225</v>
      </c>
    </row>
    <row r="322" spans="1:20" x14ac:dyDescent="0.3">
      <c r="A322" t="s">
        <v>304</v>
      </c>
      <c r="B322" t="s">
        <v>163</v>
      </c>
      <c r="C322" t="s">
        <v>547</v>
      </c>
      <c r="D322" t="s">
        <v>307</v>
      </c>
      <c r="E322">
        <v>175</v>
      </c>
      <c r="F322">
        <v>5</v>
      </c>
      <c r="G322" t="s">
        <v>312</v>
      </c>
      <c r="H322">
        <v>177</v>
      </c>
      <c r="I322">
        <v>1</v>
      </c>
      <c r="J322" t="s">
        <v>253</v>
      </c>
      <c r="K322" t="s">
        <v>312</v>
      </c>
      <c r="L322" t="s">
        <v>26</v>
      </c>
      <c r="M322" t="s">
        <v>312</v>
      </c>
      <c r="N322" t="s">
        <v>88</v>
      </c>
      <c r="O322" t="s">
        <v>89</v>
      </c>
      <c r="P322">
        <v>9</v>
      </c>
      <c r="Q322">
        <v>0</v>
      </c>
      <c r="R322" t="s">
        <v>71</v>
      </c>
      <c r="S322" t="s">
        <v>50</v>
      </c>
      <c r="T322" t="s">
        <v>286</v>
      </c>
    </row>
    <row r="323" spans="1:20" x14ac:dyDescent="0.3">
      <c r="A323" t="s">
        <v>304</v>
      </c>
      <c r="B323" t="s">
        <v>156</v>
      </c>
      <c r="C323" t="s">
        <v>318</v>
      </c>
      <c r="D323" t="s">
        <v>310</v>
      </c>
      <c r="E323">
        <v>141</v>
      </c>
      <c r="F323">
        <v>9</v>
      </c>
      <c r="G323" t="s">
        <v>277</v>
      </c>
      <c r="H323">
        <v>124</v>
      </c>
      <c r="I323">
        <v>10</v>
      </c>
      <c r="J323" t="s">
        <v>320</v>
      </c>
      <c r="K323" t="s">
        <v>277</v>
      </c>
      <c r="L323" t="s">
        <v>26</v>
      </c>
      <c r="M323" t="s">
        <v>310</v>
      </c>
      <c r="N323" t="s">
        <v>88</v>
      </c>
      <c r="O323" t="s">
        <v>89</v>
      </c>
      <c r="P323">
        <v>0</v>
      </c>
      <c r="Q323">
        <v>17</v>
      </c>
      <c r="R323" t="s">
        <v>254</v>
      </c>
      <c r="S323" t="s">
        <v>216</v>
      </c>
      <c r="T323" t="s">
        <v>286</v>
      </c>
    </row>
    <row r="324" spans="1:20" x14ac:dyDescent="0.3">
      <c r="A324" t="s">
        <v>304</v>
      </c>
      <c r="B324" t="s">
        <v>148</v>
      </c>
      <c r="C324" t="s">
        <v>318</v>
      </c>
      <c r="D324" t="s">
        <v>280</v>
      </c>
      <c r="E324">
        <v>202</v>
      </c>
      <c r="F324">
        <v>5</v>
      </c>
      <c r="G324" t="s">
        <v>307</v>
      </c>
      <c r="H324">
        <v>186</v>
      </c>
      <c r="I324">
        <v>6</v>
      </c>
      <c r="J324" t="s">
        <v>319</v>
      </c>
      <c r="K324" t="s">
        <v>307</v>
      </c>
      <c r="L324" t="s">
        <v>26</v>
      </c>
      <c r="M324" t="s">
        <v>280</v>
      </c>
      <c r="N324" t="s">
        <v>88</v>
      </c>
      <c r="O324" t="s">
        <v>89</v>
      </c>
      <c r="P324">
        <v>0</v>
      </c>
      <c r="Q324">
        <v>16</v>
      </c>
      <c r="R324" t="s">
        <v>169</v>
      </c>
      <c r="S324" t="s">
        <v>50</v>
      </c>
      <c r="T324" t="s">
        <v>44</v>
      </c>
    </row>
    <row r="325" spans="1:20" x14ac:dyDescent="0.3">
      <c r="A325" t="s">
        <v>304</v>
      </c>
      <c r="B325" t="s">
        <v>138</v>
      </c>
      <c r="C325" t="s">
        <v>314</v>
      </c>
      <c r="D325" t="s">
        <v>143</v>
      </c>
      <c r="E325">
        <v>183</v>
      </c>
      <c r="F325">
        <v>3</v>
      </c>
      <c r="G325" t="s">
        <v>280</v>
      </c>
      <c r="H325">
        <v>131</v>
      </c>
      <c r="I325">
        <v>10</v>
      </c>
      <c r="J325" t="s">
        <v>316</v>
      </c>
      <c r="K325" t="s">
        <v>280</v>
      </c>
      <c r="L325" t="s">
        <v>26</v>
      </c>
      <c r="M325" t="s">
        <v>143</v>
      </c>
      <c r="N325" t="s">
        <v>88</v>
      </c>
      <c r="O325" t="s">
        <v>89</v>
      </c>
      <c r="P325">
        <v>0</v>
      </c>
      <c r="Q325">
        <v>52</v>
      </c>
      <c r="R325" t="s">
        <v>317</v>
      </c>
      <c r="S325" t="s">
        <v>216</v>
      </c>
      <c r="T325" t="s">
        <v>44</v>
      </c>
    </row>
    <row r="326" spans="1:20" x14ac:dyDescent="0.3">
      <c r="A326" t="s">
        <v>304</v>
      </c>
      <c r="B326" t="s">
        <v>132</v>
      </c>
      <c r="C326" t="s">
        <v>314</v>
      </c>
      <c r="D326" t="s">
        <v>310</v>
      </c>
      <c r="E326">
        <v>145</v>
      </c>
      <c r="F326">
        <v>10</v>
      </c>
      <c r="G326" t="s">
        <v>277</v>
      </c>
      <c r="H326">
        <v>139</v>
      </c>
      <c r="I326">
        <v>6</v>
      </c>
      <c r="J326" t="s">
        <v>108</v>
      </c>
      <c r="K326" t="s">
        <v>310</v>
      </c>
      <c r="L326" t="s">
        <v>37</v>
      </c>
      <c r="M326" t="s">
        <v>310</v>
      </c>
      <c r="N326" t="s">
        <v>88</v>
      </c>
      <c r="O326" t="s">
        <v>89</v>
      </c>
      <c r="P326">
        <v>0</v>
      </c>
      <c r="Q326">
        <v>6</v>
      </c>
      <c r="R326" t="s">
        <v>315</v>
      </c>
      <c r="S326" t="s">
        <v>50</v>
      </c>
      <c r="T326" t="s">
        <v>286</v>
      </c>
    </row>
    <row r="327" spans="1:20" x14ac:dyDescent="0.3">
      <c r="A327" t="s">
        <v>304</v>
      </c>
      <c r="B327" t="s">
        <v>126</v>
      </c>
      <c r="C327" t="s">
        <v>559</v>
      </c>
      <c r="D327" t="s">
        <v>312</v>
      </c>
      <c r="E327">
        <v>181</v>
      </c>
      <c r="F327">
        <v>6</v>
      </c>
      <c r="G327" t="s">
        <v>143</v>
      </c>
      <c r="H327">
        <v>131</v>
      </c>
      <c r="I327">
        <v>10</v>
      </c>
      <c r="J327" t="s">
        <v>157</v>
      </c>
      <c r="K327" t="s">
        <v>143</v>
      </c>
      <c r="L327" t="s">
        <v>26</v>
      </c>
      <c r="M327" t="s">
        <v>312</v>
      </c>
      <c r="N327" t="s">
        <v>88</v>
      </c>
      <c r="O327" t="s">
        <v>89</v>
      </c>
      <c r="P327">
        <v>0</v>
      </c>
      <c r="Q327">
        <v>50</v>
      </c>
      <c r="R327" t="s">
        <v>313</v>
      </c>
      <c r="S327" t="s">
        <v>286</v>
      </c>
      <c r="T327" t="s">
        <v>225</v>
      </c>
    </row>
    <row r="328" spans="1:20" x14ac:dyDescent="0.3">
      <c r="A328" t="s">
        <v>304</v>
      </c>
      <c r="B328" t="s">
        <v>123</v>
      </c>
      <c r="C328" t="s">
        <v>559</v>
      </c>
      <c r="D328" t="s">
        <v>310</v>
      </c>
      <c r="E328">
        <v>149</v>
      </c>
      <c r="F328">
        <v>10</v>
      </c>
      <c r="G328" t="s">
        <v>280</v>
      </c>
      <c r="H328">
        <v>135</v>
      </c>
      <c r="I328">
        <v>10</v>
      </c>
      <c r="J328" t="s">
        <v>108</v>
      </c>
      <c r="K328" t="s">
        <v>310</v>
      </c>
      <c r="L328" t="s">
        <v>37</v>
      </c>
      <c r="M328" t="s">
        <v>310</v>
      </c>
      <c r="N328" t="s">
        <v>88</v>
      </c>
      <c r="O328" t="s">
        <v>89</v>
      </c>
      <c r="P328">
        <v>0</v>
      </c>
      <c r="Q328">
        <v>14</v>
      </c>
      <c r="R328" t="s">
        <v>135</v>
      </c>
      <c r="S328" t="s">
        <v>50</v>
      </c>
      <c r="T328" t="s">
        <v>66</v>
      </c>
    </row>
    <row r="329" spans="1:20" x14ac:dyDescent="0.3">
      <c r="A329" t="s">
        <v>304</v>
      </c>
      <c r="B329" t="s">
        <v>116</v>
      </c>
      <c r="C329" t="s">
        <v>560</v>
      </c>
      <c r="D329" t="s">
        <v>307</v>
      </c>
      <c r="E329">
        <v>142</v>
      </c>
      <c r="F329">
        <v>5</v>
      </c>
      <c r="G329" t="s">
        <v>277</v>
      </c>
      <c r="H329">
        <v>144</v>
      </c>
      <c r="I329">
        <v>1</v>
      </c>
      <c r="J329" t="s">
        <v>308</v>
      </c>
      <c r="K329" t="s">
        <v>277</v>
      </c>
      <c r="L329" t="s">
        <v>26</v>
      </c>
      <c r="M329" t="s">
        <v>277</v>
      </c>
      <c r="N329" t="s">
        <v>28</v>
      </c>
      <c r="O329" t="s">
        <v>29</v>
      </c>
      <c r="P329">
        <v>9</v>
      </c>
      <c r="Q329">
        <v>0</v>
      </c>
      <c r="R329" t="s">
        <v>71</v>
      </c>
      <c r="S329" t="s">
        <v>66</v>
      </c>
      <c r="T329" t="s">
        <v>216</v>
      </c>
    </row>
    <row r="330" spans="1:20" x14ac:dyDescent="0.3">
      <c r="A330" t="s">
        <v>304</v>
      </c>
      <c r="B330" t="s">
        <v>110</v>
      </c>
      <c r="C330" t="s">
        <v>560</v>
      </c>
      <c r="D330" t="s">
        <v>280</v>
      </c>
      <c r="E330">
        <v>138</v>
      </c>
      <c r="F330">
        <v>8</v>
      </c>
      <c r="G330" t="s">
        <v>143</v>
      </c>
      <c r="H330">
        <v>148</v>
      </c>
      <c r="I330">
        <v>1</v>
      </c>
      <c r="J330" t="s">
        <v>306</v>
      </c>
      <c r="K330" t="s">
        <v>143</v>
      </c>
      <c r="L330" t="s">
        <v>26</v>
      </c>
      <c r="M330" t="s">
        <v>143</v>
      </c>
      <c r="N330" t="s">
        <v>28</v>
      </c>
      <c r="O330" t="s">
        <v>29</v>
      </c>
      <c r="P330">
        <v>9</v>
      </c>
      <c r="Q330">
        <v>0</v>
      </c>
      <c r="R330" t="s">
        <v>71</v>
      </c>
      <c r="S330" t="s">
        <v>50</v>
      </c>
      <c r="T330" t="s">
        <v>286</v>
      </c>
    </row>
    <row r="331" spans="1:20" x14ac:dyDescent="0.3">
      <c r="A331" t="s">
        <v>304</v>
      </c>
      <c r="B331" t="s">
        <v>91</v>
      </c>
      <c r="C331" t="s">
        <v>561</v>
      </c>
      <c r="D331" t="s">
        <v>310</v>
      </c>
      <c r="E331">
        <v>155</v>
      </c>
      <c r="F331">
        <v>5</v>
      </c>
      <c r="G331" t="s">
        <v>143</v>
      </c>
      <c r="H331">
        <v>123</v>
      </c>
      <c r="I331">
        <v>9</v>
      </c>
      <c r="J331" t="s">
        <v>108</v>
      </c>
      <c r="K331" t="s">
        <v>143</v>
      </c>
      <c r="L331" t="s">
        <v>26</v>
      </c>
      <c r="M331" t="s">
        <v>310</v>
      </c>
      <c r="N331" t="s">
        <v>469</v>
      </c>
      <c r="O331" t="s">
        <v>470</v>
      </c>
      <c r="P331">
        <v>0</v>
      </c>
      <c r="Q331">
        <v>32</v>
      </c>
      <c r="R331" t="s">
        <v>414</v>
      </c>
      <c r="S331" t="s">
        <v>66</v>
      </c>
      <c r="T331" t="s">
        <v>562</v>
      </c>
    </row>
    <row r="332" spans="1:20" x14ac:dyDescent="0.3">
      <c r="A332" t="s">
        <v>304</v>
      </c>
      <c r="B332" t="s">
        <v>85</v>
      </c>
      <c r="C332" t="s">
        <v>563</v>
      </c>
      <c r="D332" t="s">
        <v>277</v>
      </c>
      <c r="E332">
        <v>182</v>
      </c>
      <c r="F332">
        <v>3</v>
      </c>
      <c r="G332" t="s">
        <v>307</v>
      </c>
      <c r="H332">
        <v>167</v>
      </c>
      <c r="I332">
        <v>6</v>
      </c>
      <c r="J332" t="s">
        <v>386</v>
      </c>
      <c r="K332" t="s">
        <v>307</v>
      </c>
      <c r="L332" t="s">
        <v>26</v>
      </c>
      <c r="M332" t="s">
        <v>277</v>
      </c>
      <c r="N332" t="s">
        <v>469</v>
      </c>
      <c r="O332" t="s">
        <v>470</v>
      </c>
      <c r="P332">
        <v>0</v>
      </c>
      <c r="Q332">
        <v>15</v>
      </c>
      <c r="R332" t="s">
        <v>530</v>
      </c>
      <c r="S332" t="s">
        <v>50</v>
      </c>
      <c r="T332" t="s">
        <v>286</v>
      </c>
    </row>
    <row r="333" spans="1:20" x14ac:dyDescent="0.3">
      <c r="A333" t="s">
        <v>304</v>
      </c>
      <c r="B333" t="s">
        <v>78</v>
      </c>
      <c r="C333" t="s">
        <v>564</v>
      </c>
      <c r="D333" t="s">
        <v>280</v>
      </c>
      <c r="E333">
        <v>148</v>
      </c>
      <c r="F333">
        <v>6</v>
      </c>
      <c r="G333" t="s">
        <v>312</v>
      </c>
      <c r="H333">
        <v>145</v>
      </c>
      <c r="I333">
        <v>6</v>
      </c>
      <c r="J333" t="s">
        <v>565</v>
      </c>
      <c r="K333" t="s">
        <v>312</v>
      </c>
      <c r="L333" t="s">
        <v>26</v>
      </c>
      <c r="M333" t="s">
        <v>280</v>
      </c>
      <c r="N333" t="s">
        <v>469</v>
      </c>
      <c r="O333" t="s">
        <v>470</v>
      </c>
      <c r="P333">
        <v>0</v>
      </c>
      <c r="Q333">
        <v>3</v>
      </c>
      <c r="R333" t="s">
        <v>437</v>
      </c>
      <c r="S333" t="s">
        <v>286</v>
      </c>
      <c r="T333" t="s">
        <v>50</v>
      </c>
    </row>
    <row r="334" spans="1:20" x14ac:dyDescent="0.3">
      <c r="A334" t="s">
        <v>304</v>
      </c>
      <c r="B334" t="s">
        <v>68</v>
      </c>
      <c r="C334" t="s">
        <v>564</v>
      </c>
      <c r="D334" t="s">
        <v>310</v>
      </c>
      <c r="E334">
        <v>199</v>
      </c>
      <c r="F334">
        <v>4</v>
      </c>
      <c r="G334" t="s">
        <v>307</v>
      </c>
      <c r="H334">
        <v>187</v>
      </c>
      <c r="I334">
        <v>6</v>
      </c>
      <c r="J334" t="s">
        <v>108</v>
      </c>
      <c r="K334" t="s">
        <v>307</v>
      </c>
      <c r="L334" t="s">
        <v>26</v>
      </c>
      <c r="M334" t="s">
        <v>310</v>
      </c>
      <c r="N334" t="s">
        <v>469</v>
      </c>
      <c r="O334" t="s">
        <v>470</v>
      </c>
      <c r="P334">
        <v>0</v>
      </c>
      <c r="Q334">
        <v>12</v>
      </c>
      <c r="R334" t="s">
        <v>417</v>
      </c>
      <c r="S334" t="s">
        <v>562</v>
      </c>
      <c r="T334" t="s">
        <v>225</v>
      </c>
    </row>
    <row r="335" spans="1:20" x14ac:dyDescent="0.3">
      <c r="A335" t="s">
        <v>304</v>
      </c>
      <c r="B335" t="s">
        <v>67</v>
      </c>
      <c r="C335" t="s">
        <v>566</v>
      </c>
      <c r="D335" t="s">
        <v>277</v>
      </c>
      <c r="E335">
        <v>129</v>
      </c>
      <c r="F335">
        <v>8</v>
      </c>
      <c r="G335" t="s">
        <v>312</v>
      </c>
      <c r="H335">
        <v>131</v>
      </c>
      <c r="I335">
        <v>5</v>
      </c>
      <c r="J335" t="s">
        <v>377</v>
      </c>
      <c r="K335" t="s">
        <v>277</v>
      </c>
      <c r="L335" t="s">
        <v>37</v>
      </c>
      <c r="M335" t="s">
        <v>312</v>
      </c>
      <c r="N335" t="s">
        <v>469</v>
      </c>
      <c r="O335" t="s">
        <v>470</v>
      </c>
      <c r="P335">
        <v>5</v>
      </c>
      <c r="Q335">
        <v>0</v>
      </c>
      <c r="R335" t="s">
        <v>55</v>
      </c>
      <c r="S335" t="s">
        <v>286</v>
      </c>
      <c r="T335" t="s">
        <v>225</v>
      </c>
    </row>
    <row r="336" spans="1:20" x14ac:dyDescent="0.3">
      <c r="A336" t="s">
        <v>304</v>
      </c>
      <c r="B336" t="s">
        <v>60</v>
      </c>
      <c r="C336" t="s">
        <v>566</v>
      </c>
      <c r="D336" t="s">
        <v>307</v>
      </c>
      <c r="E336">
        <v>169</v>
      </c>
      <c r="F336">
        <v>5</v>
      </c>
      <c r="G336" t="s">
        <v>143</v>
      </c>
      <c r="H336">
        <v>173</v>
      </c>
      <c r="I336">
        <v>6</v>
      </c>
      <c r="J336" t="s">
        <v>567</v>
      </c>
      <c r="K336" t="s">
        <v>143</v>
      </c>
      <c r="L336" t="s">
        <v>26</v>
      </c>
      <c r="M336" t="s">
        <v>143</v>
      </c>
      <c r="N336" t="s">
        <v>469</v>
      </c>
      <c r="O336" t="s">
        <v>470</v>
      </c>
      <c r="P336">
        <v>4</v>
      </c>
      <c r="Q336">
        <v>0</v>
      </c>
      <c r="R336" t="s">
        <v>90</v>
      </c>
      <c r="S336" t="s">
        <v>50</v>
      </c>
      <c r="T336" t="s">
        <v>562</v>
      </c>
    </row>
    <row r="337" spans="1:20" x14ac:dyDescent="0.3">
      <c r="A337" t="s">
        <v>304</v>
      </c>
      <c r="B337" t="s">
        <v>58</v>
      </c>
      <c r="C337" t="s">
        <v>568</v>
      </c>
      <c r="D337" t="s">
        <v>143</v>
      </c>
      <c r="E337">
        <v>188</v>
      </c>
      <c r="F337">
        <v>6</v>
      </c>
      <c r="G337" t="s">
        <v>277</v>
      </c>
      <c r="H337">
        <v>123</v>
      </c>
      <c r="I337">
        <v>10</v>
      </c>
      <c r="J337" t="s">
        <v>569</v>
      </c>
      <c r="K337" t="s">
        <v>277</v>
      </c>
      <c r="L337" t="s">
        <v>26</v>
      </c>
      <c r="M337" t="s">
        <v>143</v>
      </c>
      <c r="N337" t="s">
        <v>28</v>
      </c>
      <c r="O337" t="s">
        <v>29</v>
      </c>
      <c r="P337">
        <v>0</v>
      </c>
      <c r="Q337">
        <v>65</v>
      </c>
      <c r="R337" t="s">
        <v>474</v>
      </c>
      <c r="S337" t="s">
        <v>66</v>
      </c>
      <c r="T337" t="s">
        <v>557</v>
      </c>
    </row>
    <row r="338" spans="1:20" x14ac:dyDescent="0.3">
      <c r="A338" t="s">
        <v>304</v>
      </c>
      <c r="B338" t="s">
        <v>51</v>
      </c>
      <c r="C338" t="s">
        <v>568</v>
      </c>
      <c r="D338" t="s">
        <v>312</v>
      </c>
      <c r="E338">
        <v>128</v>
      </c>
      <c r="F338">
        <v>9</v>
      </c>
      <c r="G338" t="s">
        <v>310</v>
      </c>
      <c r="H338">
        <v>129</v>
      </c>
      <c r="I338">
        <v>2</v>
      </c>
      <c r="J338" t="s">
        <v>108</v>
      </c>
      <c r="K338" t="s">
        <v>312</v>
      </c>
      <c r="L338" t="s">
        <v>37</v>
      </c>
      <c r="M338" t="s">
        <v>310</v>
      </c>
      <c r="N338" t="s">
        <v>28</v>
      </c>
      <c r="O338" t="s">
        <v>29</v>
      </c>
      <c r="P338">
        <v>8</v>
      </c>
      <c r="Q338">
        <v>0</v>
      </c>
      <c r="R338" t="s">
        <v>30</v>
      </c>
      <c r="S338" t="s">
        <v>50</v>
      </c>
      <c r="T338" t="s">
        <v>286</v>
      </c>
    </row>
    <row r="339" spans="1:20" x14ac:dyDescent="0.3">
      <c r="A339" t="s">
        <v>304</v>
      </c>
      <c r="B339" t="s">
        <v>45</v>
      </c>
      <c r="C339" t="s">
        <v>570</v>
      </c>
      <c r="D339" t="s">
        <v>307</v>
      </c>
      <c r="E339">
        <v>185</v>
      </c>
      <c r="F339">
        <v>6</v>
      </c>
      <c r="G339" t="s">
        <v>280</v>
      </c>
      <c r="H339">
        <v>188</v>
      </c>
      <c r="I339">
        <v>6</v>
      </c>
      <c r="J339" t="s">
        <v>571</v>
      </c>
      <c r="K339" t="s">
        <v>280</v>
      </c>
      <c r="L339" t="s">
        <v>26</v>
      </c>
      <c r="M339" t="s">
        <v>280</v>
      </c>
      <c r="N339" t="s">
        <v>28</v>
      </c>
      <c r="O339" t="s">
        <v>29</v>
      </c>
      <c r="P339">
        <v>4</v>
      </c>
      <c r="Q339">
        <v>0</v>
      </c>
      <c r="R339" t="s">
        <v>90</v>
      </c>
      <c r="S339" t="s">
        <v>66</v>
      </c>
      <c r="T339" t="s">
        <v>286</v>
      </c>
    </row>
    <row r="340" spans="1:20" x14ac:dyDescent="0.3">
      <c r="A340" t="s">
        <v>304</v>
      </c>
      <c r="B340" t="s">
        <v>336</v>
      </c>
      <c r="C340" t="s">
        <v>570</v>
      </c>
      <c r="D340" t="s">
        <v>143</v>
      </c>
      <c r="E340">
        <v>182</v>
      </c>
      <c r="F340">
        <v>5</v>
      </c>
      <c r="G340" t="s">
        <v>277</v>
      </c>
      <c r="H340">
        <v>183</v>
      </c>
      <c r="I340">
        <v>1</v>
      </c>
      <c r="J340" t="s">
        <v>308</v>
      </c>
      <c r="K340" t="s">
        <v>143</v>
      </c>
      <c r="L340" t="s">
        <v>37</v>
      </c>
      <c r="M340" t="s">
        <v>277</v>
      </c>
      <c r="N340" t="s">
        <v>28</v>
      </c>
      <c r="O340" t="s">
        <v>29</v>
      </c>
      <c r="P340">
        <v>9</v>
      </c>
      <c r="Q340">
        <v>0</v>
      </c>
      <c r="R340" t="s">
        <v>71</v>
      </c>
      <c r="S340" t="s">
        <v>50</v>
      </c>
      <c r="T340" t="s">
        <v>558</v>
      </c>
    </row>
    <row r="341" spans="1:20" x14ac:dyDescent="0.3">
      <c r="A341" t="s">
        <v>304</v>
      </c>
      <c r="B341" t="s">
        <v>158</v>
      </c>
      <c r="C341" t="s">
        <v>572</v>
      </c>
      <c r="D341" t="s">
        <v>280</v>
      </c>
      <c r="E341">
        <v>189</v>
      </c>
      <c r="F341">
        <v>5</v>
      </c>
      <c r="G341" t="s">
        <v>277</v>
      </c>
      <c r="H341">
        <v>182</v>
      </c>
      <c r="I341">
        <v>5</v>
      </c>
      <c r="J341" t="s">
        <v>537</v>
      </c>
      <c r="K341" t="s">
        <v>277</v>
      </c>
      <c r="L341" t="s">
        <v>26</v>
      </c>
      <c r="M341" t="s">
        <v>280</v>
      </c>
      <c r="N341" t="s">
        <v>28</v>
      </c>
      <c r="O341" t="s">
        <v>29</v>
      </c>
      <c r="P341">
        <v>0</v>
      </c>
      <c r="Q341">
        <v>7</v>
      </c>
      <c r="R341" t="s">
        <v>364</v>
      </c>
      <c r="S341" t="s">
        <v>50</v>
      </c>
      <c r="T341" t="s">
        <v>286</v>
      </c>
    </row>
    <row r="342" spans="1:20" x14ac:dyDescent="0.3">
      <c r="A342" t="s">
        <v>304</v>
      </c>
      <c r="B342" t="s">
        <v>573</v>
      </c>
      <c r="C342" t="s">
        <v>572</v>
      </c>
      <c r="D342" t="s">
        <v>310</v>
      </c>
      <c r="E342">
        <v>143</v>
      </c>
      <c r="F342">
        <v>8</v>
      </c>
      <c r="G342" t="s">
        <v>143</v>
      </c>
      <c r="H342">
        <v>133</v>
      </c>
      <c r="I342">
        <v>7</v>
      </c>
      <c r="J342" t="s">
        <v>320</v>
      </c>
      <c r="K342" t="s">
        <v>143</v>
      </c>
      <c r="L342" t="s">
        <v>26</v>
      </c>
      <c r="M342" t="s">
        <v>310</v>
      </c>
      <c r="N342" t="s">
        <v>28</v>
      </c>
      <c r="O342" t="s">
        <v>29</v>
      </c>
      <c r="P342">
        <v>0</v>
      </c>
      <c r="Q342">
        <v>10</v>
      </c>
      <c r="R342" t="s">
        <v>384</v>
      </c>
      <c r="S342" t="s">
        <v>66</v>
      </c>
      <c r="T342" t="s">
        <v>558</v>
      </c>
    </row>
    <row r="343" spans="1:20" x14ac:dyDescent="0.3">
      <c r="A343" t="s">
        <v>304</v>
      </c>
      <c r="B343" t="s">
        <v>574</v>
      </c>
      <c r="C343" t="s">
        <v>575</v>
      </c>
      <c r="D343" t="s">
        <v>280</v>
      </c>
      <c r="E343">
        <v>148</v>
      </c>
      <c r="F343">
        <v>10</v>
      </c>
      <c r="G343" t="s">
        <v>143</v>
      </c>
      <c r="H343">
        <v>149</v>
      </c>
      <c r="I343">
        <v>3</v>
      </c>
      <c r="J343" t="s">
        <v>260</v>
      </c>
      <c r="K343" t="s">
        <v>280</v>
      </c>
      <c r="L343" t="s">
        <v>37</v>
      </c>
      <c r="M343" t="s">
        <v>143</v>
      </c>
      <c r="N343" t="s">
        <v>28</v>
      </c>
      <c r="O343" t="s">
        <v>29</v>
      </c>
      <c r="P343">
        <v>7</v>
      </c>
      <c r="Q343">
        <v>0</v>
      </c>
      <c r="R343" t="s">
        <v>118</v>
      </c>
      <c r="S343" t="s">
        <v>558</v>
      </c>
      <c r="T343" t="s">
        <v>286</v>
      </c>
    </row>
    <row r="344" spans="1:20" x14ac:dyDescent="0.3">
      <c r="A344" t="s">
        <v>304</v>
      </c>
      <c r="B344" t="s">
        <v>576</v>
      </c>
      <c r="C344" t="s">
        <v>577</v>
      </c>
      <c r="D344" t="s">
        <v>143</v>
      </c>
      <c r="E344">
        <v>151</v>
      </c>
      <c r="F344">
        <v>9</v>
      </c>
      <c r="G344" t="s">
        <v>310</v>
      </c>
      <c r="H344">
        <v>150</v>
      </c>
      <c r="I344">
        <v>8</v>
      </c>
      <c r="J344" t="s">
        <v>260</v>
      </c>
      <c r="K344" t="s">
        <v>143</v>
      </c>
      <c r="L344" t="s">
        <v>37</v>
      </c>
      <c r="M344" t="s">
        <v>143</v>
      </c>
      <c r="N344" t="s">
        <v>28</v>
      </c>
      <c r="O344" t="s">
        <v>29</v>
      </c>
      <c r="P344">
        <v>0</v>
      </c>
      <c r="Q344">
        <v>1</v>
      </c>
      <c r="R344" t="s">
        <v>578</v>
      </c>
      <c r="S344" t="s">
        <v>66</v>
      </c>
      <c r="T344" t="s">
        <v>286</v>
      </c>
    </row>
    <row r="345" spans="1:20" x14ac:dyDescent="0.3">
      <c r="A345" t="s">
        <v>579</v>
      </c>
      <c r="B345" t="s">
        <v>40</v>
      </c>
      <c r="C345" t="s">
        <v>580</v>
      </c>
      <c r="D345" t="s">
        <v>280</v>
      </c>
      <c r="E345">
        <v>89</v>
      </c>
      <c r="F345">
        <v>9</v>
      </c>
      <c r="G345" t="s">
        <v>581</v>
      </c>
      <c r="H345">
        <v>90</v>
      </c>
      <c r="I345">
        <v>2</v>
      </c>
      <c r="J345" t="s">
        <v>582</v>
      </c>
      <c r="K345" t="s">
        <v>581</v>
      </c>
      <c r="L345" t="s">
        <v>26</v>
      </c>
      <c r="M345" t="s">
        <v>581</v>
      </c>
      <c r="N345" t="s">
        <v>28</v>
      </c>
      <c r="O345" t="s">
        <v>29</v>
      </c>
      <c r="P345">
        <v>8</v>
      </c>
      <c r="Q345">
        <v>0</v>
      </c>
      <c r="R345" t="s">
        <v>30</v>
      </c>
      <c r="S345" t="s">
        <v>56</v>
      </c>
      <c r="T345" t="s">
        <v>583</v>
      </c>
    </row>
    <row r="346" spans="1:20" x14ac:dyDescent="0.3">
      <c r="A346" t="s">
        <v>579</v>
      </c>
      <c r="B346" t="s">
        <v>33</v>
      </c>
      <c r="C346" t="s">
        <v>580</v>
      </c>
      <c r="D346" t="s">
        <v>295</v>
      </c>
      <c r="E346">
        <v>176</v>
      </c>
      <c r="F346">
        <v>5</v>
      </c>
      <c r="G346" t="s">
        <v>143</v>
      </c>
      <c r="H346">
        <v>142</v>
      </c>
      <c r="I346">
        <v>10</v>
      </c>
      <c r="J346" t="s">
        <v>501</v>
      </c>
      <c r="K346" t="s">
        <v>143</v>
      </c>
      <c r="L346" t="s">
        <v>26</v>
      </c>
      <c r="M346" t="s">
        <v>295</v>
      </c>
      <c r="N346" t="s">
        <v>28</v>
      </c>
      <c r="O346" t="s">
        <v>29</v>
      </c>
      <c r="P346">
        <v>0</v>
      </c>
      <c r="Q346">
        <v>34</v>
      </c>
      <c r="R346" t="s">
        <v>303</v>
      </c>
      <c r="S346" t="s">
        <v>216</v>
      </c>
      <c r="T346" t="s">
        <v>558</v>
      </c>
    </row>
    <row r="347" spans="1:20" x14ac:dyDescent="0.3">
      <c r="A347" t="s">
        <v>579</v>
      </c>
      <c r="B347" t="s">
        <v>195</v>
      </c>
      <c r="C347" t="s">
        <v>584</v>
      </c>
      <c r="D347" t="s">
        <v>277</v>
      </c>
      <c r="E347">
        <v>113</v>
      </c>
      <c r="F347">
        <v>8</v>
      </c>
      <c r="G347" t="s">
        <v>585</v>
      </c>
      <c r="H347">
        <v>117</v>
      </c>
      <c r="I347">
        <v>4</v>
      </c>
      <c r="J347" t="s">
        <v>97</v>
      </c>
      <c r="K347" t="s">
        <v>585</v>
      </c>
      <c r="L347" t="s">
        <v>26</v>
      </c>
      <c r="M347" t="s">
        <v>585</v>
      </c>
      <c r="N347" t="s">
        <v>28</v>
      </c>
      <c r="O347" t="s">
        <v>29</v>
      </c>
      <c r="P347">
        <v>6</v>
      </c>
      <c r="Q347">
        <v>0</v>
      </c>
      <c r="R347" t="s">
        <v>151</v>
      </c>
      <c r="S347" t="s">
        <v>56</v>
      </c>
      <c r="T347" t="s">
        <v>557</v>
      </c>
    </row>
    <row r="348" spans="1:20" x14ac:dyDescent="0.3">
      <c r="A348" t="s">
        <v>579</v>
      </c>
      <c r="B348" t="s">
        <v>190</v>
      </c>
      <c r="C348" t="s">
        <v>584</v>
      </c>
      <c r="D348" t="s">
        <v>310</v>
      </c>
      <c r="E348">
        <v>194</v>
      </c>
      <c r="F348">
        <v>7</v>
      </c>
      <c r="G348" t="s">
        <v>581</v>
      </c>
      <c r="H348">
        <v>196</v>
      </c>
      <c r="I348">
        <v>4</v>
      </c>
      <c r="J348" t="s">
        <v>586</v>
      </c>
      <c r="K348" t="s">
        <v>310</v>
      </c>
      <c r="L348" t="s">
        <v>37</v>
      </c>
      <c r="M348" t="s">
        <v>581</v>
      </c>
      <c r="N348" t="s">
        <v>28</v>
      </c>
      <c r="O348" t="s">
        <v>29</v>
      </c>
      <c r="P348">
        <v>6</v>
      </c>
      <c r="Q348">
        <v>0</v>
      </c>
      <c r="R348" t="s">
        <v>151</v>
      </c>
      <c r="S348" t="s">
        <v>50</v>
      </c>
      <c r="T348" t="s">
        <v>558</v>
      </c>
    </row>
    <row r="349" spans="1:20" x14ac:dyDescent="0.3">
      <c r="A349" t="s">
        <v>579</v>
      </c>
      <c r="B349" t="s">
        <v>186</v>
      </c>
      <c r="C349" t="s">
        <v>587</v>
      </c>
      <c r="D349" t="s">
        <v>143</v>
      </c>
      <c r="E349">
        <v>149</v>
      </c>
      <c r="F349">
        <v>6</v>
      </c>
      <c r="G349" t="s">
        <v>581</v>
      </c>
      <c r="H349">
        <v>150</v>
      </c>
      <c r="I349">
        <v>5</v>
      </c>
      <c r="J349" t="s">
        <v>586</v>
      </c>
      <c r="K349" t="s">
        <v>581</v>
      </c>
      <c r="L349" t="s">
        <v>26</v>
      </c>
      <c r="M349" t="s">
        <v>581</v>
      </c>
      <c r="N349" t="s">
        <v>28</v>
      </c>
      <c r="O349" t="s">
        <v>29</v>
      </c>
      <c r="P349">
        <v>5</v>
      </c>
      <c r="Q349">
        <v>0</v>
      </c>
      <c r="R349" t="s">
        <v>55</v>
      </c>
      <c r="S349" t="s">
        <v>278</v>
      </c>
      <c r="T349" t="s">
        <v>588</v>
      </c>
    </row>
    <row r="350" spans="1:20" x14ac:dyDescent="0.3">
      <c r="A350" t="s">
        <v>579</v>
      </c>
      <c r="B350" t="s">
        <v>180</v>
      </c>
      <c r="C350" t="s">
        <v>587</v>
      </c>
      <c r="D350" t="s">
        <v>277</v>
      </c>
      <c r="E350">
        <v>178</v>
      </c>
      <c r="F350">
        <v>5</v>
      </c>
      <c r="G350" t="s">
        <v>280</v>
      </c>
      <c r="H350">
        <v>179</v>
      </c>
      <c r="I350">
        <v>1</v>
      </c>
      <c r="J350" t="s">
        <v>589</v>
      </c>
      <c r="K350" t="s">
        <v>280</v>
      </c>
      <c r="L350" t="s">
        <v>26</v>
      </c>
      <c r="M350" t="s">
        <v>280</v>
      </c>
      <c r="N350" t="s">
        <v>28</v>
      </c>
      <c r="O350" t="s">
        <v>29</v>
      </c>
      <c r="P350">
        <v>9</v>
      </c>
      <c r="Q350">
        <v>0</v>
      </c>
      <c r="R350" t="s">
        <v>71</v>
      </c>
      <c r="S350" t="s">
        <v>233</v>
      </c>
      <c r="T350" t="s">
        <v>558</v>
      </c>
    </row>
    <row r="351" spans="1:20" x14ac:dyDescent="0.3">
      <c r="A351" t="s">
        <v>579</v>
      </c>
      <c r="B351" t="s">
        <v>176</v>
      </c>
      <c r="C351" t="s">
        <v>590</v>
      </c>
      <c r="D351" t="s">
        <v>295</v>
      </c>
      <c r="E351">
        <v>158</v>
      </c>
      <c r="F351">
        <v>7</v>
      </c>
      <c r="G351" t="s">
        <v>310</v>
      </c>
      <c r="H351">
        <v>162</v>
      </c>
      <c r="I351">
        <v>4</v>
      </c>
      <c r="J351" t="s">
        <v>410</v>
      </c>
      <c r="K351" t="s">
        <v>310</v>
      </c>
      <c r="L351" t="s">
        <v>26</v>
      </c>
      <c r="M351" t="s">
        <v>310</v>
      </c>
      <c r="N351" t="s">
        <v>28</v>
      </c>
      <c r="O351" t="s">
        <v>29</v>
      </c>
      <c r="P351">
        <v>6</v>
      </c>
      <c r="Q351">
        <v>0</v>
      </c>
      <c r="R351" t="s">
        <v>151</v>
      </c>
      <c r="S351" t="s">
        <v>56</v>
      </c>
      <c r="T351" t="s">
        <v>233</v>
      </c>
    </row>
    <row r="352" spans="1:20" x14ac:dyDescent="0.3">
      <c r="A352" t="s">
        <v>579</v>
      </c>
      <c r="B352" t="s">
        <v>170</v>
      </c>
      <c r="C352" t="s">
        <v>590</v>
      </c>
      <c r="D352" t="s">
        <v>581</v>
      </c>
      <c r="E352">
        <v>201</v>
      </c>
      <c r="F352">
        <v>8</v>
      </c>
      <c r="G352" t="s">
        <v>585</v>
      </c>
      <c r="H352">
        <v>139</v>
      </c>
      <c r="I352">
        <v>10</v>
      </c>
      <c r="J352" t="s">
        <v>586</v>
      </c>
      <c r="K352" t="s">
        <v>585</v>
      </c>
      <c r="L352" t="s">
        <v>26</v>
      </c>
      <c r="M352" t="s">
        <v>581</v>
      </c>
      <c r="N352" t="s">
        <v>28</v>
      </c>
      <c r="O352" t="s">
        <v>29</v>
      </c>
      <c r="P352">
        <v>0</v>
      </c>
      <c r="Q352">
        <v>62</v>
      </c>
      <c r="R352" t="s">
        <v>375</v>
      </c>
      <c r="S352" t="s">
        <v>278</v>
      </c>
      <c r="T352" t="s">
        <v>588</v>
      </c>
    </row>
    <row r="353" spans="1:20" x14ac:dyDescent="0.3">
      <c r="A353" t="s">
        <v>579</v>
      </c>
      <c r="B353" t="s">
        <v>168</v>
      </c>
      <c r="C353" t="s">
        <v>591</v>
      </c>
      <c r="D353" t="s">
        <v>310</v>
      </c>
      <c r="E353">
        <v>202</v>
      </c>
      <c r="F353">
        <v>7</v>
      </c>
      <c r="G353" t="s">
        <v>280</v>
      </c>
      <c r="H353">
        <v>176</v>
      </c>
      <c r="I353">
        <v>4</v>
      </c>
      <c r="J353" t="s">
        <v>592</v>
      </c>
      <c r="K353" t="s">
        <v>280</v>
      </c>
      <c r="L353" t="s">
        <v>26</v>
      </c>
      <c r="M353" t="s">
        <v>310</v>
      </c>
      <c r="N353" t="s">
        <v>88</v>
      </c>
      <c r="O353" t="s">
        <v>89</v>
      </c>
      <c r="P353">
        <v>0</v>
      </c>
      <c r="Q353">
        <v>26</v>
      </c>
      <c r="R353" t="s">
        <v>115</v>
      </c>
      <c r="S353" t="s">
        <v>593</v>
      </c>
      <c r="T353" t="s">
        <v>233</v>
      </c>
    </row>
    <row r="354" spans="1:20" x14ac:dyDescent="0.3">
      <c r="A354" t="s">
        <v>579</v>
      </c>
      <c r="B354" t="s">
        <v>163</v>
      </c>
      <c r="C354" t="s">
        <v>591</v>
      </c>
      <c r="D354" t="s">
        <v>277</v>
      </c>
      <c r="E354">
        <v>130</v>
      </c>
      <c r="F354">
        <v>10</v>
      </c>
      <c r="G354" t="s">
        <v>295</v>
      </c>
      <c r="H354">
        <v>131</v>
      </c>
      <c r="I354">
        <v>6</v>
      </c>
      <c r="J354" t="s">
        <v>594</v>
      </c>
      <c r="K354" t="s">
        <v>113</v>
      </c>
      <c r="L354" t="s">
        <v>26</v>
      </c>
      <c r="M354" t="s">
        <v>295</v>
      </c>
      <c r="N354" t="s">
        <v>88</v>
      </c>
      <c r="O354" t="s">
        <v>89</v>
      </c>
      <c r="P354">
        <v>4</v>
      </c>
      <c r="Q354">
        <v>0</v>
      </c>
      <c r="R354" t="s">
        <v>90</v>
      </c>
      <c r="S354" t="s">
        <v>286</v>
      </c>
      <c r="T354" t="s">
        <v>558</v>
      </c>
    </row>
    <row r="355" spans="1:20" x14ac:dyDescent="0.3">
      <c r="A355" t="s">
        <v>579</v>
      </c>
      <c r="B355" t="s">
        <v>156</v>
      </c>
      <c r="C355" t="s">
        <v>595</v>
      </c>
      <c r="D355" t="s">
        <v>310</v>
      </c>
      <c r="E355">
        <v>177</v>
      </c>
      <c r="F355">
        <v>6</v>
      </c>
      <c r="G355" t="s">
        <v>143</v>
      </c>
      <c r="H355">
        <v>165</v>
      </c>
      <c r="I355">
        <v>7</v>
      </c>
      <c r="J355" t="s">
        <v>108</v>
      </c>
      <c r="K355" t="s">
        <v>143</v>
      </c>
      <c r="L355" t="s">
        <v>26</v>
      </c>
      <c r="M355" t="s">
        <v>310</v>
      </c>
      <c r="N355" t="s">
        <v>88</v>
      </c>
      <c r="O355" t="s">
        <v>89</v>
      </c>
      <c r="P355">
        <v>0</v>
      </c>
      <c r="Q355">
        <v>12</v>
      </c>
      <c r="R355" t="s">
        <v>417</v>
      </c>
      <c r="S355" t="s">
        <v>278</v>
      </c>
      <c r="T355" t="s">
        <v>557</v>
      </c>
    </row>
    <row r="356" spans="1:20" x14ac:dyDescent="0.3">
      <c r="A356" t="s">
        <v>579</v>
      </c>
      <c r="B356" t="s">
        <v>148</v>
      </c>
      <c r="C356" t="s">
        <v>595</v>
      </c>
      <c r="D356" t="s">
        <v>585</v>
      </c>
      <c r="E356">
        <v>158</v>
      </c>
      <c r="F356">
        <v>6</v>
      </c>
      <c r="G356" t="s">
        <v>280</v>
      </c>
      <c r="H356">
        <v>159</v>
      </c>
      <c r="I356">
        <v>2</v>
      </c>
      <c r="J356" t="s">
        <v>220</v>
      </c>
      <c r="K356" t="s">
        <v>585</v>
      </c>
      <c r="L356" t="s">
        <v>37</v>
      </c>
      <c r="M356" t="s">
        <v>280</v>
      </c>
      <c r="N356" t="s">
        <v>88</v>
      </c>
      <c r="O356" t="s">
        <v>89</v>
      </c>
      <c r="P356">
        <v>8</v>
      </c>
      <c r="Q356">
        <v>0</v>
      </c>
      <c r="R356" t="s">
        <v>30</v>
      </c>
      <c r="S356" t="s">
        <v>593</v>
      </c>
      <c r="T356" t="s">
        <v>286</v>
      </c>
    </row>
    <row r="357" spans="1:20" x14ac:dyDescent="0.3">
      <c r="A357" t="s">
        <v>579</v>
      </c>
      <c r="B357" t="s">
        <v>138</v>
      </c>
      <c r="C357" t="s">
        <v>596</v>
      </c>
      <c r="D357" t="s">
        <v>585</v>
      </c>
      <c r="E357">
        <v>128</v>
      </c>
      <c r="F357">
        <v>7</v>
      </c>
      <c r="G357" t="s">
        <v>581</v>
      </c>
      <c r="H357">
        <v>134</v>
      </c>
      <c r="I357">
        <v>5</v>
      </c>
      <c r="J357" t="s">
        <v>597</v>
      </c>
      <c r="K357" t="s">
        <v>585</v>
      </c>
      <c r="L357" t="s">
        <v>37</v>
      </c>
      <c r="M357" t="s">
        <v>581</v>
      </c>
      <c r="N357" t="s">
        <v>88</v>
      </c>
      <c r="O357" t="s">
        <v>89</v>
      </c>
      <c r="P357">
        <v>5</v>
      </c>
      <c r="Q357">
        <v>0</v>
      </c>
      <c r="R357" t="s">
        <v>55</v>
      </c>
      <c r="S357" t="s">
        <v>278</v>
      </c>
      <c r="T357" t="s">
        <v>557</v>
      </c>
    </row>
    <row r="358" spans="1:20" x14ac:dyDescent="0.3">
      <c r="A358" t="s">
        <v>579</v>
      </c>
      <c r="B358" t="s">
        <v>132</v>
      </c>
      <c r="C358" t="s">
        <v>596</v>
      </c>
      <c r="D358" t="s">
        <v>280</v>
      </c>
      <c r="E358">
        <v>135</v>
      </c>
      <c r="F358">
        <v>8</v>
      </c>
      <c r="G358" t="s">
        <v>143</v>
      </c>
      <c r="H358">
        <v>137</v>
      </c>
      <c r="I358">
        <v>4</v>
      </c>
      <c r="J358" t="s">
        <v>239</v>
      </c>
      <c r="K358" t="s">
        <v>280</v>
      </c>
      <c r="L358" t="s">
        <v>37</v>
      </c>
      <c r="M358" t="s">
        <v>143</v>
      </c>
      <c r="N358" t="s">
        <v>88</v>
      </c>
      <c r="O358" t="s">
        <v>89</v>
      </c>
      <c r="P358">
        <v>6</v>
      </c>
      <c r="Q358">
        <v>0</v>
      </c>
      <c r="R358" t="s">
        <v>151</v>
      </c>
      <c r="S358" t="s">
        <v>593</v>
      </c>
      <c r="T358" t="s">
        <v>233</v>
      </c>
    </row>
    <row r="359" spans="1:20" x14ac:dyDescent="0.3">
      <c r="A359" t="s">
        <v>579</v>
      </c>
      <c r="B359" t="s">
        <v>126</v>
      </c>
      <c r="C359" t="s">
        <v>598</v>
      </c>
      <c r="D359" t="s">
        <v>295</v>
      </c>
      <c r="E359">
        <v>129</v>
      </c>
      <c r="F359">
        <v>10</v>
      </c>
      <c r="G359" t="s">
        <v>277</v>
      </c>
      <c r="H359">
        <v>130</v>
      </c>
      <c r="I359">
        <v>1</v>
      </c>
      <c r="J359" t="s">
        <v>526</v>
      </c>
      <c r="K359" t="s">
        <v>277</v>
      </c>
      <c r="L359" t="s">
        <v>26</v>
      </c>
      <c r="M359" t="s">
        <v>277</v>
      </c>
      <c r="N359" t="s">
        <v>88</v>
      </c>
      <c r="O359" t="s">
        <v>89</v>
      </c>
      <c r="P359">
        <v>9</v>
      </c>
      <c r="Q359">
        <v>0</v>
      </c>
      <c r="R359" t="s">
        <v>71</v>
      </c>
      <c r="S359" t="s">
        <v>593</v>
      </c>
      <c r="T359" t="s">
        <v>278</v>
      </c>
    </row>
    <row r="360" spans="1:20" x14ac:dyDescent="0.3">
      <c r="A360" t="s">
        <v>579</v>
      </c>
      <c r="B360" t="s">
        <v>123</v>
      </c>
      <c r="C360" t="s">
        <v>598</v>
      </c>
      <c r="D360" t="s">
        <v>581</v>
      </c>
      <c r="E360">
        <v>133</v>
      </c>
      <c r="F360">
        <v>7</v>
      </c>
      <c r="G360" t="s">
        <v>143</v>
      </c>
      <c r="H360">
        <v>134</v>
      </c>
      <c r="I360">
        <v>5</v>
      </c>
      <c r="J360" t="s">
        <v>239</v>
      </c>
      <c r="K360" t="s">
        <v>143</v>
      </c>
      <c r="L360" t="s">
        <v>26</v>
      </c>
      <c r="M360" t="s">
        <v>143</v>
      </c>
      <c r="N360" t="s">
        <v>88</v>
      </c>
      <c r="O360" t="s">
        <v>89</v>
      </c>
      <c r="P360">
        <v>5</v>
      </c>
      <c r="Q360">
        <v>0</v>
      </c>
      <c r="R360" t="s">
        <v>55</v>
      </c>
      <c r="S360" t="s">
        <v>286</v>
      </c>
      <c r="T360" t="s">
        <v>558</v>
      </c>
    </row>
    <row r="361" spans="1:20" x14ac:dyDescent="0.3">
      <c r="A361" t="s">
        <v>579</v>
      </c>
      <c r="B361" t="s">
        <v>116</v>
      </c>
      <c r="C361" t="s">
        <v>599</v>
      </c>
      <c r="D361" t="s">
        <v>143</v>
      </c>
      <c r="E361">
        <v>184</v>
      </c>
      <c r="F361">
        <v>4</v>
      </c>
      <c r="G361" t="s">
        <v>585</v>
      </c>
      <c r="H361">
        <v>151</v>
      </c>
      <c r="I361">
        <v>4</v>
      </c>
      <c r="J361" t="s">
        <v>600</v>
      </c>
      <c r="K361" t="s">
        <v>585</v>
      </c>
      <c r="L361" t="s">
        <v>26</v>
      </c>
      <c r="M361" t="s">
        <v>143</v>
      </c>
      <c r="N361" t="s">
        <v>88</v>
      </c>
      <c r="O361" t="s">
        <v>89</v>
      </c>
      <c r="P361">
        <v>0</v>
      </c>
      <c r="Q361">
        <v>33</v>
      </c>
      <c r="R361" t="s">
        <v>131</v>
      </c>
      <c r="S361" t="s">
        <v>233</v>
      </c>
      <c r="T361" t="s">
        <v>50</v>
      </c>
    </row>
    <row r="362" spans="1:20" x14ac:dyDescent="0.3">
      <c r="A362" t="s">
        <v>579</v>
      </c>
      <c r="B362" t="s">
        <v>110</v>
      </c>
      <c r="C362" t="s">
        <v>599</v>
      </c>
      <c r="D362" t="s">
        <v>310</v>
      </c>
      <c r="E362">
        <v>238</v>
      </c>
      <c r="F362">
        <v>4</v>
      </c>
      <c r="G362" t="s">
        <v>295</v>
      </c>
      <c r="H362">
        <v>171</v>
      </c>
      <c r="I362">
        <v>9</v>
      </c>
      <c r="J362" t="s">
        <v>592</v>
      </c>
      <c r="K362" t="s">
        <v>295</v>
      </c>
      <c r="L362" t="s">
        <v>26</v>
      </c>
      <c r="M362" t="s">
        <v>310</v>
      </c>
      <c r="N362" t="s">
        <v>88</v>
      </c>
      <c r="O362" t="s">
        <v>89</v>
      </c>
      <c r="P362">
        <v>0</v>
      </c>
      <c r="Q362">
        <v>67</v>
      </c>
      <c r="R362" t="s">
        <v>601</v>
      </c>
      <c r="S362" t="s">
        <v>588</v>
      </c>
      <c r="T362" t="s">
        <v>286</v>
      </c>
    </row>
    <row r="363" spans="1:20" x14ac:dyDescent="0.3">
      <c r="A363" t="s">
        <v>579</v>
      </c>
      <c r="B363" t="s">
        <v>104</v>
      </c>
      <c r="C363" t="s">
        <v>602</v>
      </c>
      <c r="D363" t="s">
        <v>280</v>
      </c>
      <c r="E363">
        <v>157</v>
      </c>
      <c r="F363">
        <v>9</v>
      </c>
      <c r="G363" t="s">
        <v>277</v>
      </c>
      <c r="H363">
        <v>159</v>
      </c>
      <c r="I363">
        <v>3</v>
      </c>
      <c r="J363" t="s">
        <v>567</v>
      </c>
      <c r="K363" t="s">
        <v>277</v>
      </c>
      <c r="L363" t="s">
        <v>26</v>
      </c>
      <c r="M363" t="s">
        <v>277</v>
      </c>
      <c r="N363" t="s">
        <v>88</v>
      </c>
      <c r="O363" t="s">
        <v>89</v>
      </c>
      <c r="P363">
        <v>7</v>
      </c>
      <c r="Q363">
        <v>0</v>
      </c>
      <c r="R363" t="s">
        <v>118</v>
      </c>
      <c r="S363" t="s">
        <v>50</v>
      </c>
      <c r="T363" t="s">
        <v>233</v>
      </c>
    </row>
    <row r="364" spans="1:20" x14ac:dyDescent="0.3">
      <c r="A364" t="s">
        <v>579</v>
      </c>
      <c r="B364" t="s">
        <v>95</v>
      </c>
      <c r="C364" t="s">
        <v>602</v>
      </c>
      <c r="D364" t="s">
        <v>310</v>
      </c>
      <c r="E364">
        <v>173</v>
      </c>
      <c r="F364">
        <v>5</v>
      </c>
      <c r="G364" t="s">
        <v>585</v>
      </c>
      <c r="H364">
        <v>160</v>
      </c>
      <c r="I364">
        <v>4</v>
      </c>
      <c r="J364" t="s">
        <v>592</v>
      </c>
      <c r="K364" t="s">
        <v>585</v>
      </c>
      <c r="L364" t="s">
        <v>26</v>
      </c>
      <c r="M364" t="s">
        <v>310</v>
      </c>
      <c r="N364" t="s">
        <v>88</v>
      </c>
      <c r="O364" t="s">
        <v>89</v>
      </c>
      <c r="P364">
        <v>0</v>
      </c>
      <c r="Q364">
        <v>13</v>
      </c>
      <c r="R364" t="s">
        <v>81</v>
      </c>
      <c r="S364" t="s">
        <v>278</v>
      </c>
      <c r="T364" t="s">
        <v>588</v>
      </c>
    </row>
    <row r="365" spans="1:20" x14ac:dyDescent="0.3">
      <c r="A365" t="s">
        <v>579</v>
      </c>
      <c r="B365" t="s">
        <v>91</v>
      </c>
      <c r="C365" t="s">
        <v>603</v>
      </c>
      <c r="D365" t="s">
        <v>295</v>
      </c>
      <c r="E365">
        <v>179</v>
      </c>
      <c r="F365">
        <v>6</v>
      </c>
      <c r="G365" t="s">
        <v>280</v>
      </c>
      <c r="H365">
        <v>124</v>
      </c>
      <c r="I365">
        <v>10</v>
      </c>
      <c r="J365" t="s">
        <v>604</v>
      </c>
      <c r="K365" t="s">
        <v>280</v>
      </c>
      <c r="L365" t="s">
        <v>26</v>
      </c>
      <c r="M365" t="s">
        <v>295</v>
      </c>
      <c r="N365" t="s">
        <v>28</v>
      </c>
      <c r="O365" t="s">
        <v>29</v>
      </c>
      <c r="P365">
        <v>0</v>
      </c>
      <c r="Q365">
        <v>55</v>
      </c>
      <c r="R365" t="s">
        <v>605</v>
      </c>
      <c r="S365" t="s">
        <v>606</v>
      </c>
      <c r="T365" t="s">
        <v>286</v>
      </c>
    </row>
    <row r="366" spans="1:20" x14ac:dyDescent="0.3">
      <c r="A366" t="s">
        <v>579</v>
      </c>
      <c r="B366" t="s">
        <v>85</v>
      </c>
      <c r="C366" t="s">
        <v>603</v>
      </c>
      <c r="D366" t="s">
        <v>143</v>
      </c>
      <c r="E366">
        <v>164</v>
      </c>
      <c r="F366">
        <v>6</v>
      </c>
      <c r="G366" t="s">
        <v>585</v>
      </c>
      <c r="H366">
        <v>104</v>
      </c>
      <c r="I366">
        <v>9</v>
      </c>
      <c r="J366" t="s">
        <v>600</v>
      </c>
      <c r="K366" t="s">
        <v>585</v>
      </c>
      <c r="L366" t="s">
        <v>26</v>
      </c>
      <c r="M366" t="s">
        <v>143</v>
      </c>
      <c r="N366" t="s">
        <v>28</v>
      </c>
      <c r="O366" t="s">
        <v>29</v>
      </c>
      <c r="P366">
        <v>0</v>
      </c>
      <c r="Q366">
        <v>60</v>
      </c>
      <c r="R366" t="s">
        <v>607</v>
      </c>
      <c r="S366" t="s">
        <v>66</v>
      </c>
      <c r="T366" t="s">
        <v>233</v>
      </c>
    </row>
    <row r="367" spans="1:20" x14ac:dyDescent="0.3">
      <c r="A367" t="s">
        <v>579</v>
      </c>
      <c r="B367" t="s">
        <v>78</v>
      </c>
      <c r="C367" t="s">
        <v>608</v>
      </c>
      <c r="D367" t="s">
        <v>581</v>
      </c>
      <c r="E367">
        <v>173</v>
      </c>
      <c r="F367">
        <v>5</v>
      </c>
      <c r="G367" t="s">
        <v>310</v>
      </c>
      <c r="H367">
        <v>178</v>
      </c>
      <c r="I367">
        <v>8</v>
      </c>
      <c r="J367" t="s">
        <v>291</v>
      </c>
      <c r="K367" t="s">
        <v>310</v>
      </c>
      <c r="L367" t="s">
        <v>26</v>
      </c>
      <c r="M367" t="s">
        <v>581</v>
      </c>
      <c r="N367" t="s">
        <v>28</v>
      </c>
      <c r="O367" t="s">
        <v>29</v>
      </c>
      <c r="P367">
        <v>0</v>
      </c>
      <c r="Q367">
        <v>2</v>
      </c>
      <c r="R367" t="s">
        <v>128</v>
      </c>
      <c r="S367" t="s">
        <v>278</v>
      </c>
      <c r="T367" t="s">
        <v>588</v>
      </c>
    </row>
    <row r="368" spans="1:20" x14ac:dyDescent="0.3">
      <c r="A368" t="s">
        <v>579</v>
      </c>
      <c r="B368" t="s">
        <v>68</v>
      </c>
      <c r="C368" t="s">
        <v>608</v>
      </c>
      <c r="D368" t="s">
        <v>585</v>
      </c>
      <c r="E368">
        <v>108</v>
      </c>
      <c r="F368">
        <v>10</v>
      </c>
      <c r="G368" t="s">
        <v>277</v>
      </c>
      <c r="H368">
        <v>84</v>
      </c>
      <c r="I368">
        <v>10</v>
      </c>
      <c r="J368" t="s">
        <v>94</v>
      </c>
      <c r="K368" t="s">
        <v>277</v>
      </c>
      <c r="L368" t="s">
        <v>26</v>
      </c>
      <c r="M368" t="s">
        <v>585</v>
      </c>
      <c r="N368" t="s">
        <v>28</v>
      </c>
      <c r="O368" t="s">
        <v>29</v>
      </c>
      <c r="P368">
        <v>0</v>
      </c>
      <c r="Q368">
        <v>24</v>
      </c>
      <c r="R368" t="s">
        <v>541</v>
      </c>
      <c r="S368" t="s">
        <v>606</v>
      </c>
      <c r="T368" t="s">
        <v>233</v>
      </c>
    </row>
    <row r="369" spans="1:20" x14ac:dyDescent="0.3">
      <c r="A369" t="s">
        <v>579</v>
      </c>
      <c r="B369" t="s">
        <v>67</v>
      </c>
      <c r="C369" t="s">
        <v>609</v>
      </c>
      <c r="D369" t="s">
        <v>581</v>
      </c>
      <c r="E369">
        <v>92</v>
      </c>
      <c r="F369">
        <v>9</v>
      </c>
      <c r="G369" t="s">
        <v>295</v>
      </c>
      <c r="H369">
        <v>93</v>
      </c>
      <c r="I369">
        <v>4</v>
      </c>
      <c r="J369" t="s">
        <v>610</v>
      </c>
      <c r="K369" t="s">
        <v>113</v>
      </c>
      <c r="L369" t="s">
        <v>26</v>
      </c>
      <c r="M369" t="s">
        <v>295</v>
      </c>
      <c r="N369" t="s">
        <v>469</v>
      </c>
      <c r="O369" t="s">
        <v>470</v>
      </c>
      <c r="P369">
        <v>6</v>
      </c>
      <c r="Q369">
        <v>0</v>
      </c>
      <c r="R369" t="s">
        <v>151</v>
      </c>
      <c r="S369" t="s">
        <v>56</v>
      </c>
      <c r="T369" t="s">
        <v>286</v>
      </c>
    </row>
    <row r="370" spans="1:20" x14ac:dyDescent="0.3">
      <c r="A370" t="s">
        <v>579</v>
      </c>
      <c r="B370" t="s">
        <v>60</v>
      </c>
      <c r="C370" t="s">
        <v>609</v>
      </c>
      <c r="D370" t="s">
        <v>280</v>
      </c>
      <c r="E370">
        <v>168</v>
      </c>
      <c r="F370">
        <v>6</v>
      </c>
      <c r="G370" t="s">
        <v>310</v>
      </c>
      <c r="H370">
        <v>171</v>
      </c>
      <c r="I370">
        <v>7</v>
      </c>
      <c r="J370" t="s">
        <v>182</v>
      </c>
      <c r="K370" t="s">
        <v>310</v>
      </c>
      <c r="L370" t="s">
        <v>26</v>
      </c>
      <c r="M370" t="s">
        <v>310</v>
      </c>
      <c r="N370" t="s">
        <v>469</v>
      </c>
      <c r="O370" t="s">
        <v>470</v>
      </c>
      <c r="P370">
        <v>3</v>
      </c>
      <c r="Q370">
        <v>0</v>
      </c>
      <c r="R370" t="s">
        <v>49</v>
      </c>
      <c r="S370" t="s">
        <v>278</v>
      </c>
      <c r="T370" t="s">
        <v>583</v>
      </c>
    </row>
    <row r="371" spans="1:20" x14ac:dyDescent="0.3">
      <c r="A371" t="s">
        <v>579</v>
      </c>
      <c r="B371" t="s">
        <v>58</v>
      </c>
      <c r="C371" t="s">
        <v>611</v>
      </c>
      <c r="D371" t="s">
        <v>143</v>
      </c>
      <c r="E371">
        <v>165</v>
      </c>
      <c r="F371">
        <v>2</v>
      </c>
      <c r="G371" t="s">
        <v>277</v>
      </c>
      <c r="H371">
        <v>161</v>
      </c>
      <c r="I371">
        <v>6</v>
      </c>
      <c r="J371" t="s">
        <v>612</v>
      </c>
      <c r="K371" t="s">
        <v>277</v>
      </c>
      <c r="L371" t="s">
        <v>26</v>
      </c>
      <c r="M371" t="s">
        <v>143</v>
      </c>
      <c r="N371" t="s">
        <v>469</v>
      </c>
      <c r="O371" t="s">
        <v>470</v>
      </c>
      <c r="P371">
        <v>0</v>
      </c>
      <c r="Q371">
        <v>4</v>
      </c>
      <c r="R371" t="s">
        <v>103</v>
      </c>
      <c r="S371" t="s">
        <v>50</v>
      </c>
      <c r="T371" t="s">
        <v>233</v>
      </c>
    </row>
    <row r="372" spans="1:20" x14ac:dyDescent="0.3">
      <c r="A372" t="s">
        <v>579</v>
      </c>
      <c r="B372" t="s">
        <v>51</v>
      </c>
      <c r="C372" t="s">
        <v>611</v>
      </c>
      <c r="D372" t="s">
        <v>280</v>
      </c>
      <c r="E372">
        <v>174</v>
      </c>
      <c r="F372">
        <v>6</v>
      </c>
      <c r="G372" t="s">
        <v>581</v>
      </c>
      <c r="H372">
        <v>177</v>
      </c>
      <c r="I372">
        <v>3</v>
      </c>
      <c r="J372" t="s">
        <v>613</v>
      </c>
      <c r="K372" t="s">
        <v>280</v>
      </c>
      <c r="L372" t="s">
        <v>37</v>
      </c>
      <c r="M372" t="s">
        <v>581</v>
      </c>
      <c r="N372" t="s">
        <v>469</v>
      </c>
      <c r="O372" t="s">
        <v>470</v>
      </c>
      <c r="P372">
        <v>7</v>
      </c>
      <c r="Q372">
        <v>0</v>
      </c>
      <c r="R372" t="s">
        <v>118</v>
      </c>
      <c r="S372" t="s">
        <v>278</v>
      </c>
      <c r="T372" t="s">
        <v>558</v>
      </c>
    </row>
    <row r="373" spans="1:20" x14ac:dyDescent="0.3">
      <c r="A373" t="s">
        <v>579</v>
      </c>
      <c r="B373" t="s">
        <v>45</v>
      </c>
      <c r="C373" t="s">
        <v>614</v>
      </c>
      <c r="D373" t="s">
        <v>585</v>
      </c>
      <c r="E373">
        <v>144</v>
      </c>
      <c r="F373">
        <v>5</v>
      </c>
      <c r="G373" t="s">
        <v>295</v>
      </c>
      <c r="H373">
        <v>146</v>
      </c>
      <c r="I373">
        <v>5</v>
      </c>
      <c r="J373" t="s">
        <v>443</v>
      </c>
      <c r="K373" t="s">
        <v>113</v>
      </c>
      <c r="L373" t="s">
        <v>26</v>
      </c>
      <c r="M373" t="s">
        <v>295</v>
      </c>
      <c r="N373" t="s">
        <v>469</v>
      </c>
      <c r="O373" t="s">
        <v>470</v>
      </c>
      <c r="P373">
        <v>5</v>
      </c>
      <c r="Q373">
        <v>0</v>
      </c>
      <c r="R373" t="s">
        <v>55</v>
      </c>
      <c r="S373" t="s">
        <v>593</v>
      </c>
      <c r="T373" t="s">
        <v>286</v>
      </c>
    </row>
    <row r="374" spans="1:20" x14ac:dyDescent="0.3">
      <c r="A374" t="s">
        <v>579</v>
      </c>
      <c r="B374" t="s">
        <v>336</v>
      </c>
      <c r="C374" t="s">
        <v>614</v>
      </c>
      <c r="D374" t="s">
        <v>581</v>
      </c>
      <c r="E374">
        <v>192</v>
      </c>
      <c r="F374">
        <v>4</v>
      </c>
      <c r="G374" t="s">
        <v>277</v>
      </c>
      <c r="H374">
        <v>161</v>
      </c>
      <c r="I374">
        <v>9</v>
      </c>
      <c r="J374" t="s">
        <v>586</v>
      </c>
      <c r="K374" t="s">
        <v>277</v>
      </c>
      <c r="L374" t="s">
        <v>26</v>
      </c>
      <c r="M374" t="s">
        <v>581</v>
      </c>
      <c r="N374" t="s">
        <v>469</v>
      </c>
      <c r="O374" t="s">
        <v>470</v>
      </c>
      <c r="P374">
        <v>0</v>
      </c>
      <c r="Q374">
        <v>31</v>
      </c>
      <c r="R374" t="s">
        <v>353</v>
      </c>
      <c r="S374" t="s">
        <v>216</v>
      </c>
      <c r="T374" t="s">
        <v>233</v>
      </c>
    </row>
    <row r="375" spans="1:20" x14ac:dyDescent="0.3">
      <c r="A375" t="s">
        <v>579</v>
      </c>
      <c r="B375" t="s">
        <v>334</v>
      </c>
      <c r="C375" t="s">
        <v>615</v>
      </c>
      <c r="D375" t="s">
        <v>310</v>
      </c>
      <c r="E375">
        <v>156</v>
      </c>
      <c r="F375">
        <v>8</v>
      </c>
      <c r="G375" t="s">
        <v>585</v>
      </c>
      <c r="H375">
        <v>157</v>
      </c>
      <c r="I375">
        <v>5</v>
      </c>
      <c r="J375" t="s">
        <v>249</v>
      </c>
      <c r="K375" t="s">
        <v>310</v>
      </c>
      <c r="L375" t="s">
        <v>37</v>
      </c>
      <c r="M375" t="s">
        <v>585</v>
      </c>
      <c r="N375" t="s">
        <v>469</v>
      </c>
      <c r="O375" t="s">
        <v>470</v>
      </c>
      <c r="P375">
        <v>5</v>
      </c>
      <c r="Q375">
        <v>0</v>
      </c>
      <c r="R375" t="s">
        <v>55</v>
      </c>
      <c r="S375" t="s">
        <v>562</v>
      </c>
      <c r="T375" t="s">
        <v>286</v>
      </c>
    </row>
    <row r="376" spans="1:20" x14ac:dyDescent="0.3">
      <c r="A376" t="s">
        <v>579</v>
      </c>
      <c r="B376" t="s">
        <v>330</v>
      </c>
      <c r="C376" t="s">
        <v>615</v>
      </c>
      <c r="D376" t="s">
        <v>277</v>
      </c>
      <c r="E376">
        <v>210</v>
      </c>
      <c r="F376">
        <v>2</v>
      </c>
      <c r="G376" t="s">
        <v>143</v>
      </c>
      <c r="H376">
        <v>213</v>
      </c>
      <c r="I376">
        <v>3</v>
      </c>
      <c r="J376" t="s">
        <v>231</v>
      </c>
      <c r="K376" t="s">
        <v>143</v>
      </c>
      <c r="L376" t="s">
        <v>26</v>
      </c>
      <c r="M376" t="s">
        <v>143</v>
      </c>
      <c r="N376" t="s">
        <v>469</v>
      </c>
      <c r="O376" t="s">
        <v>470</v>
      </c>
      <c r="P376">
        <v>7</v>
      </c>
      <c r="Q376">
        <v>0</v>
      </c>
      <c r="R376" t="s">
        <v>118</v>
      </c>
      <c r="S376" t="s">
        <v>278</v>
      </c>
      <c r="T376" t="s">
        <v>233</v>
      </c>
    </row>
    <row r="377" spans="1:20" x14ac:dyDescent="0.3">
      <c r="A377" t="s">
        <v>579</v>
      </c>
      <c r="B377" t="s">
        <v>328</v>
      </c>
      <c r="C377" t="s">
        <v>616</v>
      </c>
      <c r="D377" t="s">
        <v>310</v>
      </c>
      <c r="E377">
        <v>194</v>
      </c>
      <c r="F377">
        <v>5</v>
      </c>
      <c r="G377" t="s">
        <v>277</v>
      </c>
      <c r="H377">
        <v>157</v>
      </c>
      <c r="I377">
        <v>8</v>
      </c>
      <c r="J377" t="s">
        <v>108</v>
      </c>
      <c r="K377" t="s">
        <v>277</v>
      </c>
      <c r="L377" t="s">
        <v>26</v>
      </c>
      <c r="M377" t="s">
        <v>310</v>
      </c>
      <c r="N377" t="s">
        <v>28</v>
      </c>
      <c r="O377" t="s">
        <v>29</v>
      </c>
      <c r="P377">
        <v>0</v>
      </c>
      <c r="Q377">
        <v>37</v>
      </c>
      <c r="R377" t="s">
        <v>617</v>
      </c>
      <c r="S377" t="s">
        <v>278</v>
      </c>
      <c r="T377" t="s">
        <v>66</v>
      </c>
    </row>
    <row r="378" spans="1:20" x14ac:dyDescent="0.3">
      <c r="A378" t="s">
        <v>579</v>
      </c>
      <c r="B378" t="s">
        <v>326</v>
      </c>
      <c r="C378" t="s">
        <v>616</v>
      </c>
      <c r="D378" t="s">
        <v>585</v>
      </c>
      <c r="E378">
        <v>130</v>
      </c>
      <c r="F378">
        <v>8</v>
      </c>
      <c r="G378" t="s">
        <v>295</v>
      </c>
      <c r="H378">
        <v>133</v>
      </c>
      <c r="I378">
        <v>8</v>
      </c>
      <c r="J378" t="s">
        <v>618</v>
      </c>
      <c r="K378" t="s">
        <v>113</v>
      </c>
      <c r="L378" t="s">
        <v>26</v>
      </c>
      <c r="M378" t="s">
        <v>295</v>
      </c>
      <c r="N378" t="s">
        <v>28</v>
      </c>
      <c r="O378" t="s">
        <v>29</v>
      </c>
      <c r="P378">
        <v>2</v>
      </c>
      <c r="Q378">
        <v>0</v>
      </c>
      <c r="R378" t="s">
        <v>281</v>
      </c>
      <c r="S378" t="s">
        <v>56</v>
      </c>
      <c r="T378" t="s">
        <v>286</v>
      </c>
    </row>
    <row r="379" spans="1:20" x14ac:dyDescent="0.3">
      <c r="A379" t="s">
        <v>579</v>
      </c>
      <c r="B379" t="s">
        <v>324</v>
      </c>
      <c r="C379" t="s">
        <v>619</v>
      </c>
      <c r="D379" t="s">
        <v>280</v>
      </c>
      <c r="E379">
        <v>156</v>
      </c>
      <c r="F379">
        <v>7</v>
      </c>
      <c r="G379" t="s">
        <v>143</v>
      </c>
      <c r="H379">
        <v>157</v>
      </c>
      <c r="I379">
        <v>4</v>
      </c>
      <c r="J379" t="s">
        <v>612</v>
      </c>
      <c r="K379" t="s">
        <v>280</v>
      </c>
      <c r="L379" t="s">
        <v>37</v>
      </c>
      <c r="M379" t="s">
        <v>143</v>
      </c>
      <c r="N379" t="s">
        <v>28</v>
      </c>
      <c r="O379" t="s">
        <v>29</v>
      </c>
      <c r="P379">
        <v>6</v>
      </c>
      <c r="Q379">
        <v>0</v>
      </c>
      <c r="R379" t="s">
        <v>151</v>
      </c>
      <c r="S379" t="s">
        <v>56</v>
      </c>
      <c r="T379" t="s">
        <v>233</v>
      </c>
    </row>
    <row r="380" spans="1:20" x14ac:dyDescent="0.3">
      <c r="A380" t="s">
        <v>579</v>
      </c>
      <c r="B380" t="s">
        <v>321</v>
      </c>
      <c r="C380" t="s">
        <v>619</v>
      </c>
      <c r="D380" t="s">
        <v>581</v>
      </c>
      <c r="E380">
        <v>170</v>
      </c>
      <c r="F380">
        <v>2</v>
      </c>
      <c r="G380" t="s">
        <v>295</v>
      </c>
      <c r="H380">
        <v>176</v>
      </c>
      <c r="I380">
        <v>2</v>
      </c>
      <c r="J380" t="s">
        <v>501</v>
      </c>
      <c r="K380" t="s">
        <v>113</v>
      </c>
      <c r="L380" t="s">
        <v>26</v>
      </c>
      <c r="M380" t="s">
        <v>295</v>
      </c>
      <c r="N380" t="s">
        <v>28</v>
      </c>
      <c r="O380" t="s">
        <v>29</v>
      </c>
      <c r="P380">
        <v>8</v>
      </c>
      <c r="Q380">
        <v>0</v>
      </c>
      <c r="R380" t="s">
        <v>30</v>
      </c>
      <c r="S380" t="s">
        <v>66</v>
      </c>
      <c r="T380" t="s">
        <v>286</v>
      </c>
    </row>
    <row r="381" spans="1:20" x14ac:dyDescent="0.3">
      <c r="A381" t="s">
        <v>579</v>
      </c>
      <c r="B381" t="s">
        <v>224</v>
      </c>
      <c r="C381" t="s">
        <v>620</v>
      </c>
      <c r="D381" t="s">
        <v>280</v>
      </c>
      <c r="E381">
        <v>118</v>
      </c>
      <c r="F381">
        <v>8</v>
      </c>
      <c r="G381" t="s">
        <v>585</v>
      </c>
      <c r="H381">
        <v>103</v>
      </c>
      <c r="I381">
        <v>9</v>
      </c>
      <c r="J381" t="s">
        <v>621</v>
      </c>
      <c r="K381" t="s">
        <v>280</v>
      </c>
      <c r="L381" t="s">
        <v>37</v>
      </c>
      <c r="M381" t="s">
        <v>280</v>
      </c>
      <c r="N381" t="s">
        <v>28</v>
      </c>
      <c r="O381" t="s">
        <v>29</v>
      </c>
      <c r="P381">
        <v>0</v>
      </c>
      <c r="Q381">
        <v>15</v>
      </c>
      <c r="R381" t="s">
        <v>530</v>
      </c>
      <c r="S381" t="s">
        <v>278</v>
      </c>
      <c r="T381" t="s">
        <v>562</v>
      </c>
    </row>
    <row r="382" spans="1:20" x14ac:dyDescent="0.3">
      <c r="A382" t="s">
        <v>579</v>
      </c>
      <c r="B382" t="s">
        <v>136</v>
      </c>
      <c r="C382" t="s">
        <v>620</v>
      </c>
      <c r="D382" t="s">
        <v>310</v>
      </c>
      <c r="E382">
        <v>121</v>
      </c>
      <c r="F382">
        <v>10</v>
      </c>
      <c r="G382" t="s">
        <v>143</v>
      </c>
      <c r="H382">
        <v>122</v>
      </c>
      <c r="I382">
        <v>5</v>
      </c>
      <c r="J382" t="s">
        <v>622</v>
      </c>
      <c r="K382" t="s">
        <v>143</v>
      </c>
      <c r="L382" t="s">
        <v>26</v>
      </c>
      <c r="M382" t="s">
        <v>143</v>
      </c>
      <c r="N382" t="s">
        <v>28</v>
      </c>
      <c r="O382" t="s">
        <v>29</v>
      </c>
      <c r="P382">
        <v>5</v>
      </c>
      <c r="Q382">
        <v>0</v>
      </c>
      <c r="R382" t="s">
        <v>623</v>
      </c>
      <c r="S382" t="s">
        <v>50</v>
      </c>
      <c r="T382" t="s">
        <v>233</v>
      </c>
    </row>
    <row r="383" spans="1:20" x14ac:dyDescent="0.3">
      <c r="A383" t="s">
        <v>579</v>
      </c>
      <c r="B383" t="s">
        <v>129</v>
      </c>
      <c r="C383" t="s">
        <v>624</v>
      </c>
      <c r="D383" t="s">
        <v>277</v>
      </c>
      <c r="E383">
        <v>113</v>
      </c>
      <c r="F383">
        <v>8</v>
      </c>
      <c r="G383" t="s">
        <v>581</v>
      </c>
      <c r="H383">
        <v>114</v>
      </c>
      <c r="I383">
        <v>4</v>
      </c>
      <c r="J383" t="s">
        <v>597</v>
      </c>
      <c r="K383" t="s">
        <v>277</v>
      </c>
      <c r="L383" t="s">
        <v>37</v>
      </c>
      <c r="M383" t="s">
        <v>581</v>
      </c>
      <c r="N383" t="s">
        <v>28</v>
      </c>
      <c r="O383" t="s">
        <v>29</v>
      </c>
      <c r="P383">
        <v>6</v>
      </c>
      <c r="Q383">
        <v>0</v>
      </c>
      <c r="R383" t="s">
        <v>151</v>
      </c>
      <c r="S383" t="s">
        <v>278</v>
      </c>
      <c r="T383" t="s">
        <v>583</v>
      </c>
    </row>
    <row r="384" spans="1:20" x14ac:dyDescent="0.3">
      <c r="A384" t="s">
        <v>579</v>
      </c>
      <c r="B384" t="s">
        <v>119</v>
      </c>
      <c r="C384" t="s">
        <v>624</v>
      </c>
      <c r="D384" t="s">
        <v>280</v>
      </c>
      <c r="E384">
        <v>132</v>
      </c>
      <c r="F384">
        <v>8</v>
      </c>
      <c r="G384" t="s">
        <v>295</v>
      </c>
      <c r="H384">
        <v>135</v>
      </c>
      <c r="I384">
        <v>3</v>
      </c>
      <c r="J384" t="s">
        <v>625</v>
      </c>
      <c r="K384" t="s">
        <v>280</v>
      </c>
      <c r="L384" t="s">
        <v>37</v>
      </c>
      <c r="M384" t="s">
        <v>295</v>
      </c>
      <c r="N384" t="s">
        <v>28</v>
      </c>
      <c r="O384" t="s">
        <v>29</v>
      </c>
      <c r="P384">
        <v>7</v>
      </c>
      <c r="Q384">
        <v>0</v>
      </c>
      <c r="R384" t="s">
        <v>118</v>
      </c>
      <c r="S384" t="s">
        <v>562</v>
      </c>
      <c r="T384" t="s">
        <v>286</v>
      </c>
    </row>
    <row r="385" spans="1:20" x14ac:dyDescent="0.3">
      <c r="A385" t="s">
        <v>579</v>
      </c>
      <c r="B385" t="s">
        <v>112</v>
      </c>
      <c r="C385" t="s">
        <v>626</v>
      </c>
      <c r="D385" t="s">
        <v>143</v>
      </c>
      <c r="E385">
        <v>177</v>
      </c>
      <c r="F385">
        <v>5</v>
      </c>
      <c r="G385" t="s">
        <v>295</v>
      </c>
      <c r="H385">
        <v>107</v>
      </c>
      <c r="I385">
        <v>10</v>
      </c>
      <c r="J385" t="s">
        <v>627</v>
      </c>
      <c r="K385" t="s">
        <v>113</v>
      </c>
      <c r="L385" t="s">
        <v>26</v>
      </c>
      <c r="M385" t="s">
        <v>143</v>
      </c>
      <c r="N385" t="s">
        <v>28</v>
      </c>
      <c r="O385" t="s">
        <v>29</v>
      </c>
      <c r="P385">
        <v>0</v>
      </c>
      <c r="Q385">
        <v>70</v>
      </c>
      <c r="R385" t="s">
        <v>628</v>
      </c>
      <c r="S385" t="s">
        <v>50</v>
      </c>
      <c r="T385" t="s">
        <v>286</v>
      </c>
    </row>
    <row r="386" spans="1:20" x14ac:dyDescent="0.3">
      <c r="A386" t="s">
        <v>579</v>
      </c>
      <c r="B386" t="s">
        <v>106</v>
      </c>
      <c r="C386" t="s">
        <v>626</v>
      </c>
      <c r="D386" t="s">
        <v>310</v>
      </c>
      <c r="E386">
        <v>169</v>
      </c>
      <c r="F386">
        <v>8</v>
      </c>
      <c r="G386" t="s">
        <v>277</v>
      </c>
      <c r="H386">
        <v>172</v>
      </c>
      <c r="I386">
        <v>4</v>
      </c>
      <c r="J386" t="s">
        <v>567</v>
      </c>
      <c r="K386" t="s">
        <v>310</v>
      </c>
      <c r="L386" t="s">
        <v>37</v>
      </c>
      <c r="M386" t="s">
        <v>277</v>
      </c>
      <c r="N386" t="s">
        <v>28</v>
      </c>
      <c r="O386" t="s">
        <v>29</v>
      </c>
      <c r="P386">
        <v>6</v>
      </c>
      <c r="Q386">
        <v>0</v>
      </c>
      <c r="R386" t="s">
        <v>151</v>
      </c>
      <c r="S386" t="s">
        <v>593</v>
      </c>
      <c r="T386" t="s">
        <v>233</v>
      </c>
    </row>
    <row r="387" spans="1:20" x14ac:dyDescent="0.3">
      <c r="A387" t="s">
        <v>579</v>
      </c>
      <c r="B387" t="s">
        <v>158</v>
      </c>
      <c r="C387" t="s">
        <v>629</v>
      </c>
      <c r="D387" t="s">
        <v>310</v>
      </c>
      <c r="E387">
        <v>170</v>
      </c>
      <c r="F387">
        <v>3</v>
      </c>
      <c r="G387" t="s">
        <v>295</v>
      </c>
      <c r="H387">
        <v>172</v>
      </c>
      <c r="I387">
        <v>6</v>
      </c>
      <c r="J387" t="s">
        <v>565</v>
      </c>
      <c r="K387" t="s">
        <v>113</v>
      </c>
      <c r="L387" t="s">
        <v>26</v>
      </c>
      <c r="M387" t="s">
        <v>295</v>
      </c>
      <c r="N387" t="s">
        <v>28</v>
      </c>
      <c r="O387" t="s">
        <v>29</v>
      </c>
      <c r="P387">
        <v>4</v>
      </c>
      <c r="Q387">
        <v>0</v>
      </c>
      <c r="R387" t="s">
        <v>90</v>
      </c>
      <c r="S387" t="s">
        <v>593</v>
      </c>
      <c r="T387" t="s">
        <v>286</v>
      </c>
    </row>
    <row r="388" spans="1:20" x14ac:dyDescent="0.3">
      <c r="A388" t="s">
        <v>579</v>
      </c>
      <c r="B388" t="s">
        <v>573</v>
      </c>
      <c r="C388" t="s">
        <v>629</v>
      </c>
      <c r="D388" t="s">
        <v>581</v>
      </c>
      <c r="E388">
        <v>125</v>
      </c>
      <c r="F388">
        <v>10</v>
      </c>
      <c r="G388" t="s">
        <v>143</v>
      </c>
      <c r="H388">
        <v>130</v>
      </c>
      <c r="I388">
        <v>6</v>
      </c>
      <c r="J388" t="s">
        <v>627</v>
      </c>
      <c r="K388" t="s">
        <v>143</v>
      </c>
      <c r="L388" t="s">
        <v>26</v>
      </c>
      <c r="M388" t="s">
        <v>143</v>
      </c>
      <c r="N388" t="s">
        <v>28</v>
      </c>
      <c r="O388" t="s">
        <v>29</v>
      </c>
      <c r="P388">
        <v>4</v>
      </c>
      <c r="Q388">
        <v>0</v>
      </c>
      <c r="R388" t="s">
        <v>90</v>
      </c>
      <c r="S388" t="s">
        <v>278</v>
      </c>
      <c r="T388" t="s">
        <v>233</v>
      </c>
    </row>
    <row r="389" spans="1:20" x14ac:dyDescent="0.3">
      <c r="A389" t="s">
        <v>579</v>
      </c>
      <c r="B389" t="s">
        <v>574</v>
      </c>
      <c r="C389" t="s">
        <v>630</v>
      </c>
      <c r="D389" t="s">
        <v>581</v>
      </c>
      <c r="E389">
        <v>182</v>
      </c>
      <c r="F389">
        <v>7</v>
      </c>
      <c r="G389" t="s">
        <v>295</v>
      </c>
      <c r="H389">
        <v>163</v>
      </c>
      <c r="I389">
        <v>8</v>
      </c>
      <c r="J389" t="s">
        <v>631</v>
      </c>
      <c r="K389" t="s">
        <v>113</v>
      </c>
      <c r="L389" t="s">
        <v>26</v>
      </c>
      <c r="M389" t="s">
        <v>581</v>
      </c>
      <c r="N389" t="s">
        <v>28</v>
      </c>
      <c r="O389" t="s">
        <v>29</v>
      </c>
      <c r="P389">
        <v>0</v>
      </c>
      <c r="Q389">
        <v>19</v>
      </c>
      <c r="R389" t="s">
        <v>196</v>
      </c>
      <c r="S389" t="s">
        <v>286</v>
      </c>
      <c r="T389" t="s">
        <v>233</v>
      </c>
    </row>
    <row r="390" spans="1:20" x14ac:dyDescent="0.3">
      <c r="A390" t="s">
        <v>579</v>
      </c>
      <c r="B390" t="s">
        <v>21</v>
      </c>
      <c r="C390" t="s">
        <v>632</v>
      </c>
      <c r="D390" t="s">
        <v>581</v>
      </c>
      <c r="E390">
        <v>175</v>
      </c>
      <c r="F390">
        <v>7</v>
      </c>
      <c r="G390" t="s">
        <v>143</v>
      </c>
      <c r="H390">
        <v>176</v>
      </c>
      <c r="I390">
        <v>3</v>
      </c>
      <c r="J390" t="s">
        <v>231</v>
      </c>
      <c r="K390" t="s">
        <v>143</v>
      </c>
      <c r="L390" t="s">
        <v>26</v>
      </c>
      <c r="M390" t="s">
        <v>143</v>
      </c>
      <c r="N390" t="s">
        <v>28</v>
      </c>
      <c r="O390" t="s">
        <v>29</v>
      </c>
      <c r="P390">
        <v>7</v>
      </c>
      <c r="Q390">
        <v>0</v>
      </c>
      <c r="R390" t="s">
        <v>118</v>
      </c>
      <c r="S390" t="s">
        <v>278</v>
      </c>
      <c r="T390" t="s">
        <v>558</v>
      </c>
    </row>
    <row r="391" spans="1:20" x14ac:dyDescent="0.3">
      <c r="A391" t="s">
        <v>633</v>
      </c>
      <c r="B391" t="s">
        <v>40</v>
      </c>
      <c r="C391" t="s">
        <v>634</v>
      </c>
      <c r="D391" t="s">
        <v>635</v>
      </c>
      <c r="E391">
        <v>143</v>
      </c>
      <c r="F391">
        <v>6</v>
      </c>
      <c r="G391" t="s">
        <v>636</v>
      </c>
      <c r="H391">
        <v>147</v>
      </c>
      <c r="I391">
        <v>5</v>
      </c>
      <c r="J391" t="s">
        <v>637</v>
      </c>
      <c r="K391" t="s">
        <v>636</v>
      </c>
      <c r="L391" t="s">
        <v>26</v>
      </c>
      <c r="M391" t="s">
        <v>636</v>
      </c>
      <c r="N391" t="s">
        <v>28</v>
      </c>
      <c r="O391" t="s">
        <v>29</v>
      </c>
      <c r="P391">
        <v>5</v>
      </c>
      <c r="Q391">
        <v>0</v>
      </c>
      <c r="R391" t="s">
        <v>55</v>
      </c>
      <c r="S391" t="s">
        <v>278</v>
      </c>
      <c r="T391" t="s">
        <v>583</v>
      </c>
    </row>
    <row r="392" spans="1:20" x14ac:dyDescent="0.3">
      <c r="A392" t="s">
        <v>633</v>
      </c>
      <c r="B392" t="s">
        <v>33</v>
      </c>
      <c r="C392" t="s">
        <v>634</v>
      </c>
      <c r="D392" t="s">
        <v>581</v>
      </c>
      <c r="E392">
        <v>177</v>
      </c>
      <c r="F392">
        <v>2</v>
      </c>
      <c r="G392" t="s">
        <v>280</v>
      </c>
      <c r="H392">
        <v>180</v>
      </c>
      <c r="I392">
        <v>3</v>
      </c>
      <c r="J392" t="s">
        <v>638</v>
      </c>
      <c r="K392" t="s">
        <v>280</v>
      </c>
      <c r="L392" t="s">
        <v>26</v>
      </c>
      <c r="M392" t="s">
        <v>280</v>
      </c>
      <c r="N392" t="s">
        <v>28</v>
      </c>
      <c r="O392" t="s">
        <v>29</v>
      </c>
      <c r="P392">
        <v>7</v>
      </c>
      <c r="Q392">
        <v>0</v>
      </c>
      <c r="R392" t="s">
        <v>118</v>
      </c>
      <c r="S392" t="s">
        <v>639</v>
      </c>
      <c r="T392" t="s">
        <v>557</v>
      </c>
    </row>
    <row r="393" spans="1:20" x14ac:dyDescent="0.3">
      <c r="A393" t="s">
        <v>633</v>
      </c>
      <c r="B393" t="s">
        <v>195</v>
      </c>
      <c r="C393" t="s">
        <v>640</v>
      </c>
      <c r="D393" t="s">
        <v>113</v>
      </c>
      <c r="E393">
        <v>134</v>
      </c>
      <c r="F393">
        <v>9</v>
      </c>
      <c r="G393" t="s">
        <v>641</v>
      </c>
      <c r="H393">
        <v>138</v>
      </c>
      <c r="I393">
        <v>5</v>
      </c>
      <c r="J393" t="s">
        <v>642</v>
      </c>
      <c r="K393" t="s">
        <v>310</v>
      </c>
      <c r="L393" t="s">
        <v>26</v>
      </c>
      <c r="M393" t="s">
        <v>641</v>
      </c>
      <c r="N393" t="s">
        <v>28</v>
      </c>
      <c r="O393" t="s">
        <v>29</v>
      </c>
      <c r="P393">
        <v>5</v>
      </c>
      <c r="Q393">
        <v>0</v>
      </c>
      <c r="R393" t="s">
        <v>55</v>
      </c>
      <c r="S393" t="s">
        <v>593</v>
      </c>
      <c r="T393" t="s">
        <v>639</v>
      </c>
    </row>
    <row r="394" spans="1:20" x14ac:dyDescent="0.3">
      <c r="A394" t="s">
        <v>633</v>
      </c>
      <c r="B394" t="s">
        <v>190</v>
      </c>
      <c r="C394" t="s">
        <v>640</v>
      </c>
      <c r="D394" t="s">
        <v>280</v>
      </c>
      <c r="E394">
        <v>121</v>
      </c>
      <c r="F394">
        <v>10</v>
      </c>
      <c r="G394" t="s">
        <v>277</v>
      </c>
      <c r="H394">
        <v>122</v>
      </c>
      <c r="I394">
        <v>6</v>
      </c>
      <c r="J394" t="s">
        <v>440</v>
      </c>
      <c r="K394" t="s">
        <v>277</v>
      </c>
      <c r="L394" t="s">
        <v>26</v>
      </c>
      <c r="M394" t="s">
        <v>277</v>
      </c>
      <c r="N394" t="s">
        <v>28</v>
      </c>
      <c r="O394" t="s">
        <v>29</v>
      </c>
      <c r="P394">
        <v>4</v>
      </c>
      <c r="Q394">
        <v>0</v>
      </c>
      <c r="R394" t="s">
        <v>90</v>
      </c>
      <c r="S394" t="s">
        <v>278</v>
      </c>
      <c r="T394" t="s">
        <v>557</v>
      </c>
    </row>
    <row r="395" spans="1:20" x14ac:dyDescent="0.3">
      <c r="A395" t="s">
        <v>633</v>
      </c>
      <c r="B395" t="s">
        <v>186</v>
      </c>
      <c r="C395" t="s">
        <v>643</v>
      </c>
      <c r="D395" t="s">
        <v>636</v>
      </c>
      <c r="E395">
        <v>136</v>
      </c>
      <c r="F395">
        <v>8</v>
      </c>
      <c r="G395" t="s">
        <v>280</v>
      </c>
      <c r="H395">
        <v>137</v>
      </c>
      <c r="I395">
        <v>4</v>
      </c>
      <c r="J395" t="s">
        <v>644</v>
      </c>
      <c r="K395" t="s">
        <v>280</v>
      </c>
      <c r="L395" t="s">
        <v>26</v>
      </c>
      <c r="M395" t="s">
        <v>280</v>
      </c>
      <c r="N395" t="s">
        <v>28</v>
      </c>
      <c r="O395" t="s">
        <v>29</v>
      </c>
      <c r="P395">
        <v>6</v>
      </c>
      <c r="Q395">
        <v>0</v>
      </c>
      <c r="R395" t="s">
        <v>151</v>
      </c>
      <c r="S395" t="s">
        <v>639</v>
      </c>
      <c r="T395" t="s">
        <v>606</v>
      </c>
    </row>
    <row r="396" spans="1:20" x14ac:dyDescent="0.3">
      <c r="A396" t="s">
        <v>633</v>
      </c>
      <c r="B396" t="s">
        <v>180</v>
      </c>
      <c r="C396" t="s">
        <v>643</v>
      </c>
      <c r="D396" t="s">
        <v>641</v>
      </c>
      <c r="E396">
        <v>187</v>
      </c>
      <c r="F396">
        <v>4</v>
      </c>
      <c r="G396" t="s">
        <v>277</v>
      </c>
      <c r="H396">
        <v>188</v>
      </c>
      <c r="I396">
        <v>2</v>
      </c>
      <c r="J396" t="s">
        <v>182</v>
      </c>
      <c r="K396" t="s">
        <v>277</v>
      </c>
      <c r="L396" t="s">
        <v>26</v>
      </c>
      <c r="M396" t="s">
        <v>277</v>
      </c>
      <c r="N396" t="s">
        <v>28</v>
      </c>
      <c r="O396" t="s">
        <v>29</v>
      </c>
      <c r="P396">
        <v>8</v>
      </c>
      <c r="Q396">
        <v>0</v>
      </c>
      <c r="R396" t="s">
        <v>30</v>
      </c>
      <c r="S396" t="s">
        <v>278</v>
      </c>
      <c r="T396" t="s">
        <v>558</v>
      </c>
    </row>
    <row r="397" spans="1:20" x14ac:dyDescent="0.3">
      <c r="A397" t="s">
        <v>633</v>
      </c>
      <c r="B397" t="s">
        <v>176</v>
      </c>
      <c r="C397" t="s">
        <v>645</v>
      </c>
      <c r="D397" t="s">
        <v>581</v>
      </c>
      <c r="E397">
        <v>120</v>
      </c>
      <c r="F397">
        <v>8</v>
      </c>
      <c r="G397" t="s">
        <v>113</v>
      </c>
      <c r="H397">
        <v>125</v>
      </c>
      <c r="I397">
        <v>6</v>
      </c>
      <c r="J397" t="s">
        <v>610</v>
      </c>
      <c r="K397" t="s">
        <v>113</v>
      </c>
      <c r="L397" t="s">
        <v>26</v>
      </c>
      <c r="M397" t="s">
        <v>113</v>
      </c>
      <c r="N397" t="s">
        <v>28</v>
      </c>
      <c r="O397" t="s">
        <v>29</v>
      </c>
      <c r="P397">
        <v>4</v>
      </c>
      <c r="Q397">
        <v>0</v>
      </c>
      <c r="R397" t="s">
        <v>90</v>
      </c>
      <c r="S397" t="s">
        <v>278</v>
      </c>
      <c r="T397" t="s">
        <v>583</v>
      </c>
    </row>
    <row r="398" spans="1:20" x14ac:dyDescent="0.3">
      <c r="A398" t="s">
        <v>633</v>
      </c>
      <c r="B398" t="s">
        <v>170</v>
      </c>
      <c r="C398" t="s">
        <v>645</v>
      </c>
      <c r="D398" t="s">
        <v>641</v>
      </c>
      <c r="E398">
        <v>161</v>
      </c>
      <c r="F398">
        <v>9</v>
      </c>
      <c r="G398" t="s">
        <v>143</v>
      </c>
      <c r="H398">
        <v>162</v>
      </c>
      <c r="I398">
        <v>6</v>
      </c>
      <c r="J398" t="s">
        <v>646</v>
      </c>
      <c r="K398" t="s">
        <v>143</v>
      </c>
      <c r="L398" t="s">
        <v>26</v>
      </c>
      <c r="M398" t="s">
        <v>143</v>
      </c>
      <c r="N398" t="s">
        <v>28</v>
      </c>
      <c r="O398" t="s">
        <v>29</v>
      </c>
      <c r="P398">
        <v>4</v>
      </c>
      <c r="Q398">
        <v>0</v>
      </c>
      <c r="R398" t="s">
        <v>90</v>
      </c>
      <c r="S398" t="s">
        <v>639</v>
      </c>
      <c r="T398" t="s">
        <v>242</v>
      </c>
    </row>
    <row r="399" spans="1:20" x14ac:dyDescent="0.3">
      <c r="A399" t="s">
        <v>633</v>
      </c>
      <c r="B399" t="s">
        <v>168</v>
      </c>
      <c r="C399" t="s">
        <v>647</v>
      </c>
      <c r="D399" t="s">
        <v>277</v>
      </c>
      <c r="E399">
        <v>160</v>
      </c>
      <c r="F399">
        <v>6</v>
      </c>
      <c r="G399" t="s">
        <v>113</v>
      </c>
      <c r="H399">
        <v>132</v>
      </c>
      <c r="I399">
        <v>10</v>
      </c>
      <c r="J399" t="s">
        <v>546</v>
      </c>
      <c r="K399" t="s">
        <v>113</v>
      </c>
      <c r="L399" t="s">
        <v>26</v>
      </c>
      <c r="M399" t="s">
        <v>277</v>
      </c>
      <c r="N399" t="s">
        <v>469</v>
      </c>
      <c r="O399" t="s">
        <v>470</v>
      </c>
      <c r="P399">
        <v>0</v>
      </c>
      <c r="Q399">
        <v>28</v>
      </c>
      <c r="R399" t="s">
        <v>648</v>
      </c>
      <c r="S399" t="s">
        <v>639</v>
      </c>
      <c r="T399" t="s">
        <v>606</v>
      </c>
    </row>
    <row r="400" spans="1:20" x14ac:dyDescent="0.3">
      <c r="A400" t="s">
        <v>633</v>
      </c>
      <c r="B400" t="s">
        <v>163</v>
      </c>
      <c r="C400" t="s">
        <v>647</v>
      </c>
      <c r="D400" t="s">
        <v>635</v>
      </c>
      <c r="E400">
        <v>130</v>
      </c>
      <c r="F400">
        <v>8</v>
      </c>
      <c r="G400" t="s">
        <v>581</v>
      </c>
      <c r="H400">
        <v>78</v>
      </c>
      <c r="I400">
        <v>10</v>
      </c>
      <c r="J400" t="s">
        <v>505</v>
      </c>
      <c r="K400" t="s">
        <v>581</v>
      </c>
      <c r="L400" t="s">
        <v>26</v>
      </c>
      <c r="M400" t="s">
        <v>143</v>
      </c>
      <c r="N400" t="s">
        <v>469</v>
      </c>
      <c r="O400" t="s">
        <v>470</v>
      </c>
      <c r="P400">
        <v>0</v>
      </c>
      <c r="Q400">
        <v>52</v>
      </c>
      <c r="R400" t="s">
        <v>317</v>
      </c>
      <c r="S400" t="s">
        <v>278</v>
      </c>
      <c r="T400" t="s">
        <v>583</v>
      </c>
    </row>
    <row r="401" spans="1:20" x14ac:dyDescent="0.3">
      <c r="A401" t="s">
        <v>633</v>
      </c>
      <c r="B401" t="s">
        <v>156</v>
      </c>
      <c r="C401" t="s">
        <v>649</v>
      </c>
      <c r="D401" t="s">
        <v>280</v>
      </c>
      <c r="E401">
        <v>193</v>
      </c>
      <c r="F401">
        <v>4</v>
      </c>
      <c r="G401" t="s">
        <v>641</v>
      </c>
      <c r="H401">
        <v>183</v>
      </c>
      <c r="I401">
        <v>7</v>
      </c>
      <c r="J401" t="s">
        <v>650</v>
      </c>
      <c r="K401" t="s">
        <v>310</v>
      </c>
      <c r="L401" t="s">
        <v>26</v>
      </c>
      <c r="M401" t="s">
        <v>280</v>
      </c>
      <c r="N401" t="s">
        <v>469</v>
      </c>
      <c r="O401" t="s">
        <v>470</v>
      </c>
      <c r="P401">
        <v>0</v>
      </c>
      <c r="Q401">
        <v>10</v>
      </c>
      <c r="R401" t="s">
        <v>384</v>
      </c>
      <c r="S401" t="s">
        <v>278</v>
      </c>
      <c r="T401" t="s">
        <v>651</v>
      </c>
    </row>
    <row r="402" spans="1:20" x14ac:dyDescent="0.3">
      <c r="A402" t="s">
        <v>633</v>
      </c>
      <c r="B402" t="s">
        <v>148</v>
      </c>
      <c r="C402" t="s">
        <v>649</v>
      </c>
      <c r="D402" t="s">
        <v>113</v>
      </c>
      <c r="E402">
        <v>183</v>
      </c>
      <c r="F402">
        <v>8</v>
      </c>
      <c r="G402" t="s">
        <v>636</v>
      </c>
      <c r="H402">
        <v>104</v>
      </c>
      <c r="I402">
        <v>10</v>
      </c>
      <c r="J402" t="s">
        <v>652</v>
      </c>
      <c r="K402" t="s">
        <v>636</v>
      </c>
      <c r="L402" t="s">
        <v>26</v>
      </c>
      <c r="M402" t="s">
        <v>113</v>
      </c>
      <c r="N402" t="s">
        <v>469</v>
      </c>
      <c r="O402" t="s">
        <v>470</v>
      </c>
      <c r="P402">
        <v>0</v>
      </c>
      <c r="Q402">
        <v>79</v>
      </c>
      <c r="R402" t="s">
        <v>653</v>
      </c>
      <c r="S402" t="s">
        <v>639</v>
      </c>
      <c r="T402" t="s">
        <v>558</v>
      </c>
    </row>
    <row r="403" spans="1:20" x14ac:dyDescent="0.3">
      <c r="A403" t="s">
        <v>633</v>
      </c>
      <c r="B403" t="s">
        <v>138</v>
      </c>
      <c r="C403" t="s">
        <v>654</v>
      </c>
      <c r="D403" t="s">
        <v>581</v>
      </c>
      <c r="E403">
        <v>137</v>
      </c>
      <c r="F403">
        <v>4</v>
      </c>
      <c r="G403" t="s">
        <v>280</v>
      </c>
      <c r="H403">
        <v>138</v>
      </c>
      <c r="I403">
        <v>2</v>
      </c>
      <c r="J403" t="s">
        <v>655</v>
      </c>
      <c r="K403" t="s">
        <v>581</v>
      </c>
      <c r="L403" t="s">
        <v>37</v>
      </c>
      <c r="M403" t="s">
        <v>280</v>
      </c>
      <c r="N403" t="s">
        <v>469</v>
      </c>
      <c r="O403" t="s">
        <v>470</v>
      </c>
      <c r="P403">
        <v>8</v>
      </c>
      <c r="Q403">
        <v>0</v>
      </c>
      <c r="R403" t="s">
        <v>30</v>
      </c>
      <c r="S403" t="s">
        <v>278</v>
      </c>
      <c r="T403" t="s">
        <v>242</v>
      </c>
    </row>
    <row r="404" spans="1:20" x14ac:dyDescent="0.3">
      <c r="A404" t="s">
        <v>633</v>
      </c>
      <c r="B404" t="s">
        <v>132</v>
      </c>
      <c r="C404" t="s">
        <v>654</v>
      </c>
      <c r="D404" t="s">
        <v>636</v>
      </c>
      <c r="E404">
        <v>130</v>
      </c>
      <c r="F404">
        <v>9</v>
      </c>
      <c r="G404" t="s">
        <v>277</v>
      </c>
      <c r="H404">
        <v>131</v>
      </c>
      <c r="I404">
        <v>0</v>
      </c>
      <c r="J404" t="s">
        <v>482</v>
      </c>
      <c r="K404" t="s">
        <v>636</v>
      </c>
      <c r="L404" t="s">
        <v>37</v>
      </c>
      <c r="M404" t="s">
        <v>277</v>
      </c>
      <c r="N404" t="s">
        <v>469</v>
      </c>
      <c r="O404" t="s">
        <v>470</v>
      </c>
      <c r="P404">
        <v>10</v>
      </c>
      <c r="Q404">
        <v>0</v>
      </c>
      <c r="R404" t="s">
        <v>656</v>
      </c>
      <c r="S404" t="s">
        <v>593</v>
      </c>
      <c r="T404" t="s">
        <v>639</v>
      </c>
    </row>
    <row r="405" spans="1:20" x14ac:dyDescent="0.3">
      <c r="A405" t="s">
        <v>633</v>
      </c>
      <c r="B405" t="s">
        <v>126</v>
      </c>
      <c r="C405" t="s">
        <v>657</v>
      </c>
      <c r="D405" t="s">
        <v>113</v>
      </c>
      <c r="E405">
        <v>165</v>
      </c>
      <c r="F405">
        <v>5</v>
      </c>
      <c r="G405" t="s">
        <v>143</v>
      </c>
      <c r="H405">
        <v>157</v>
      </c>
      <c r="I405">
        <v>6</v>
      </c>
      <c r="J405" t="s">
        <v>610</v>
      </c>
      <c r="K405" t="s">
        <v>113</v>
      </c>
      <c r="L405" t="s">
        <v>37</v>
      </c>
      <c r="M405" t="s">
        <v>113</v>
      </c>
      <c r="N405" t="s">
        <v>469</v>
      </c>
      <c r="O405" t="s">
        <v>470</v>
      </c>
      <c r="P405">
        <v>0</v>
      </c>
      <c r="Q405">
        <v>8</v>
      </c>
      <c r="R405" t="s">
        <v>218</v>
      </c>
      <c r="S405" t="s">
        <v>639</v>
      </c>
      <c r="T405" t="s">
        <v>606</v>
      </c>
    </row>
    <row r="406" spans="1:20" x14ac:dyDescent="0.3">
      <c r="A406" t="s">
        <v>633</v>
      </c>
      <c r="B406" t="s">
        <v>123</v>
      </c>
      <c r="C406" t="s">
        <v>657</v>
      </c>
      <c r="D406" t="s">
        <v>641</v>
      </c>
      <c r="E406">
        <v>186</v>
      </c>
      <c r="F406">
        <v>5</v>
      </c>
      <c r="G406" t="s">
        <v>581</v>
      </c>
      <c r="H406">
        <v>137</v>
      </c>
      <c r="I406">
        <v>10</v>
      </c>
      <c r="J406" t="s">
        <v>157</v>
      </c>
      <c r="K406" t="s">
        <v>581</v>
      </c>
      <c r="L406" t="s">
        <v>26</v>
      </c>
      <c r="M406" t="s">
        <v>641</v>
      </c>
      <c r="N406" t="s">
        <v>469</v>
      </c>
      <c r="O406" t="s">
        <v>470</v>
      </c>
      <c r="P406">
        <v>0</v>
      </c>
      <c r="Q406">
        <v>49</v>
      </c>
      <c r="R406" t="s">
        <v>411</v>
      </c>
      <c r="S406" t="s">
        <v>278</v>
      </c>
      <c r="T406" t="s">
        <v>583</v>
      </c>
    </row>
    <row r="407" spans="1:20" x14ac:dyDescent="0.3">
      <c r="A407" t="s">
        <v>633</v>
      </c>
      <c r="B407" t="s">
        <v>116</v>
      </c>
      <c r="C407" t="s">
        <v>658</v>
      </c>
      <c r="D407" t="s">
        <v>581</v>
      </c>
      <c r="E407">
        <v>142</v>
      </c>
      <c r="F407">
        <v>8</v>
      </c>
      <c r="G407" t="s">
        <v>636</v>
      </c>
      <c r="H407">
        <v>127</v>
      </c>
      <c r="I407">
        <v>9</v>
      </c>
      <c r="J407" t="s">
        <v>659</v>
      </c>
      <c r="K407" t="s">
        <v>636</v>
      </c>
      <c r="L407" t="s">
        <v>26</v>
      </c>
      <c r="M407" t="s">
        <v>581</v>
      </c>
      <c r="N407" t="s">
        <v>469</v>
      </c>
      <c r="O407" t="s">
        <v>470</v>
      </c>
      <c r="P407">
        <v>0</v>
      </c>
      <c r="Q407">
        <v>15</v>
      </c>
      <c r="R407" t="s">
        <v>530</v>
      </c>
      <c r="S407" t="s">
        <v>593</v>
      </c>
      <c r="T407" t="s">
        <v>639</v>
      </c>
    </row>
    <row r="408" spans="1:20" x14ac:dyDescent="0.3">
      <c r="A408" t="s">
        <v>633</v>
      </c>
      <c r="B408" t="s">
        <v>110</v>
      </c>
      <c r="C408" t="s">
        <v>658</v>
      </c>
      <c r="D408" t="s">
        <v>280</v>
      </c>
      <c r="E408">
        <v>72</v>
      </c>
      <c r="F408">
        <v>10</v>
      </c>
      <c r="G408" t="s">
        <v>143</v>
      </c>
      <c r="H408">
        <v>73</v>
      </c>
      <c r="I408">
        <v>3</v>
      </c>
      <c r="J408" t="s">
        <v>627</v>
      </c>
      <c r="K408" t="s">
        <v>143</v>
      </c>
      <c r="L408" t="s">
        <v>26</v>
      </c>
      <c r="M408" t="s">
        <v>143</v>
      </c>
      <c r="N408" t="s">
        <v>469</v>
      </c>
      <c r="O408" t="s">
        <v>470</v>
      </c>
      <c r="P408">
        <v>7</v>
      </c>
      <c r="Q408">
        <v>0</v>
      </c>
      <c r="R408" t="s">
        <v>118</v>
      </c>
      <c r="S408" t="s">
        <v>278</v>
      </c>
      <c r="T408" t="s">
        <v>558</v>
      </c>
    </row>
    <row r="409" spans="1:20" x14ac:dyDescent="0.3">
      <c r="A409" t="s">
        <v>633</v>
      </c>
      <c r="B409" t="s">
        <v>104</v>
      </c>
      <c r="C409" t="s">
        <v>660</v>
      </c>
      <c r="D409" t="s">
        <v>277</v>
      </c>
      <c r="E409">
        <v>155</v>
      </c>
      <c r="F409">
        <v>8</v>
      </c>
      <c r="G409" t="s">
        <v>641</v>
      </c>
      <c r="H409">
        <v>156</v>
      </c>
      <c r="I409">
        <v>5</v>
      </c>
      <c r="J409" t="s">
        <v>381</v>
      </c>
      <c r="K409" t="s">
        <v>310</v>
      </c>
      <c r="L409" t="s">
        <v>26</v>
      </c>
      <c r="M409" t="s">
        <v>641</v>
      </c>
      <c r="N409" t="s">
        <v>469</v>
      </c>
      <c r="O409" t="s">
        <v>470</v>
      </c>
      <c r="P409">
        <v>5</v>
      </c>
      <c r="Q409">
        <v>0</v>
      </c>
      <c r="R409" t="s">
        <v>55</v>
      </c>
      <c r="S409" t="s">
        <v>278</v>
      </c>
      <c r="T409" t="s">
        <v>557</v>
      </c>
    </row>
    <row r="410" spans="1:20" x14ac:dyDescent="0.3">
      <c r="A410" t="s">
        <v>633</v>
      </c>
      <c r="B410" t="s">
        <v>95</v>
      </c>
      <c r="C410" t="s">
        <v>660</v>
      </c>
      <c r="D410" t="s">
        <v>113</v>
      </c>
      <c r="E410">
        <v>162</v>
      </c>
      <c r="F410">
        <v>7</v>
      </c>
      <c r="G410" t="s">
        <v>581</v>
      </c>
      <c r="H410">
        <v>85</v>
      </c>
      <c r="I410">
        <v>10</v>
      </c>
      <c r="J410" t="s">
        <v>618</v>
      </c>
      <c r="K410" t="s">
        <v>581</v>
      </c>
      <c r="L410" t="s">
        <v>26</v>
      </c>
      <c r="M410" t="s">
        <v>113</v>
      </c>
      <c r="N410" t="s">
        <v>469</v>
      </c>
      <c r="O410" t="s">
        <v>470</v>
      </c>
      <c r="P410">
        <v>0</v>
      </c>
      <c r="Q410">
        <v>77</v>
      </c>
      <c r="R410" t="s">
        <v>661</v>
      </c>
      <c r="S410" t="s">
        <v>639</v>
      </c>
      <c r="T410" t="s">
        <v>242</v>
      </c>
    </row>
    <row r="411" spans="1:20" x14ac:dyDescent="0.3">
      <c r="A411" t="s">
        <v>633</v>
      </c>
      <c r="B411" t="s">
        <v>91</v>
      </c>
      <c r="C411" t="s">
        <v>662</v>
      </c>
      <c r="D411" t="s">
        <v>113</v>
      </c>
      <c r="E411">
        <v>175</v>
      </c>
      <c r="F411">
        <v>4</v>
      </c>
      <c r="G411" t="s">
        <v>636</v>
      </c>
      <c r="H411">
        <v>115</v>
      </c>
      <c r="I411">
        <v>10</v>
      </c>
      <c r="J411" t="s">
        <v>108</v>
      </c>
      <c r="K411" t="s">
        <v>636</v>
      </c>
      <c r="L411" t="s">
        <v>26</v>
      </c>
      <c r="M411" t="s">
        <v>113</v>
      </c>
      <c r="N411" t="s">
        <v>28</v>
      </c>
      <c r="O411" t="s">
        <v>29</v>
      </c>
      <c r="P411">
        <v>0</v>
      </c>
      <c r="Q411">
        <v>60</v>
      </c>
      <c r="R411" t="s">
        <v>607</v>
      </c>
      <c r="S411" t="s">
        <v>639</v>
      </c>
      <c r="T411" t="s">
        <v>583</v>
      </c>
    </row>
    <row r="412" spans="1:20" x14ac:dyDescent="0.3">
      <c r="A412" t="s">
        <v>633</v>
      </c>
      <c r="B412" t="s">
        <v>85</v>
      </c>
      <c r="C412" t="s">
        <v>662</v>
      </c>
      <c r="D412" t="s">
        <v>280</v>
      </c>
      <c r="E412">
        <v>145</v>
      </c>
      <c r="F412">
        <v>5</v>
      </c>
      <c r="G412" t="s">
        <v>641</v>
      </c>
      <c r="H412">
        <v>129</v>
      </c>
      <c r="I412">
        <v>8</v>
      </c>
      <c r="J412" t="s">
        <v>422</v>
      </c>
      <c r="K412" t="s">
        <v>310</v>
      </c>
      <c r="L412" t="s">
        <v>26</v>
      </c>
      <c r="M412" t="s">
        <v>280</v>
      </c>
      <c r="N412" t="s">
        <v>28</v>
      </c>
      <c r="O412" t="s">
        <v>29</v>
      </c>
      <c r="P412">
        <v>0</v>
      </c>
      <c r="Q412">
        <v>16</v>
      </c>
      <c r="R412" t="s">
        <v>169</v>
      </c>
      <c r="S412" t="s">
        <v>278</v>
      </c>
      <c r="T412" t="s">
        <v>557</v>
      </c>
    </row>
    <row r="413" spans="1:20" x14ac:dyDescent="0.3">
      <c r="A413" t="s">
        <v>633</v>
      </c>
      <c r="B413" t="s">
        <v>78</v>
      </c>
      <c r="C413" t="s">
        <v>663</v>
      </c>
      <c r="D413" t="s">
        <v>635</v>
      </c>
      <c r="E413">
        <v>149</v>
      </c>
      <c r="F413">
        <v>7</v>
      </c>
      <c r="G413" t="s">
        <v>277</v>
      </c>
      <c r="H413">
        <v>115</v>
      </c>
      <c r="I413">
        <v>10</v>
      </c>
      <c r="J413" t="s">
        <v>664</v>
      </c>
      <c r="K413" t="s">
        <v>143</v>
      </c>
      <c r="L413" t="s">
        <v>37</v>
      </c>
      <c r="M413" t="s">
        <v>143</v>
      </c>
      <c r="N413" t="s">
        <v>28</v>
      </c>
      <c r="O413" t="s">
        <v>29</v>
      </c>
      <c r="P413">
        <v>0</v>
      </c>
      <c r="Q413">
        <v>34</v>
      </c>
      <c r="R413" t="s">
        <v>303</v>
      </c>
      <c r="S413" t="s">
        <v>278</v>
      </c>
      <c r="T413" t="s">
        <v>242</v>
      </c>
    </row>
    <row r="414" spans="1:20" x14ac:dyDescent="0.3">
      <c r="A414" t="s">
        <v>633</v>
      </c>
      <c r="B414" t="s">
        <v>68</v>
      </c>
      <c r="C414" t="s">
        <v>663</v>
      </c>
      <c r="D414" t="s">
        <v>636</v>
      </c>
      <c r="E414">
        <v>124</v>
      </c>
      <c r="F414">
        <v>8</v>
      </c>
      <c r="G414" t="s">
        <v>581</v>
      </c>
      <c r="H414">
        <v>129</v>
      </c>
      <c r="I414">
        <v>5</v>
      </c>
      <c r="J414" t="s">
        <v>552</v>
      </c>
      <c r="K414" t="s">
        <v>581</v>
      </c>
      <c r="L414" t="s">
        <v>26</v>
      </c>
      <c r="M414" t="s">
        <v>581</v>
      </c>
      <c r="N414" t="s">
        <v>28</v>
      </c>
      <c r="O414" t="s">
        <v>29</v>
      </c>
      <c r="P414">
        <v>5</v>
      </c>
      <c r="Q414">
        <v>0</v>
      </c>
      <c r="R414" t="s">
        <v>55</v>
      </c>
      <c r="S414" t="s">
        <v>50</v>
      </c>
      <c r="T414" t="s">
        <v>558</v>
      </c>
    </row>
    <row r="415" spans="1:20" x14ac:dyDescent="0.3">
      <c r="A415" t="s">
        <v>633</v>
      </c>
      <c r="B415" t="s">
        <v>67</v>
      </c>
      <c r="C415" t="s">
        <v>665</v>
      </c>
      <c r="D415" t="s">
        <v>277</v>
      </c>
      <c r="E415">
        <v>153</v>
      </c>
      <c r="F415">
        <v>3</v>
      </c>
      <c r="G415" t="s">
        <v>581</v>
      </c>
      <c r="H415">
        <v>159</v>
      </c>
      <c r="I415">
        <v>5</v>
      </c>
      <c r="J415" t="s">
        <v>666</v>
      </c>
      <c r="K415" t="s">
        <v>277</v>
      </c>
      <c r="L415" t="s">
        <v>37</v>
      </c>
      <c r="M415" t="s">
        <v>581</v>
      </c>
      <c r="N415" t="s">
        <v>28</v>
      </c>
      <c r="O415" t="s">
        <v>29</v>
      </c>
      <c r="P415">
        <v>5</v>
      </c>
      <c r="Q415">
        <v>0</v>
      </c>
      <c r="R415" t="s">
        <v>55</v>
      </c>
      <c r="S415" t="s">
        <v>639</v>
      </c>
      <c r="T415" t="s">
        <v>583</v>
      </c>
    </row>
    <row r="416" spans="1:20" x14ac:dyDescent="0.3">
      <c r="A416" t="s">
        <v>633</v>
      </c>
      <c r="B416" t="s">
        <v>60</v>
      </c>
      <c r="C416" t="s">
        <v>665</v>
      </c>
      <c r="D416" t="s">
        <v>636</v>
      </c>
      <c r="E416">
        <v>175</v>
      </c>
      <c r="F416">
        <v>4</v>
      </c>
      <c r="G416" t="s">
        <v>143</v>
      </c>
      <c r="H416">
        <v>176</v>
      </c>
      <c r="I416">
        <v>6</v>
      </c>
      <c r="J416" t="s">
        <v>586</v>
      </c>
      <c r="K416" t="s">
        <v>636</v>
      </c>
      <c r="L416" t="s">
        <v>37</v>
      </c>
      <c r="M416" t="s">
        <v>143</v>
      </c>
      <c r="N416" t="s">
        <v>28</v>
      </c>
      <c r="O416" t="s">
        <v>29</v>
      </c>
      <c r="P416">
        <v>4</v>
      </c>
      <c r="Q416">
        <v>0</v>
      </c>
      <c r="R416" t="s">
        <v>90</v>
      </c>
      <c r="S416" t="s">
        <v>278</v>
      </c>
      <c r="T416" t="s">
        <v>558</v>
      </c>
    </row>
    <row r="417" spans="1:20" x14ac:dyDescent="0.3">
      <c r="A417" t="s">
        <v>633</v>
      </c>
      <c r="B417" t="s">
        <v>58</v>
      </c>
      <c r="C417" t="s">
        <v>667</v>
      </c>
      <c r="D417" t="s">
        <v>113</v>
      </c>
      <c r="E417">
        <v>211</v>
      </c>
      <c r="F417">
        <v>3</v>
      </c>
      <c r="G417" t="s">
        <v>280</v>
      </c>
      <c r="H417">
        <v>158</v>
      </c>
      <c r="I417">
        <v>6</v>
      </c>
      <c r="J417" t="s">
        <v>668</v>
      </c>
      <c r="K417" t="s">
        <v>113</v>
      </c>
      <c r="L417" t="s">
        <v>37</v>
      </c>
      <c r="M417" t="s">
        <v>113</v>
      </c>
      <c r="N417" t="s">
        <v>28</v>
      </c>
      <c r="O417" t="s">
        <v>29</v>
      </c>
      <c r="P417">
        <v>0</v>
      </c>
      <c r="Q417">
        <v>53</v>
      </c>
      <c r="R417" t="s">
        <v>204</v>
      </c>
      <c r="S417" t="s">
        <v>639</v>
      </c>
      <c r="T417" t="s">
        <v>242</v>
      </c>
    </row>
    <row r="418" spans="1:20" x14ac:dyDescent="0.3">
      <c r="A418" t="s">
        <v>633</v>
      </c>
      <c r="B418" t="s">
        <v>51</v>
      </c>
      <c r="C418" t="s">
        <v>667</v>
      </c>
      <c r="D418" t="s">
        <v>641</v>
      </c>
      <c r="E418">
        <v>189</v>
      </c>
      <c r="F418">
        <v>4</v>
      </c>
      <c r="G418" t="s">
        <v>636</v>
      </c>
      <c r="H418">
        <v>149</v>
      </c>
      <c r="I418">
        <v>10</v>
      </c>
      <c r="J418" t="s">
        <v>386</v>
      </c>
      <c r="K418" t="s">
        <v>310</v>
      </c>
      <c r="L418" t="s">
        <v>37</v>
      </c>
      <c r="M418" t="s">
        <v>641</v>
      </c>
      <c r="N418" t="s">
        <v>28</v>
      </c>
      <c r="O418" t="s">
        <v>29</v>
      </c>
      <c r="P418">
        <v>0</v>
      </c>
      <c r="Q418">
        <v>40</v>
      </c>
      <c r="R418" t="s">
        <v>455</v>
      </c>
      <c r="S418" t="s">
        <v>278</v>
      </c>
      <c r="T418" t="s">
        <v>583</v>
      </c>
    </row>
    <row r="419" spans="1:20" x14ac:dyDescent="0.3">
      <c r="A419" t="s">
        <v>633</v>
      </c>
      <c r="B419" t="s">
        <v>45</v>
      </c>
      <c r="C419" t="s">
        <v>669</v>
      </c>
      <c r="D419" t="s">
        <v>635</v>
      </c>
      <c r="E419">
        <v>239</v>
      </c>
      <c r="F419">
        <v>3</v>
      </c>
      <c r="G419" t="s">
        <v>280</v>
      </c>
      <c r="H419">
        <v>166</v>
      </c>
      <c r="I419">
        <v>10</v>
      </c>
      <c r="J419" t="s">
        <v>571</v>
      </c>
      <c r="K419" t="s">
        <v>280</v>
      </c>
      <c r="L419" t="s">
        <v>26</v>
      </c>
      <c r="M419" t="s">
        <v>143</v>
      </c>
      <c r="N419" t="s">
        <v>88</v>
      </c>
      <c r="O419" t="s">
        <v>89</v>
      </c>
      <c r="P419">
        <v>0</v>
      </c>
      <c r="Q419">
        <v>73</v>
      </c>
      <c r="R419" t="s">
        <v>670</v>
      </c>
      <c r="S419" t="s">
        <v>671</v>
      </c>
      <c r="T419" t="s">
        <v>588</v>
      </c>
    </row>
    <row r="420" spans="1:20" x14ac:dyDescent="0.3">
      <c r="A420" t="s">
        <v>633</v>
      </c>
      <c r="B420" t="s">
        <v>336</v>
      </c>
      <c r="C420" t="s">
        <v>669</v>
      </c>
      <c r="D420" t="s">
        <v>113</v>
      </c>
      <c r="E420">
        <v>219</v>
      </c>
      <c r="F420">
        <v>5</v>
      </c>
      <c r="G420" t="s">
        <v>277</v>
      </c>
      <c r="H420">
        <v>141</v>
      </c>
      <c r="I420">
        <v>10</v>
      </c>
      <c r="J420" t="s">
        <v>672</v>
      </c>
      <c r="K420" t="s">
        <v>113</v>
      </c>
      <c r="L420" t="s">
        <v>37</v>
      </c>
      <c r="M420" t="s">
        <v>113</v>
      </c>
      <c r="N420" t="s">
        <v>88</v>
      </c>
      <c r="O420" t="s">
        <v>89</v>
      </c>
      <c r="P420">
        <v>0</v>
      </c>
      <c r="Q420">
        <v>78</v>
      </c>
      <c r="R420" t="s">
        <v>419</v>
      </c>
      <c r="S420" t="s">
        <v>278</v>
      </c>
      <c r="T420" t="s">
        <v>583</v>
      </c>
    </row>
    <row r="421" spans="1:20" x14ac:dyDescent="0.3">
      <c r="A421" t="s">
        <v>633</v>
      </c>
      <c r="B421" t="s">
        <v>673</v>
      </c>
      <c r="C421" t="s">
        <v>674</v>
      </c>
      <c r="D421" t="s">
        <v>641</v>
      </c>
      <c r="E421">
        <v>186</v>
      </c>
      <c r="F421">
        <v>6</v>
      </c>
      <c r="G421" t="s">
        <v>636</v>
      </c>
      <c r="H421">
        <v>159</v>
      </c>
      <c r="I421">
        <v>8</v>
      </c>
      <c r="J421" t="s">
        <v>253</v>
      </c>
      <c r="K421" t="s">
        <v>641</v>
      </c>
      <c r="L421" t="s">
        <v>37</v>
      </c>
      <c r="M421" t="s">
        <v>641</v>
      </c>
      <c r="N421" t="s">
        <v>88</v>
      </c>
      <c r="O421" t="s">
        <v>89</v>
      </c>
      <c r="P421">
        <v>0</v>
      </c>
      <c r="Q421">
        <v>27</v>
      </c>
      <c r="R421" t="s">
        <v>285</v>
      </c>
      <c r="S421" t="s">
        <v>278</v>
      </c>
      <c r="T421" t="s">
        <v>56</v>
      </c>
    </row>
    <row r="422" spans="1:20" x14ac:dyDescent="0.3">
      <c r="A422" t="s">
        <v>633</v>
      </c>
      <c r="B422" t="s">
        <v>330</v>
      </c>
      <c r="C422" t="s">
        <v>674</v>
      </c>
      <c r="D422" t="s">
        <v>277</v>
      </c>
      <c r="E422">
        <v>164</v>
      </c>
      <c r="F422">
        <v>8</v>
      </c>
      <c r="G422" t="s">
        <v>635</v>
      </c>
      <c r="H422">
        <v>168</v>
      </c>
      <c r="I422">
        <v>3</v>
      </c>
      <c r="J422" t="s">
        <v>586</v>
      </c>
      <c r="K422" t="s">
        <v>277</v>
      </c>
      <c r="L422" t="s">
        <v>37</v>
      </c>
      <c r="M422" t="s">
        <v>635</v>
      </c>
      <c r="N422" t="s">
        <v>88</v>
      </c>
      <c r="O422" t="s">
        <v>89</v>
      </c>
      <c r="P422">
        <v>7</v>
      </c>
      <c r="Q422">
        <v>0</v>
      </c>
      <c r="R422" t="s">
        <v>118</v>
      </c>
      <c r="S422" t="s">
        <v>671</v>
      </c>
      <c r="T422" t="s">
        <v>225</v>
      </c>
    </row>
    <row r="423" spans="1:20" x14ac:dyDescent="0.3">
      <c r="A423" t="s">
        <v>633</v>
      </c>
      <c r="B423" t="s">
        <v>328</v>
      </c>
      <c r="C423" t="s">
        <v>675</v>
      </c>
      <c r="D423" t="s">
        <v>636</v>
      </c>
      <c r="E423">
        <v>128</v>
      </c>
      <c r="F423">
        <v>7</v>
      </c>
      <c r="G423" t="s">
        <v>277</v>
      </c>
      <c r="H423">
        <v>131</v>
      </c>
      <c r="I423">
        <v>5</v>
      </c>
      <c r="J423" t="s">
        <v>676</v>
      </c>
      <c r="K423" t="s">
        <v>636</v>
      </c>
      <c r="L423" t="s">
        <v>37</v>
      </c>
      <c r="M423" t="s">
        <v>277</v>
      </c>
      <c r="N423" t="s">
        <v>88</v>
      </c>
      <c r="O423" t="s">
        <v>89</v>
      </c>
      <c r="P423">
        <v>5</v>
      </c>
      <c r="Q423">
        <v>0</v>
      </c>
      <c r="R423" t="s">
        <v>55</v>
      </c>
      <c r="S423" t="s">
        <v>278</v>
      </c>
      <c r="T423" t="s">
        <v>66</v>
      </c>
    </row>
    <row r="424" spans="1:20" x14ac:dyDescent="0.3">
      <c r="A424" t="s">
        <v>633</v>
      </c>
      <c r="B424" t="s">
        <v>326</v>
      </c>
      <c r="C424" t="s">
        <v>675</v>
      </c>
      <c r="D424" t="s">
        <v>113</v>
      </c>
      <c r="E424">
        <v>187</v>
      </c>
      <c r="F424">
        <v>8</v>
      </c>
      <c r="G424" t="s">
        <v>280</v>
      </c>
      <c r="H424">
        <v>169</v>
      </c>
      <c r="I424">
        <v>6</v>
      </c>
      <c r="J424" t="s">
        <v>443</v>
      </c>
      <c r="K424" t="s">
        <v>113</v>
      </c>
      <c r="L424" t="s">
        <v>37</v>
      </c>
      <c r="M424" t="s">
        <v>113</v>
      </c>
      <c r="N424" t="s">
        <v>88</v>
      </c>
      <c r="O424" t="s">
        <v>89</v>
      </c>
      <c r="P424">
        <v>0</v>
      </c>
      <c r="Q424">
        <v>18</v>
      </c>
      <c r="R424" t="s">
        <v>162</v>
      </c>
      <c r="S424" t="s">
        <v>671</v>
      </c>
      <c r="T424" t="s">
        <v>56</v>
      </c>
    </row>
    <row r="425" spans="1:20" x14ac:dyDescent="0.3">
      <c r="A425" t="s">
        <v>633</v>
      </c>
      <c r="B425" t="s">
        <v>324</v>
      </c>
      <c r="C425" t="s">
        <v>677</v>
      </c>
      <c r="D425" t="s">
        <v>310</v>
      </c>
      <c r="E425">
        <v>183</v>
      </c>
      <c r="F425">
        <v>6</v>
      </c>
      <c r="G425" t="s">
        <v>581</v>
      </c>
      <c r="H425">
        <v>165</v>
      </c>
      <c r="I425">
        <v>8</v>
      </c>
      <c r="J425" t="s">
        <v>678</v>
      </c>
      <c r="K425" t="s">
        <v>641</v>
      </c>
      <c r="L425" t="s">
        <v>37</v>
      </c>
      <c r="M425" t="s">
        <v>641</v>
      </c>
      <c r="N425" t="s">
        <v>88</v>
      </c>
      <c r="O425" t="s">
        <v>89</v>
      </c>
      <c r="P425">
        <v>0</v>
      </c>
      <c r="Q425">
        <v>18</v>
      </c>
      <c r="R425" t="s">
        <v>162</v>
      </c>
      <c r="S425" t="s">
        <v>671</v>
      </c>
      <c r="T425" t="s">
        <v>225</v>
      </c>
    </row>
    <row r="426" spans="1:20" x14ac:dyDescent="0.3">
      <c r="A426" t="s">
        <v>633</v>
      </c>
      <c r="B426" t="s">
        <v>321</v>
      </c>
      <c r="C426" t="s">
        <v>677</v>
      </c>
      <c r="D426" t="s">
        <v>280</v>
      </c>
      <c r="E426">
        <v>159</v>
      </c>
      <c r="F426">
        <v>6</v>
      </c>
      <c r="G426" t="s">
        <v>636</v>
      </c>
      <c r="H426">
        <v>149</v>
      </c>
      <c r="I426">
        <v>5</v>
      </c>
      <c r="J426" t="s">
        <v>679</v>
      </c>
      <c r="K426" t="s">
        <v>280</v>
      </c>
      <c r="L426" t="s">
        <v>37</v>
      </c>
      <c r="M426" t="s">
        <v>280</v>
      </c>
      <c r="N426" t="s">
        <v>88</v>
      </c>
      <c r="O426" t="s">
        <v>89</v>
      </c>
      <c r="P426">
        <v>0</v>
      </c>
      <c r="Q426">
        <v>10</v>
      </c>
      <c r="R426" t="s">
        <v>384</v>
      </c>
      <c r="S426" t="s">
        <v>278</v>
      </c>
      <c r="T426" t="s">
        <v>583</v>
      </c>
    </row>
    <row r="427" spans="1:20" x14ac:dyDescent="0.3">
      <c r="A427" t="s">
        <v>633</v>
      </c>
      <c r="B427" t="s">
        <v>224</v>
      </c>
      <c r="C427" t="s">
        <v>680</v>
      </c>
      <c r="D427" t="s">
        <v>581</v>
      </c>
      <c r="E427">
        <v>177</v>
      </c>
      <c r="F427">
        <v>5</v>
      </c>
      <c r="G427" t="s">
        <v>635</v>
      </c>
      <c r="H427">
        <v>165</v>
      </c>
      <c r="I427">
        <v>6</v>
      </c>
      <c r="J427" t="s">
        <v>552</v>
      </c>
      <c r="K427" t="s">
        <v>581</v>
      </c>
      <c r="L427" t="s">
        <v>37</v>
      </c>
      <c r="M427" t="s">
        <v>581</v>
      </c>
      <c r="N427" t="s">
        <v>88</v>
      </c>
      <c r="O427" t="s">
        <v>89</v>
      </c>
      <c r="P427">
        <v>0</v>
      </c>
      <c r="Q427">
        <v>12</v>
      </c>
      <c r="R427" t="s">
        <v>417</v>
      </c>
      <c r="S427" t="s">
        <v>671</v>
      </c>
      <c r="T427" t="s">
        <v>56</v>
      </c>
    </row>
    <row r="428" spans="1:20" x14ac:dyDescent="0.3">
      <c r="A428" t="s">
        <v>633</v>
      </c>
      <c r="B428" t="s">
        <v>136</v>
      </c>
      <c r="C428" t="s">
        <v>680</v>
      </c>
      <c r="D428" t="s">
        <v>641</v>
      </c>
      <c r="E428">
        <v>151</v>
      </c>
      <c r="F428">
        <v>9</v>
      </c>
      <c r="G428" t="s">
        <v>113</v>
      </c>
      <c r="H428">
        <v>155</v>
      </c>
      <c r="I428">
        <v>9</v>
      </c>
      <c r="J428" t="s">
        <v>681</v>
      </c>
      <c r="K428" t="s">
        <v>641</v>
      </c>
      <c r="L428" t="s">
        <v>37</v>
      </c>
      <c r="M428" t="s">
        <v>113</v>
      </c>
      <c r="N428" t="s">
        <v>88</v>
      </c>
      <c r="O428" t="s">
        <v>89</v>
      </c>
      <c r="P428">
        <v>1</v>
      </c>
      <c r="Q428">
        <v>0</v>
      </c>
      <c r="R428" t="s">
        <v>682</v>
      </c>
      <c r="S428" t="s">
        <v>278</v>
      </c>
      <c r="T428" t="s">
        <v>225</v>
      </c>
    </row>
    <row r="429" spans="1:20" x14ac:dyDescent="0.3">
      <c r="A429" t="s">
        <v>633</v>
      </c>
      <c r="B429" t="s">
        <v>129</v>
      </c>
      <c r="C429" t="s">
        <v>683</v>
      </c>
      <c r="D429" t="s">
        <v>280</v>
      </c>
      <c r="E429">
        <v>192</v>
      </c>
      <c r="F429">
        <v>4</v>
      </c>
      <c r="G429" t="s">
        <v>277</v>
      </c>
      <c r="H429">
        <v>127</v>
      </c>
      <c r="I429">
        <v>10</v>
      </c>
      <c r="J429" t="s">
        <v>679</v>
      </c>
      <c r="K429" t="s">
        <v>280</v>
      </c>
      <c r="L429" t="s">
        <v>37</v>
      </c>
      <c r="M429" t="s">
        <v>280</v>
      </c>
      <c r="N429" t="s">
        <v>88</v>
      </c>
      <c r="O429" t="s">
        <v>89</v>
      </c>
      <c r="P429">
        <v>0</v>
      </c>
      <c r="Q429">
        <v>65</v>
      </c>
      <c r="R429" t="s">
        <v>474</v>
      </c>
      <c r="S429" t="s">
        <v>278</v>
      </c>
      <c r="T429" t="s">
        <v>216</v>
      </c>
    </row>
    <row r="430" spans="1:20" x14ac:dyDescent="0.3">
      <c r="A430" t="s">
        <v>633</v>
      </c>
      <c r="B430" t="s">
        <v>119</v>
      </c>
      <c r="C430" t="s">
        <v>683</v>
      </c>
      <c r="D430" t="s">
        <v>113</v>
      </c>
      <c r="E430">
        <v>150</v>
      </c>
      <c r="F430">
        <v>10</v>
      </c>
      <c r="G430" t="s">
        <v>635</v>
      </c>
      <c r="H430">
        <v>151</v>
      </c>
      <c r="I430">
        <v>4</v>
      </c>
      <c r="J430" t="s">
        <v>127</v>
      </c>
      <c r="K430" t="s">
        <v>635</v>
      </c>
      <c r="L430" t="s">
        <v>26</v>
      </c>
      <c r="M430" t="s">
        <v>143</v>
      </c>
      <c r="N430" t="s">
        <v>88</v>
      </c>
      <c r="O430" t="s">
        <v>89</v>
      </c>
      <c r="P430">
        <v>6</v>
      </c>
      <c r="Q430">
        <v>0</v>
      </c>
      <c r="R430" t="s">
        <v>151</v>
      </c>
      <c r="S430" t="s">
        <v>671</v>
      </c>
      <c r="T430" t="s">
        <v>66</v>
      </c>
    </row>
    <row r="431" spans="1:20" x14ac:dyDescent="0.3">
      <c r="A431" t="s">
        <v>633</v>
      </c>
      <c r="B431" t="s">
        <v>112</v>
      </c>
      <c r="C431" t="s">
        <v>684</v>
      </c>
      <c r="D431" t="s">
        <v>143</v>
      </c>
      <c r="E431">
        <v>140</v>
      </c>
      <c r="F431">
        <v>8</v>
      </c>
      <c r="G431" t="s">
        <v>641</v>
      </c>
      <c r="H431">
        <v>141</v>
      </c>
      <c r="I431">
        <v>4</v>
      </c>
      <c r="J431" t="s">
        <v>253</v>
      </c>
      <c r="K431" t="s">
        <v>641</v>
      </c>
      <c r="L431" t="s">
        <v>26</v>
      </c>
      <c r="M431" t="s">
        <v>641</v>
      </c>
      <c r="N431" t="s">
        <v>28</v>
      </c>
      <c r="O431" t="s">
        <v>29</v>
      </c>
      <c r="P431">
        <v>6</v>
      </c>
      <c r="Q431">
        <v>0</v>
      </c>
      <c r="R431" t="s">
        <v>151</v>
      </c>
      <c r="S431" t="s">
        <v>671</v>
      </c>
      <c r="T431" t="s">
        <v>56</v>
      </c>
    </row>
    <row r="432" spans="1:20" x14ac:dyDescent="0.3">
      <c r="A432" t="s">
        <v>633</v>
      </c>
      <c r="B432" t="s">
        <v>106</v>
      </c>
      <c r="C432" t="s">
        <v>684</v>
      </c>
      <c r="D432" t="s">
        <v>277</v>
      </c>
      <c r="E432">
        <v>128</v>
      </c>
      <c r="F432">
        <v>8</v>
      </c>
      <c r="G432" t="s">
        <v>581</v>
      </c>
      <c r="H432">
        <v>130</v>
      </c>
      <c r="I432">
        <v>4</v>
      </c>
      <c r="J432" t="s">
        <v>552</v>
      </c>
      <c r="K432" t="s">
        <v>581</v>
      </c>
      <c r="L432" t="s">
        <v>26</v>
      </c>
      <c r="M432" t="s">
        <v>581</v>
      </c>
      <c r="N432" t="s">
        <v>28</v>
      </c>
      <c r="O432" t="s">
        <v>29</v>
      </c>
      <c r="P432">
        <v>6</v>
      </c>
      <c r="Q432">
        <v>0</v>
      </c>
      <c r="R432" t="s">
        <v>151</v>
      </c>
      <c r="S432" t="s">
        <v>278</v>
      </c>
      <c r="T432" t="s">
        <v>225</v>
      </c>
    </row>
    <row r="433" spans="1:20" x14ac:dyDescent="0.3">
      <c r="A433" t="s">
        <v>633</v>
      </c>
      <c r="B433" t="s">
        <v>158</v>
      </c>
      <c r="C433" t="s">
        <v>685</v>
      </c>
      <c r="D433" t="s">
        <v>280</v>
      </c>
      <c r="E433">
        <v>135</v>
      </c>
      <c r="F433">
        <v>9</v>
      </c>
      <c r="G433" t="s">
        <v>641</v>
      </c>
      <c r="H433">
        <v>136</v>
      </c>
      <c r="I433">
        <v>3</v>
      </c>
      <c r="J433" t="s">
        <v>678</v>
      </c>
      <c r="K433" t="s">
        <v>310</v>
      </c>
      <c r="L433" t="s">
        <v>26</v>
      </c>
      <c r="M433" t="s">
        <v>310</v>
      </c>
      <c r="N433" t="s">
        <v>28</v>
      </c>
      <c r="O433" t="s">
        <v>29</v>
      </c>
      <c r="P433">
        <v>7</v>
      </c>
      <c r="Q433">
        <v>0</v>
      </c>
      <c r="R433" t="s">
        <v>118</v>
      </c>
      <c r="S433" t="s">
        <v>278</v>
      </c>
      <c r="T433" t="s">
        <v>66</v>
      </c>
    </row>
    <row r="434" spans="1:20" x14ac:dyDescent="0.3">
      <c r="A434" t="s">
        <v>633</v>
      </c>
      <c r="B434" t="s">
        <v>686</v>
      </c>
      <c r="C434" t="s">
        <v>685</v>
      </c>
      <c r="D434" t="s">
        <v>113</v>
      </c>
      <c r="E434">
        <v>185</v>
      </c>
      <c r="F434">
        <v>6</v>
      </c>
      <c r="G434" t="s">
        <v>143</v>
      </c>
      <c r="H434">
        <v>186</v>
      </c>
      <c r="I434">
        <v>4</v>
      </c>
      <c r="J434" t="s">
        <v>239</v>
      </c>
      <c r="K434" t="s">
        <v>143</v>
      </c>
      <c r="L434" t="s">
        <v>26</v>
      </c>
      <c r="M434" t="s">
        <v>143</v>
      </c>
      <c r="N434" t="s">
        <v>28</v>
      </c>
      <c r="O434" t="s">
        <v>29</v>
      </c>
      <c r="P434">
        <v>6</v>
      </c>
      <c r="Q434">
        <v>0</v>
      </c>
      <c r="R434" t="s">
        <v>151</v>
      </c>
      <c r="S434" t="s">
        <v>671</v>
      </c>
      <c r="T434" t="s">
        <v>44</v>
      </c>
    </row>
    <row r="435" spans="1:20" x14ac:dyDescent="0.3">
      <c r="A435" t="s">
        <v>633</v>
      </c>
      <c r="B435" t="s">
        <v>687</v>
      </c>
      <c r="C435" t="s">
        <v>688</v>
      </c>
      <c r="D435" t="s">
        <v>113</v>
      </c>
      <c r="E435">
        <v>149</v>
      </c>
      <c r="F435">
        <v>7</v>
      </c>
      <c r="G435" t="s">
        <v>641</v>
      </c>
      <c r="H435">
        <v>152</v>
      </c>
      <c r="I435">
        <v>4</v>
      </c>
      <c r="J435" t="s">
        <v>150</v>
      </c>
      <c r="K435" t="s">
        <v>310</v>
      </c>
      <c r="L435" t="s">
        <v>26</v>
      </c>
      <c r="M435" t="s">
        <v>310</v>
      </c>
      <c r="N435" t="s">
        <v>28</v>
      </c>
      <c r="O435" t="s">
        <v>29</v>
      </c>
      <c r="P435">
        <v>6</v>
      </c>
      <c r="Q435">
        <v>0</v>
      </c>
      <c r="R435" t="s">
        <v>151</v>
      </c>
      <c r="S435" t="s">
        <v>671</v>
      </c>
      <c r="T435" t="s">
        <v>689</v>
      </c>
    </row>
    <row r="436" spans="1:20" x14ac:dyDescent="0.3">
      <c r="A436" t="s">
        <v>633</v>
      </c>
      <c r="B436" t="s">
        <v>21</v>
      </c>
      <c r="C436" t="s">
        <v>690</v>
      </c>
      <c r="D436" t="s">
        <v>635</v>
      </c>
      <c r="E436">
        <v>154</v>
      </c>
      <c r="F436">
        <v>6</v>
      </c>
      <c r="G436" t="s">
        <v>641</v>
      </c>
      <c r="H436">
        <v>157</v>
      </c>
      <c r="I436">
        <v>4</v>
      </c>
      <c r="J436" t="s">
        <v>678</v>
      </c>
      <c r="K436" t="s">
        <v>310</v>
      </c>
      <c r="L436" t="s">
        <v>26</v>
      </c>
      <c r="M436" t="s">
        <v>310</v>
      </c>
      <c r="N436" t="s">
        <v>28</v>
      </c>
      <c r="O436" t="s">
        <v>29</v>
      </c>
      <c r="P436">
        <v>6</v>
      </c>
      <c r="Q436">
        <v>0</v>
      </c>
      <c r="R436" t="s">
        <v>151</v>
      </c>
      <c r="S436" t="s">
        <v>278</v>
      </c>
      <c r="T436" t="s">
        <v>44</v>
      </c>
    </row>
    <row r="437" spans="1:20" x14ac:dyDescent="0.3">
      <c r="A437" t="s">
        <v>691</v>
      </c>
      <c r="B437" t="s">
        <v>40</v>
      </c>
      <c r="C437" t="s">
        <v>692</v>
      </c>
      <c r="D437" t="s">
        <v>693</v>
      </c>
      <c r="E437">
        <v>197</v>
      </c>
      <c r="F437">
        <v>3</v>
      </c>
      <c r="G437" t="s">
        <v>310</v>
      </c>
      <c r="H437">
        <v>200</v>
      </c>
      <c r="I437">
        <v>6</v>
      </c>
      <c r="J437" t="s">
        <v>157</v>
      </c>
      <c r="K437" t="s">
        <v>310</v>
      </c>
      <c r="L437" t="s">
        <v>26</v>
      </c>
      <c r="M437" t="s">
        <v>310</v>
      </c>
      <c r="N437" t="s">
        <v>28</v>
      </c>
      <c r="O437" t="s">
        <v>29</v>
      </c>
      <c r="P437">
        <v>4</v>
      </c>
      <c r="Q437">
        <v>0</v>
      </c>
      <c r="R437" t="s">
        <v>90</v>
      </c>
      <c r="S437" t="s">
        <v>639</v>
      </c>
      <c r="T437" t="s">
        <v>66</v>
      </c>
    </row>
    <row r="438" spans="1:20" x14ac:dyDescent="0.3">
      <c r="A438" t="s">
        <v>691</v>
      </c>
      <c r="B438" t="s">
        <v>33</v>
      </c>
      <c r="C438" t="s">
        <v>692</v>
      </c>
      <c r="D438" t="s">
        <v>113</v>
      </c>
      <c r="E438">
        <v>196</v>
      </c>
      <c r="F438">
        <v>6</v>
      </c>
      <c r="G438" t="s">
        <v>694</v>
      </c>
      <c r="H438">
        <v>151</v>
      </c>
      <c r="I438">
        <v>9</v>
      </c>
      <c r="J438" t="s">
        <v>600</v>
      </c>
      <c r="K438" t="s">
        <v>694</v>
      </c>
      <c r="L438" t="s">
        <v>26</v>
      </c>
      <c r="M438" t="s">
        <v>113</v>
      </c>
      <c r="N438" t="s">
        <v>28</v>
      </c>
      <c r="O438" t="s">
        <v>29</v>
      </c>
      <c r="P438">
        <v>0</v>
      </c>
      <c r="Q438">
        <v>40</v>
      </c>
      <c r="R438" t="s">
        <v>455</v>
      </c>
      <c r="S438" t="s">
        <v>50</v>
      </c>
      <c r="T438" t="s">
        <v>695</v>
      </c>
    </row>
    <row r="439" spans="1:20" x14ac:dyDescent="0.3">
      <c r="A439" t="s">
        <v>691</v>
      </c>
      <c r="B439" t="s">
        <v>195</v>
      </c>
      <c r="C439" t="s">
        <v>696</v>
      </c>
      <c r="D439" t="s">
        <v>277</v>
      </c>
      <c r="E439">
        <v>203</v>
      </c>
      <c r="F439">
        <v>4</v>
      </c>
      <c r="G439" t="s">
        <v>53</v>
      </c>
      <c r="H439">
        <v>166</v>
      </c>
      <c r="I439">
        <v>10</v>
      </c>
      <c r="J439" t="s">
        <v>697</v>
      </c>
      <c r="K439" t="s">
        <v>53</v>
      </c>
      <c r="L439" t="s">
        <v>26</v>
      </c>
      <c r="M439" t="s">
        <v>277</v>
      </c>
      <c r="N439" t="s">
        <v>28</v>
      </c>
      <c r="O439" t="s">
        <v>29</v>
      </c>
      <c r="P439">
        <v>0</v>
      </c>
      <c r="Q439">
        <v>37</v>
      </c>
      <c r="R439" t="s">
        <v>617</v>
      </c>
      <c r="S439" t="s">
        <v>225</v>
      </c>
      <c r="T439" t="s">
        <v>695</v>
      </c>
    </row>
    <row r="440" spans="1:20" x14ac:dyDescent="0.3">
      <c r="A440" t="s">
        <v>691</v>
      </c>
      <c r="B440" t="s">
        <v>190</v>
      </c>
      <c r="C440" t="s">
        <v>696</v>
      </c>
      <c r="D440" t="s">
        <v>113</v>
      </c>
      <c r="E440">
        <v>155</v>
      </c>
      <c r="F440">
        <v>6</v>
      </c>
      <c r="G440" t="s">
        <v>581</v>
      </c>
      <c r="H440">
        <v>121</v>
      </c>
      <c r="I440">
        <v>9</v>
      </c>
      <c r="J440" t="s">
        <v>698</v>
      </c>
      <c r="K440" t="s">
        <v>113</v>
      </c>
      <c r="L440" t="s">
        <v>37</v>
      </c>
      <c r="M440" t="s">
        <v>113</v>
      </c>
      <c r="N440" t="s">
        <v>28</v>
      </c>
      <c r="O440" t="s">
        <v>29</v>
      </c>
      <c r="P440">
        <v>0</v>
      </c>
      <c r="Q440">
        <v>34</v>
      </c>
      <c r="R440" t="s">
        <v>303</v>
      </c>
      <c r="S440" t="s">
        <v>639</v>
      </c>
      <c r="T440" t="s">
        <v>56</v>
      </c>
    </row>
    <row r="441" spans="1:20" x14ac:dyDescent="0.3">
      <c r="A441" t="s">
        <v>691</v>
      </c>
      <c r="B441" t="s">
        <v>186</v>
      </c>
      <c r="C441" t="s">
        <v>699</v>
      </c>
      <c r="D441" t="s">
        <v>694</v>
      </c>
      <c r="E441">
        <v>174</v>
      </c>
      <c r="F441">
        <v>9</v>
      </c>
      <c r="G441" t="s">
        <v>693</v>
      </c>
      <c r="H441">
        <v>179</v>
      </c>
      <c r="I441">
        <v>3</v>
      </c>
      <c r="J441" t="s">
        <v>94</v>
      </c>
      <c r="K441" t="s">
        <v>694</v>
      </c>
      <c r="L441" t="s">
        <v>37</v>
      </c>
      <c r="M441" t="s">
        <v>693</v>
      </c>
      <c r="N441" t="s">
        <v>28</v>
      </c>
      <c r="O441" t="s">
        <v>29</v>
      </c>
      <c r="P441">
        <v>7</v>
      </c>
      <c r="Q441">
        <v>0</v>
      </c>
      <c r="R441" t="s">
        <v>118</v>
      </c>
      <c r="S441" t="s">
        <v>50</v>
      </c>
      <c r="T441" t="s">
        <v>695</v>
      </c>
    </row>
    <row r="442" spans="1:20" x14ac:dyDescent="0.3">
      <c r="A442" t="s">
        <v>691</v>
      </c>
      <c r="B442" t="s">
        <v>180</v>
      </c>
      <c r="C442" t="s">
        <v>699</v>
      </c>
      <c r="D442" t="s">
        <v>310</v>
      </c>
      <c r="E442">
        <v>124</v>
      </c>
      <c r="F442">
        <v>10</v>
      </c>
      <c r="G442" t="s">
        <v>113</v>
      </c>
      <c r="H442">
        <v>128</v>
      </c>
      <c r="I442">
        <v>2</v>
      </c>
      <c r="J442" t="s">
        <v>700</v>
      </c>
      <c r="K442" t="s">
        <v>113</v>
      </c>
      <c r="L442" t="s">
        <v>26</v>
      </c>
      <c r="M442" t="s">
        <v>113</v>
      </c>
      <c r="N442" t="s">
        <v>28</v>
      </c>
      <c r="O442" t="s">
        <v>29</v>
      </c>
      <c r="P442">
        <v>8</v>
      </c>
      <c r="Q442">
        <v>0</v>
      </c>
      <c r="R442" t="s">
        <v>30</v>
      </c>
      <c r="S442" t="s">
        <v>50</v>
      </c>
      <c r="T442" t="s">
        <v>216</v>
      </c>
    </row>
    <row r="443" spans="1:20" x14ac:dyDescent="0.3">
      <c r="A443" t="s">
        <v>691</v>
      </c>
      <c r="B443" t="s">
        <v>176</v>
      </c>
      <c r="C443" t="s">
        <v>701</v>
      </c>
      <c r="D443" t="s">
        <v>53</v>
      </c>
      <c r="E443">
        <v>219</v>
      </c>
      <c r="F443">
        <v>5</v>
      </c>
      <c r="G443" t="s">
        <v>693</v>
      </c>
      <c r="H443">
        <v>114</v>
      </c>
      <c r="I443">
        <v>10</v>
      </c>
      <c r="J443" t="s">
        <v>589</v>
      </c>
      <c r="K443" t="s">
        <v>693</v>
      </c>
      <c r="L443" t="s">
        <v>26</v>
      </c>
      <c r="M443" t="s">
        <v>53</v>
      </c>
      <c r="N443" t="s">
        <v>28</v>
      </c>
      <c r="O443" t="s">
        <v>29</v>
      </c>
      <c r="P443">
        <v>0</v>
      </c>
      <c r="Q443">
        <v>105</v>
      </c>
      <c r="R443" t="s">
        <v>510</v>
      </c>
      <c r="S443" t="s">
        <v>606</v>
      </c>
      <c r="T443" t="s">
        <v>639</v>
      </c>
    </row>
    <row r="444" spans="1:20" x14ac:dyDescent="0.3">
      <c r="A444" t="s">
        <v>691</v>
      </c>
      <c r="B444" t="s">
        <v>170</v>
      </c>
      <c r="C444" t="s">
        <v>701</v>
      </c>
      <c r="D444" t="s">
        <v>277</v>
      </c>
      <c r="E444">
        <v>173</v>
      </c>
      <c r="F444">
        <v>8</v>
      </c>
      <c r="G444" t="s">
        <v>694</v>
      </c>
      <c r="H444">
        <v>153</v>
      </c>
      <c r="I444">
        <v>6</v>
      </c>
      <c r="J444" t="s">
        <v>410</v>
      </c>
      <c r="K444" t="s">
        <v>694</v>
      </c>
      <c r="L444" t="s">
        <v>26</v>
      </c>
      <c r="M444" t="s">
        <v>277</v>
      </c>
      <c r="N444" t="s">
        <v>28</v>
      </c>
      <c r="O444" t="s">
        <v>29</v>
      </c>
      <c r="P444">
        <v>0</v>
      </c>
      <c r="Q444">
        <v>20</v>
      </c>
      <c r="R444" t="s">
        <v>495</v>
      </c>
      <c r="S444" t="s">
        <v>695</v>
      </c>
      <c r="T444" t="s">
        <v>56</v>
      </c>
    </row>
    <row r="445" spans="1:20" x14ac:dyDescent="0.3">
      <c r="A445" t="s">
        <v>691</v>
      </c>
      <c r="B445" t="s">
        <v>168</v>
      </c>
      <c r="C445" t="s">
        <v>702</v>
      </c>
      <c r="D445" t="s">
        <v>581</v>
      </c>
      <c r="E445">
        <v>205</v>
      </c>
      <c r="F445">
        <v>4</v>
      </c>
      <c r="G445" t="s">
        <v>113</v>
      </c>
      <c r="H445">
        <v>210</v>
      </c>
      <c r="I445">
        <v>2</v>
      </c>
      <c r="J445" t="s">
        <v>485</v>
      </c>
      <c r="K445" t="s">
        <v>113</v>
      </c>
      <c r="L445" t="s">
        <v>26</v>
      </c>
      <c r="M445" t="s">
        <v>113</v>
      </c>
      <c r="N445" t="s">
        <v>469</v>
      </c>
      <c r="O445" t="s">
        <v>703</v>
      </c>
      <c r="P445">
        <v>8</v>
      </c>
      <c r="Q445">
        <v>0</v>
      </c>
      <c r="R445" t="s">
        <v>30</v>
      </c>
      <c r="S445" t="s">
        <v>639</v>
      </c>
      <c r="T445" t="s">
        <v>242</v>
      </c>
    </row>
    <row r="446" spans="1:20" x14ac:dyDescent="0.3">
      <c r="A446" t="s">
        <v>691</v>
      </c>
      <c r="B446" t="s">
        <v>163</v>
      </c>
      <c r="C446" t="s">
        <v>702</v>
      </c>
      <c r="D446" t="s">
        <v>693</v>
      </c>
      <c r="E446">
        <v>168</v>
      </c>
      <c r="F446">
        <v>4</v>
      </c>
      <c r="G446" t="s">
        <v>310</v>
      </c>
      <c r="H446">
        <v>169</v>
      </c>
      <c r="I446">
        <v>3</v>
      </c>
      <c r="J446" t="s">
        <v>253</v>
      </c>
      <c r="K446" t="s">
        <v>310</v>
      </c>
      <c r="L446" t="s">
        <v>26</v>
      </c>
      <c r="M446" t="s">
        <v>310</v>
      </c>
      <c r="N446" t="s">
        <v>469</v>
      </c>
      <c r="O446" t="s">
        <v>703</v>
      </c>
      <c r="P446">
        <v>7</v>
      </c>
      <c r="Q446">
        <v>0</v>
      </c>
      <c r="R446" t="s">
        <v>118</v>
      </c>
      <c r="S446" t="s">
        <v>695</v>
      </c>
      <c r="T446" t="s">
        <v>50</v>
      </c>
    </row>
    <row r="447" spans="1:20" x14ac:dyDescent="0.3">
      <c r="A447" t="s">
        <v>691</v>
      </c>
      <c r="B447" t="s">
        <v>156</v>
      </c>
      <c r="C447" t="s">
        <v>704</v>
      </c>
      <c r="D447" t="s">
        <v>694</v>
      </c>
      <c r="E447">
        <v>111</v>
      </c>
      <c r="F447">
        <v>10</v>
      </c>
      <c r="G447" t="s">
        <v>113</v>
      </c>
      <c r="H447">
        <v>113</v>
      </c>
      <c r="I447">
        <v>3</v>
      </c>
      <c r="J447" t="s">
        <v>698</v>
      </c>
      <c r="K447" t="s">
        <v>113</v>
      </c>
      <c r="L447" t="s">
        <v>26</v>
      </c>
      <c r="M447" t="s">
        <v>113</v>
      </c>
      <c r="N447" t="s">
        <v>469</v>
      </c>
      <c r="O447" t="s">
        <v>703</v>
      </c>
      <c r="P447">
        <v>7</v>
      </c>
      <c r="Q447">
        <v>0</v>
      </c>
      <c r="R447" t="s">
        <v>118</v>
      </c>
      <c r="S447" t="s">
        <v>695</v>
      </c>
      <c r="T447" t="s">
        <v>225</v>
      </c>
    </row>
    <row r="448" spans="1:20" x14ac:dyDescent="0.3">
      <c r="A448" t="s">
        <v>691</v>
      </c>
      <c r="B448" t="s">
        <v>148</v>
      </c>
      <c r="C448" t="s">
        <v>704</v>
      </c>
      <c r="D448" t="s">
        <v>581</v>
      </c>
      <c r="E448">
        <v>125</v>
      </c>
      <c r="F448">
        <v>10</v>
      </c>
      <c r="G448" t="s">
        <v>310</v>
      </c>
      <c r="H448">
        <v>126</v>
      </c>
      <c r="I448">
        <v>3</v>
      </c>
      <c r="J448" t="s">
        <v>705</v>
      </c>
      <c r="K448" t="s">
        <v>310</v>
      </c>
      <c r="L448" t="s">
        <v>26</v>
      </c>
      <c r="M448" t="s">
        <v>310</v>
      </c>
      <c r="N448" t="s">
        <v>469</v>
      </c>
      <c r="O448" t="s">
        <v>703</v>
      </c>
      <c r="P448">
        <v>7</v>
      </c>
      <c r="Q448">
        <v>0</v>
      </c>
      <c r="R448" t="s">
        <v>118</v>
      </c>
      <c r="S448" t="s">
        <v>639</v>
      </c>
      <c r="T448" t="s">
        <v>216</v>
      </c>
    </row>
    <row r="449" spans="1:20" x14ac:dyDescent="0.3">
      <c r="A449" t="s">
        <v>691</v>
      </c>
      <c r="B449" t="s">
        <v>138</v>
      </c>
      <c r="C449" t="s">
        <v>706</v>
      </c>
      <c r="D449" t="s">
        <v>310</v>
      </c>
      <c r="E449">
        <v>197</v>
      </c>
      <c r="F449">
        <v>5</v>
      </c>
      <c r="G449" t="s">
        <v>113</v>
      </c>
      <c r="H449">
        <v>202</v>
      </c>
      <c r="I449">
        <v>7</v>
      </c>
      <c r="J449" t="s">
        <v>618</v>
      </c>
      <c r="K449" t="s">
        <v>113</v>
      </c>
      <c r="L449" t="s">
        <v>26</v>
      </c>
      <c r="M449" t="s">
        <v>113</v>
      </c>
      <c r="N449" t="s">
        <v>469</v>
      </c>
      <c r="O449" t="s">
        <v>703</v>
      </c>
      <c r="P449">
        <v>3</v>
      </c>
      <c r="Q449">
        <v>0</v>
      </c>
      <c r="R449" t="s">
        <v>49</v>
      </c>
      <c r="S449" t="s">
        <v>593</v>
      </c>
      <c r="T449" t="s">
        <v>639</v>
      </c>
    </row>
    <row r="450" spans="1:20" x14ac:dyDescent="0.3">
      <c r="A450" t="s">
        <v>691</v>
      </c>
      <c r="B450" t="s">
        <v>132</v>
      </c>
      <c r="C450" t="s">
        <v>706</v>
      </c>
      <c r="D450" t="s">
        <v>694</v>
      </c>
      <c r="E450">
        <v>177</v>
      </c>
      <c r="F450">
        <v>5</v>
      </c>
      <c r="G450" t="s">
        <v>53</v>
      </c>
      <c r="H450">
        <v>180</v>
      </c>
      <c r="I450">
        <v>3</v>
      </c>
      <c r="J450" t="s">
        <v>642</v>
      </c>
      <c r="K450" t="s">
        <v>53</v>
      </c>
      <c r="L450" t="s">
        <v>26</v>
      </c>
      <c r="M450" t="s">
        <v>53</v>
      </c>
      <c r="N450" t="s">
        <v>469</v>
      </c>
      <c r="O450" t="s">
        <v>703</v>
      </c>
      <c r="P450">
        <v>7</v>
      </c>
      <c r="Q450">
        <v>0</v>
      </c>
      <c r="R450" t="s">
        <v>118</v>
      </c>
      <c r="S450" t="s">
        <v>56</v>
      </c>
      <c r="T450" t="s">
        <v>216</v>
      </c>
    </row>
    <row r="451" spans="1:20" x14ac:dyDescent="0.3">
      <c r="A451" t="s">
        <v>691</v>
      </c>
      <c r="B451" t="s">
        <v>126</v>
      </c>
      <c r="C451" t="s">
        <v>707</v>
      </c>
      <c r="D451" t="s">
        <v>693</v>
      </c>
      <c r="E451">
        <v>178</v>
      </c>
      <c r="F451">
        <v>5</v>
      </c>
      <c r="G451" t="s">
        <v>277</v>
      </c>
      <c r="H451">
        <v>150</v>
      </c>
      <c r="I451">
        <v>10</v>
      </c>
      <c r="J451" t="s">
        <v>708</v>
      </c>
      <c r="K451" t="s">
        <v>277</v>
      </c>
      <c r="L451" t="s">
        <v>26</v>
      </c>
      <c r="M451" t="s">
        <v>693</v>
      </c>
      <c r="N451" t="s">
        <v>469</v>
      </c>
      <c r="O451" t="s">
        <v>703</v>
      </c>
      <c r="P451">
        <v>0</v>
      </c>
      <c r="Q451">
        <v>28</v>
      </c>
      <c r="R451" t="s">
        <v>648</v>
      </c>
      <c r="S451" t="s">
        <v>695</v>
      </c>
      <c r="T451" t="s">
        <v>225</v>
      </c>
    </row>
    <row r="452" spans="1:20" x14ac:dyDescent="0.3">
      <c r="A452" t="s">
        <v>691</v>
      </c>
      <c r="B452" t="s">
        <v>123</v>
      </c>
      <c r="C452" t="s">
        <v>707</v>
      </c>
      <c r="D452" t="s">
        <v>694</v>
      </c>
      <c r="E452">
        <v>193</v>
      </c>
      <c r="F452">
        <v>6</v>
      </c>
      <c r="G452" t="s">
        <v>581</v>
      </c>
      <c r="H452">
        <v>195</v>
      </c>
      <c r="I452">
        <v>7</v>
      </c>
      <c r="J452" t="s">
        <v>462</v>
      </c>
      <c r="K452" t="s">
        <v>694</v>
      </c>
      <c r="L452" t="s">
        <v>37</v>
      </c>
      <c r="M452" t="s">
        <v>581</v>
      </c>
      <c r="N452" t="s">
        <v>469</v>
      </c>
      <c r="O452" t="s">
        <v>703</v>
      </c>
      <c r="P452">
        <v>3</v>
      </c>
      <c r="Q452">
        <v>0</v>
      </c>
      <c r="R452" t="s">
        <v>49</v>
      </c>
      <c r="S452" t="s">
        <v>639</v>
      </c>
      <c r="T452" t="s">
        <v>66</v>
      </c>
    </row>
    <row r="453" spans="1:20" x14ac:dyDescent="0.3">
      <c r="A453" t="s">
        <v>691</v>
      </c>
      <c r="B453" t="s">
        <v>116</v>
      </c>
      <c r="C453" t="s">
        <v>709</v>
      </c>
      <c r="D453" t="s">
        <v>581</v>
      </c>
      <c r="E453">
        <v>182</v>
      </c>
      <c r="F453">
        <v>5</v>
      </c>
      <c r="G453" t="s">
        <v>277</v>
      </c>
      <c r="H453">
        <v>174</v>
      </c>
      <c r="I453">
        <v>9</v>
      </c>
      <c r="J453" t="s">
        <v>462</v>
      </c>
      <c r="K453" t="s">
        <v>277</v>
      </c>
      <c r="L453" t="s">
        <v>26</v>
      </c>
      <c r="M453" t="s">
        <v>581</v>
      </c>
      <c r="N453" t="s">
        <v>469</v>
      </c>
      <c r="O453" t="s">
        <v>703</v>
      </c>
      <c r="P453">
        <v>0</v>
      </c>
      <c r="Q453">
        <v>8</v>
      </c>
      <c r="R453" t="s">
        <v>218</v>
      </c>
      <c r="S453" t="s">
        <v>695</v>
      </c>
      <c r="T453" t="s">
        <v>56</v>
      </c>
    </row>
    <row r="454" spans="1:20" x14ac:dyDescent="0.3">
      <c r="A454" t="s">
        <v>691</v>
      </c>
      <c r="B454" t="s">
        <v>110</v>
      </c>
      <c r="C454" t="s">
        <v>709</v>
      </c>
      <c r="D454" t="s">
        <v>694</v>
      </c>
      <c r="E454">
        <v>254</v>
      </c>
      <c r="F454">
        <v>1</v>
      </c>
      <c r="G454" t="s">
        <v>693</v>
      </c>
      <c r="H454">
        <v>105</v>
      </c>
      <c r="I454">
        <v>10</v>
      </c>
      <c r="J454" t="s">
        <v>239</v>
      </c>
      <c r="K454" t="s">
        <v>693</v>
      </c>
      <c r="L454" t="s">
        <v>26</v>
      </c>
      <c r="M454" t="s">
        <v>694</v>
      </c>
      <c r="N454" t="s">
        <v>469</v>
      </c>
      <c r="O454" t="s">
        <v>703</v>
      </c>
      <c r="P454">
        <v>0</v>
      </c>
      <c r="Q454">
        <v>149</v>
      </c>
      <c r="R454" t="s">
        <v>710</v>
      </c>
      <c r="S454" t="s">
        <v>639</v>
      </c>
      <c r="T454" t="s">
        <v>216</v>
      </c>
    </row>
    <row r="455" spans="1:20" x14ac:dyDescent="0.3">
      <c r="A455" t="s">
        <v>691</v>
      </c>
      <c r="B455" t="s">
        <v>104</v>
      </c>
      <c r="C455" t="s">
        <v>711</v>
      </c>
      <c r="D455" t="s">
        <v>53</v>
      </c>
      <c r="E455">
        <v>203</v>
      </c>
      <c r="F455">
        <v>6</v>
      </c>
      <c r="G455" t="s">
        <v>581</v>
      </c>
      <c r="H455">
        <v>173</v>
      </c>
      <c r="I455">
        <v>8</v>
      </c>
      <c r="J455" t="s">
        <v>712</v>
      </c>
      <c r="K455" t="s">
        <v>581</v>
      </c>
      <c r="L455" t="s">
        <v>26</v>
      </c>
      <c r="M455" t="s">
        <v>53</v>
      </c>
      <c r="N455" t="s">
        <v>469</v>
      </c>
      <c r="O455" t="s">
        <v>703</v>
      </c>
      <c r="P455">
        <v>0</v>
      </c>
      <c r="Q455">
        <v>30</v>
      </c>
      <c r="R455" t="s">
        <v>452</v>
      </c>
      <c r="S455" t="s">
        <v>593</v>
      </c>
      <c r="T455" t="s">
        <v>639</v>
      </c>
    </row>
    <row r="456" spans="1:20" x14ac:dyDescent="0.3">
      <c r="A456" t="s">
        <v>691</v>
      </c>
      <c r="B456" t="s">
        <v>95</v>
      </c>
      <c r="C456" t="s">
        <v>711</v>
      </c>
      <c r="D456" t="s">
        <v>113</v>
      </c>
      <c r="E456">
        <v>186</v>
      </c>
      <c r="F456">
        <v>5</v>
      </c>
      <c r="G456" t="s">
        <v>277</v>
      </c>
      <c r="H456">
        <v>178</v>
      </c>
      <c r="I456">
        <v>9</v>
      </c>
      <c r="J456" t="s">
        <v>713</v>
      </c>
      <c r="K456" t="s">
        <v>113</v>
      </c>
      <c r="L456" t="s">
        <v>37</v>
      </c>
      <c r="M456" t="s">
        <v>113</v>
      </c>
      <c r="N456" t="s">
        <v>469</v>
      </c>
      <c r="O456" t="s">
        <v>703</v>
      </c>
      <c r="P456">
        <v>0</v>
      </c>
      <c r="Q456">
        <v>8</v>
      </c>
      <c r="R456" t="s">
        <v>218</v>
      </c>
      <c r="S456" t="s">
        <v>66</v>
      </c>
      <c r="T456" t="s">
        <v>695</v>
      </c>
    </row>
    <row r="457" spans="1:20" x14ac:dyDescent="0.3">
      <c r="A457" t="s">
        <v>691</v>
      </c>
      <c r="B457" t="s">
        <v>91</v>
      </c>
      <c r="C457" t="s">
        <v>714</v>
      </c>
      <c r="D457" t="s">
        <v>694</v>
      </c>
      <c r="E457">
        <v>139</v>
      </c>
      <c r="F457">
        <v>10</v>
      </c>
      <c r="G457" t="s">
        <v>310</v>
      </c>
      <c r="H457">
        <v>145</v>
      </c>
      <c r="I457">
        <v>10</v>
      </c>
      <c r="J457" t="s">
        <v>253</v>
      </c>
      <c r="K457" t="s">
        <v>694</v>
      </c>
      <c r="L457" t="s">
        <v>37</v>
      </c>
      <c r="M457" t="s">
        <v>310</v>
      </c>
      <c r="N457" t="s">
        <v>88</v>
      </c>
      <c r="O457" t="s">
        <v>89</v>
      </c>
      <c r="P457">
        <v>8</v>
      </c>
      <c r="Q457">
        <v>0</v>
      </c>
      <c r="R457" t="s">
        <v>30</v>
      </c>
      <c r="S457" t="s">
        <v>242</v>
      </c>
      <c r="T457" t="s">
        <v>639</v>
      </c>
    </row>
    <row r="458" spans="1:20" x14ac:dyDescent="0.3">
      <c r="A458" t="s">
        <v>691</v>
      </c>
      <c r="B458" t="s">
        <v>85</v>
      </c>
      <c r="C458" t="s">
        <v>714</v>
      </c>
      <c r="D458" t="s">
        <v>53</v>
      </c>
      <c r="E458">
        <v>200</v>
      </c>
      <c r="F458">
        <v>7</v>
      </c>
      <c r="G458" t="s">
        <v>277</v>
      </c>
      <c r="H458">
        <v>155</v>
      </c>
      <c r="I458">
        <v>9</v>
      </c>
      <c r="J458" t="s">
        <v>712</v>
      </c>
      <c r="K458" t="s">
        <v>277</v>
      </c>
      <c r="L458" t="s">
        <v>26</v>
      </c>
      <c r="M458" t="s">
        <v>53</v>
      </c>
      <c r="N458" t="s">
        <v>88</v>
      </c>
      <c r="O458" t="s">
        <v>89</v>
      </c>
      <c r="P458">
        <v>0</v>
      </c>
      <c r="Q458">
        <v>45</v>
      </c>
      <c r="R458" t="s">
        <v>194</v>
      </c>
      <c r="S458" t="s">
        <v>44</v>
      </c>
      <c r="T458" t="s">
        <v>50</v>
      </c>
    </row>
    <row r="459" spans="1:20" x14ac:dyDescent="0.3">
      <c r="A459" t="s">
        <v>691</v>
      </c>
      <c r="B459" t="s">
        <v>78</v>
      </c>
      <c r="C459" t="s">
        <v>715</v>
      </c>
      <c r="D459" t="s">
        <v>693</v>
      </c>
      <c r="E459">
        <v>184</v>
      </c>
      <c r="F459">
        <v>7</v>
      </c>
      <c r="G459" t="s">
        <v>581</v>
      </c>
      <c r="H459">
        <v>119</v>
      </c>
      <c r="I459">
        <v>10</v>
      </c>
      <c r="J459" t="s">
        <v>716</v>
      </c>
      <c r="K459" t="s">
        <v>693</v>
      </c>
      <c r="L459" t="s">
        <v>37</v>
      </c>
      <c r="M459" t="s">
        <v>693</v>
      </c>
      <c r="N459" t="s">
        <v>88</v>
      </c>
      <c r="O459" t="s">
        <v>89</v>
      </c>
      <c r="P459">
        <v>0</v>
      </c>
      <c r="Q459">
        <v>65</v>
      </c>
      <c r="R459" t="s">
        <v>474</v>
      </c>
      <c r="S459" t="s">
        <v>593</v>
      </c>
      <c r="T459" t="s">
        <v>695</v>
      </c>
    </row>
    <row r="460" spans="1:20" x14ac:dyDescent="0.3">
      <c r="A460" t="s">
        <v>691</v>
      </c>
      <c r="B460" t="s">
        <v>68</v>
      </c>
      <c r="C460" t="s">
        <v>715</v>
      </c>
      <c r="D460" t="s">
        <v>113</v>
      </c>
      <c r="E460">
        <v>164</v>
      </c>
      <c r="F460">
        <v>7</v>
      </c>
      <c r="G460" t="s">
        <v>53</v>
      </c>
      <c r="H460">
        <v>131</v>
      </c>
      <c r="I460">
        <v>8</v>
      </c>
      <c r="J460" t="s">
        <v>600</v>
      </c>
      <c r="K460" t="s">
        <v>53</v>
      </c>
      <c r="L460" t="s">
        <v>26</v>
      </c>
      <c r="M460" t="s">
        <v>113</v>
      </c>
      <c r="N460" t="s">
        <v>88</v>
      </c>
      <c r="O460" t="s">
        <v>89</v>
      </c>
      <c r="P460">
        <v>0</v>
      </c>
      <c r="Q460">
        <v>33</v>
      </c>
      <c r="R460" t="s">
        <v>131</v>
      </c>
      <c r="S460" t="s">
        <v>66</v>
      </c>
      <c r="T460" t="s">
        <v>44</v>
      </c>
    </row>
    <row r="461" spans="1:20" x14ac:dyDescent="0.3">
      <c r="A461" t="s">
        <v>691</v>
      </c>
      <c r="B461" t="s">
        <v>67</v>
      </c>
      <c r="C461" t="s">
        <v>717</v>
      </c>
      <c r="D461" t="s">
        <v>53</v>
      </c>
      <c r="E461">
        <v>121</v>
      </c>
      <c r="F461">
        <v>8</v>
      </c>
      <c r="G461" t="s">
        <v>310</v>
      </c>
      <c r="H461">
        <v>122</v>
      </c>
      <c r="I461">
        <v>4</v>
      </c>
      <c r="J461" t="s">
        <v>429</v>
      </c>
      <c r="K461" t="s">
        <v>310</v>
      </c>
      <c r="L461" t="s">
        <v>26</v>
      </c>
      <c r="M461" t="s">
        <v>310</v>
      </c>
      <c r="N461" t="s">
        <v>88</v>
      </c>
      <c r="O461" t="s">
        <v>89</v>
      </c>
      <c r="P461">
        <v>6</v>
      </c>
      <c r="Q461">
        <v>0</v>
      </c>
      <c r="R461" t="s">
        <v>151</v>
      </c>
      <c r="S461" t="s">
        <v>44</v>
      </c>
      <c r="T461" t="s">
        <v>225</v>
      </c>
    </row>
    <row r="462" spans="1:20" x14ac:dyDescent="0.3">
      <c r="A462" t="s">
        <v>691</v>
      </c>
      <c r="B462" t="s">
        <v>60</v>
      </c>
      <c r="C462" t="s">
        <v>717</v>
      </c>
      <c r="D462" t="s">
        <v>277</v>
      </c>
      <c r="E462">
        <v>209</v>
      </c>
      <c r="F462">
        <v>4</v>
      </c>
      <c r="G462" t="s">
        <v>693</v>
      </c>
      <c r="H462">
        <v>202</v>
      </c>
      <c r="I462">
        <v>4</v>
      </c>
      <c r="J462" t="s">
        <v>520</v>
      </c>
      <c r="K462" t="s">
        <v>277</v>
      </c>
      <c r="L462" t="s">
        <v>37</v>
      </c>
      <c r="M462" t="s">
        <v>277</v>
      </c>
      <c r="N462" t="s">
        <v>88</v>
      </c>
      <c r="O462" t="s">
        <v>89</v>
      </c>
      <c r="P462">
        <v>0</v>
      </c>
      <c r="Q462">
        <v>7</v>
      </c>
      <c r="R462" t="s">
        <v>364</v>
      </c>
      <c r="S462" t="s">
        <v>639</v>
      </c>
      <c r="T462" t="s">
        <v>56</v>
      </c>
    </row>
    <row r="463" spans="1:20" x14ac:dyDescent="0.3">
      <c r="A463" t="s">
        <v>691</v>
      </c>
      <c r="B463" t="s">
        <v>58</v>
      </c>
      <c r="C463" t="s">
        <v>718</v>
      </c>
      <c r="D463" t="s">
        <v>694</v>
      </c>
      <c r="E463">
        <v>196</v>
      </c>
      <c r="F463">
        <v>6</v>
      </c>
      <c r="G463" t="s">
        <v>581</v>
      </c>
      <c r="H463">
        <v>190</v>
      </c>
      <c r="I463">
        <v>7</v>
      </c>
      <c r="J463" t="s">
        <v>434</v>
      </c>
      <c r="K463" t="s">
        <v>694</v>
      </c>
      <c r="L463" t="s">
        <v>37</v>
      </c>
      <c r="M463" t="s">
        <v>694</v>
      </c>
      <c r="N463" t="s">
        <v>88</v>
      </c>
      <c r="O463" t="s">
        <v>89</v>
      </c>
      <c r="P463">
        <v>0</v>
      </c>
      <c r="Q463">
        <v>6</v>
      </c>
      <c r="R463" t="s">
        <v>315</v>
      </c>
      <c r="S463" t="s">
        <v>606</v>
      </c>
      <c r="T463" t="s">
        <v>216</v>
      </c>
    </row>
    <row r="464" spans="1:20" x14ac:dyDescent="0.3">
      <c r="A464" t="s">
        <v>691</v>
      </c>
      <c r="B464" t="s">
        <v>51</v>
      </c>
      <c r="C464" t="s">
        <v>718</v>
      </c>
      <c r="D464" t="s">
        <v>53</v>
      </c>
      <c r="E464">
        <v>191</v>
      </c>
      <c r="F464">
        <v>8</v>
      </c>
      <c r="G464" t="s">
        <v>693</v>
      </c>
      <c r="H464">
        <v>80</v>
      </c>
      <c r="I464">
        <v>10</v>
      </c>
      <c r="J464" t="s">
        <v>344</v>
      </c>
      <c r="K464" t="s">
        <v>693</v>
      </c>
      <c r="L464" t="s">
        <v>26</v>
      </c>
      <c r="M464" t="s">
        <v>53</v>
      </c>
      <c r="N464" t="s">
        <v>88</v>
      </c>
      <c r="O464" t="s">
        <v>89</v>
      </c>
      <c r="P464">
        <v>0</v>
      </c>
      <c r="Q464">
        <v>111</v>
      </c>
      <c r="R464" t="s">
        <v>719</v>
      </c>
      <c r="S464" t="s">
        <v>66</v>
      </c>
      <c r="T464" t="s">
        <v>56</v>
      </c>
    </row>
    <row r="465" spans="1:20" x14ac:dyDescent="0.3">
      <c r="A465" t="s">
        <v>691</v>
      </c>
      <c r="B465" t="s">
        <v>45</v>
      </c>
      <c r="C465" t="s">
        <v>720</v>
      </c>
      <c r="D465" t="s">
        <v>53</v>
      </c>
      <c r="E465">
        <v>148</v>
      </c>
      <c r="F465">
        <v>6</v>
      </c>
      <c r="G465" t="s">
        <v>694</v>
      </c>
      <c r="H465">
        <v>149</v>
      </c>
      <c r="I465">
        <v>2</v>
      </c>
      <c r="J465" t="s">
        <v>679</v>
      </c>
      <c r="K465" t="s">
        <v>53</v>
      </c>
      <c r="L465" t="s">
        <v>37</v>
      </c>
      <c r="M465" t="s">
        <v>694</v>
      </c>
      <c r="N465" t="s">
        <v>88</v>
      </c>
      <c r="O465" t="s">
        <v>89</v>
      </c>
      <c r="P465">
        <v>8</v>
      </c>
      <c r="Q465">
        <v>0</v>
      </c>
      <c r="R465" t="s">
        <v>30</v>
      </c>
      <c r="S465" t="s">
        <v>606</v>
      </c>
      <c r="T465" t="s">
        <v>56</v>
      </c>
    </row>
    <row r="466" spans="1:20" x14ac:dyDescent="0.3">
      <c r="A466" t="s">
        <v>691</v>
      </c>
      <c r="B466" t="s">
        <v>336</v>
      </c>
      <c r="C466" t="s">
        <v>720</v>
      </c>
      <c r="D466" t="s">
        <v>310</v>
      </c>
      <c r="E466">
        <v>167</v>
      </c>
      <c r="F466">
        <v>9</v>
      </c>
      <c r="G466" t="s">
        <v>277</v>
      </c>
      <c r="H466">
        <v>160</v>
      </c>
      <c r="I466">
        <v>6</v>
      </c>
      <c r="J466" t="s">
        <v>721</v>
      </c>
      <c r="K466" t="s">
        <v>277</v>
      </c>
      <c r="L466" t="s">
        <v>26</v>
      </c>
      <c r="M466" t="s">
        <v>310</v>
      </c>
      <c r="N466" t="s">
        <v>88</v>
      </c>
      <c r="O466" t="s">
        <v>89</v>
      </c>
      <c r="P466">
        <v>0</v>
      </c>
      <c r="Q466">
        <v>7</v>
      </c>
      <c r="R466" t="s">
        <v>364</v>
      </c>
      <c r="S466" t="s">
        <v>44</v>
      </c>
      <c r="T466" t="s">
        <v>216</v>
      </c>
    </row>
    <row r="467" spans="1:20" x14ac:dyDescent="0.3">
      <c r="A467" t="s">
        <v>691</v>
      </c>
      <c r="B467" t="s">
        <v>334</v>
      </c>
      <c r="C467" t="s">
        <v>722</v>
      </c>
      <c r="D467" t="s">
        <v>693</v>
      </c>
      <c r="E467">
        <v>170</v>
      </c>
      <c r="F467">
        <v>9</v>
      </c>
      <c r="G467" t="s">
        <v>113</v>
      </c>
      <c r="H467">
        <v>146</v>
      </c>
      <c r="I467">
        <v>10</v>
      </c>
      <c r="J467" t="s">
        <v>708</v>
      </c>
      <c r="K467" t="s">
        <v>113</v>
      </c>
      <c r="L467" t="s">
        <v>26</v>
      </c>
      <c r="M467" t="s">
        <v>693</v>
      </c>
      <c r="N467" t="s">
        <v>88</v>
      </c>
      <c r="O467" t="s">
        <v>89</v>
      </c>
      <c r="P467">
        <v>0</v>
      </c>
      <c r="Q467">
        <v>24</v>
      </c>
      <c r="R467" t="s">
        <v>541</v>
      </c>
      <c r="S467" t="s">
        <v>56</v>
      </c>
      <c r="T467" t="s">
        <v>225</v>
      </c>
    </row>
    <row r="468" spans="1:20" x14ac:dyDescent="0.3">
      <c r="A468" t="s">
        <v>691</v>
      </c>
      <c r="B468" t="s">
        <v>330</v>
      </c>
      <c r="C468" t="s">
        <v>722</v>
      </c>
      <c r="D468" t="s">
        <v>581</v>
      </c>
      <c r="E468">
        <v>152</v>
      </c>
      <c r="F468">
        <v>9</v>
      </c>
      <c r="G468" t="s">
        <v>277</v>
      </c>
      <c r="H468">
        <v>156</v>
      </c>
      <c r="I468">
        <v>4</v>
      </c>
      <c r="J468" t="s">
        <v>410</v>
      </c>
      <c r="K468" t="s">
        <v>581</v>
      </c>
      <c r="L468" t="s">
        <v>37</v>
      </c>
      <c r="M468" t="s">
        <v>277</v>
      </c>
      <c r="N468" t="s">
        <v>88</v>
      </c>
      <c r="O468" t="s">
        <v>89</v>
      </c>
      <c r="P468">
        <v>6</v>
      </c>
      <c r="Q468">
        <v>0</v>
      </c>
      <c r="R468" t="s">
        <v>151</v>
      </c>
      <c r="S468" t="s">
        <v>66</v>
      </c>
      <c r="T468" t="s">
        <v>216</v>
      </c>
    </row>
    <row r="469" spans="1:20" x14ac:dyDescent="0.3">
      <c r="A469" t="s">
        <v>691</v>
      </c>
      <c r="B469" t="s">
        <v>328</v>
      </c>
      <c r="C469" t="s">
        <v>723</v>
      </c>
      <c r="D469" t="s">
        <v>581</v>
      </c>
      <c r="E469">
        <v>116</v>
      </c>
      <c r="F469">
        <v>10</v>
      </c>
      <c r="G469" t="s">
        <v>310</v>
      </c>
      <c r="H469">
        <v>120</v>
      </c>
      <c r="I469">
        <v>2</v>
      </c>
      <c r="J469" t="s">
        <v>724</v>
      </c>
      <c r="K469" t="s">
        <v>581</v>
      </c>
      <c r="L469" t="s">
        <v>37</v>
      </c>
      <c r="M469" t="s">
        <v>310</v>
      </c>
      <c r="N469" t="s">
        <v>28</v>
      </c>
      <c r="O469" t="s">
        <v>29</v>
      </c>
      <c r="P469">
        <v>8</v>
      </c>
      <c r="Q469">
        <v>0</v>
      </c>
      <c r="R469" t="s">
        <v>30</v>
      </c>
      <c r="S469" t="s">
        <v>695</v>
      </c>
      <c r="T469" t="s">
        <v>225</v>
      </c>
    </row>
    <row r="470" spans="1:20" x14ac:dyDescent="0.3">
      <c r="A470" t="s">
        <v>691</v>
      </c>
      <c r="B470" t="s">
        <v>326</v>
      </c>
      <c r="C470" t="s">
        <v>723</v>
      </c>
      <c r="D470" t="s">
        <v>693</v>
      </c>
      <c r="E470">
        <v>119</v>
      </c>
      <c r="F470">
        <v>9</v>
      </c>
      <c r="G470" t="s">
        <v>113</v>
      </c>
      <c r="H470">
        <v>117</v>
      </c>
      <c r="I470">
        <v>8</v>
      </c>
      <c r="J470" t="s">
        <v>319</v>
      </c>
      <c r="K470" t="s">
        <v>113</v>
      </c>
      <c r="L470" t="s">
        <v>26</v>
      </c>
      <c r="M470" t="s">
        <v>693</v>
      </c>
      <c r="N470" t="s">
        <v>28</v>
      </c>
      <c r="O470" t="s">
        <v>29</v>
      </c>
      <c r="P470">
        <v>2</v>
      </c>
      <c r="Q470">
        <v>0</v>
      </c>
      <c r="R470" t="s">
        <v>128</v>
      </c>
      <c r="S470" t="s">
        <v>606</v>
      </c>
      <c r="T470" t="s">
        <v>44</v>
      </c>
    </row>
    <row r="471" spans="1:20" x14ac:dyDescent="0.3">
      <c r="A471" t="s">
        <v>691</v>
      </c>
      <c r="B471" t="s">
        <v>324</v>
      </c>
      <c r="C471" t="s">
        <v>725</v>
      </c>
      <c r="D471" t="s">
        <v>277</v>
      </c>
      <c r="E471">
        <v>187</v>
      </c>
      <c r="F471">
        <v>5</v>
      </c>
      <c r="G471" t="s">
        <v>310</v>
      </c>
      <c r="H471">
        <v>188</v>
      </c>
      <c r="I471">
        <v>5</v>
      </c>
      <c r="J471" t="s">
        <v>429</v>
      </c>
      <c r="K471" t="s">
        <v>310</v>
      </c>
      <c r="L471" t="s">
        <v>26</v>
      </c>
      <c r="M471" t="s">
        <v>310</v>
      </c>
      <c r="N471" t="s">
        <v>28</v>
      </c>
      <c r="O471" t="s">
        <v>29</v>
      </c>
      <c r="P471">
        <v>0</v>
      </c>
      <c r="Q471">
        <v>5</v>
      </c>
      <c r="R471" t="s">
        <v>55</v>
      </c>
      <c r="S471" t="s">
        <v>50</v>
      </c>
      <c r="T471" t="s">
        <v>44</v>
      </c>
    </row>
    <row r="472" spans="1:20" x14ac:dyDescent="0.3">
      <c r="A472" t="s">
        <v>691</v>
      </c>
      <c r="B472" t="s">
        <v>321</v>
      </c>
      <c r="C472" t="s">
        <v>725</v>
      </c>
      <c r="D472" t="s">
        <v>581</v>
      </c>
      <c r="E472">
        <v>117</v>
      </c>
      <c r="F472">
        <v>9</v>
      </c>
      <c r="G472" t="s">
        <v>113</v>
      </c>
      <c r="H472">
        <v>121</v>
      </c>
      <c r="I472">
        <v>5</v>
      </c>
      <c r="J472" t="s">
        <v>726</v>
      </c>
      <c r="K472" t="s">
        <v>693</v>
      </c>
      <c r="L472" t="s">
        <v>26</v>
      </c>
      <c r="M472" t="s">
        <v>693</v>
      </c>
      <c r="N472" t="s">
        <v>28</v>
      </c>
      <c r="O472" t="s">
        <v>29</v>
      </c>
      <c r="P472">
        <v>0</v>
      </c>
      <c r="Q472">
        <v>5</v>
      </c>
      <c r="R472" t="s">
        <v>55</v>
      </c>
      <c r="S472" t="s">
        <v>639</v>
      </c>
      <c r="T472" t="s">
        <v>727</v>
      </c>
    </row>
    <row r="473" spans="1:20" x14ac:dyDescent="0.3">
      <c r="A473" t="s">
        <v>691</v>
      </c>
      <c r="B473" t="s">
        <v>224</v>
      </c>
      <c r="C473" t="s">
        <v>728</v>
      </c>
      <c r="D473" t="s">
        <v>113</v>
      </c>
      <c r="E473">
        <v>143</v>
      </c>
      <c r="F473">
        <v>5</v>
      </c>
      <c r="G473" t="s">
        <v>53</v>
      </c>
      <c r="H473">
        <v>148</v>
      </c>
      <c r="I473">
        <v>5</v>
      </c>
      <c r="J473" t="s">
        <v>729</v>
      </c>
      <c r="K473" t="s">
        <v>53</v>
      </c>
      <c r="L473" t="s">
        <v>26</v>
      </c>
      <c r="M473" t="s">
        <v>53</v>
      </c>
      <c r="N473" t="s">
        <v>28</v>
      </c>
      <c r="O473" t="s">
        <v>29</v>
      </c>
      <c r="P473">
        <v>0</v>
      </c>
      <c r="Q473">
        <v>5</v>
      </c>
      <c r="R473" t="s">
        <v>55</v>
      </c>
      <c r="S473" t="s">
        <v>639</v>
      </c>
      <c r="T473" t="s">
        <v>216</v>
      </c>
    </row>
    <row r="474" spans="1:20" x14ac:dyDescent="0.3">
      <c r="A474" t="s">
        <v>691</v>
      </c>
      <c r="B474" t="s">
        <v>136</v>
      </c>
      <c r="C474" t="s">
        <v>728</v>
      </c>
      <c r="D474" t="s">
        <v>694</v>
      </c>
      <c r="E474">
        <v>73</v>
      </c>
      <c r="F474">
        <v>10</v>
      </c>
      <c r="G474" t="s">
        <v>310</v>
      </c>
      <c r="H474">
        <v>77</v>
      </c>
      <c r="I474">
        <v>1</v>
      </c>
      <c r="J474" t="s">
        <v>627</v>
      </c>
      <c r="K474" t="s">
        <v>310</v>
      </c>
      <c r="L474" t="s">
        <v>26</v>
      </c>
      <c r="M474" t="s">
        <v>310</v>
      </c>
      <c r="N474" t="s">
        <v>28</v>
      </c>
      <c r="O474" t="s">
        <v>29</v>
      </c>
      <c r="P474">
        <v>0</v>
      </c>
      <c r="Q474">
        <v>9</v>
      </c>
      <c r="R474" t="s">
        <v>71</v>
      </c>
      <c r="S474" t="s">
        <v>50</v>
      </c>
      <c r="T474" t="s">
        <v>44</v>
      </c>
    </row>
    <row r="475" spans="1:20" x14ac:dyDescent="0.3">
      <c r="A475" t="s">
        <v>691</v>
      </c>
      <c r="B475" t="s">
        <v>129</v>
      </c>
      <c r="C475" t="s">
        <v>730</v>
      </c>
      <c r="D475" t="s">
        <v>277</v>
      </c>
      <c r="E475">
        <v>220</v>
      </c>
      <c r="F475">
        <v>4</v>
      </c>
      <c r="G475" t="s">
        <v>113</v>
      </c>
      <c r="H475">
        <v>174</v>
      </c>
      <c r="I475">
        <v>9</v>
      </c>
      <c r="J475" t="s">
        <v>542</v>
      </c>
      <c r="K475" t="s">
        <v>277</v>
      </c>
      <c r="L475" t="s">
        <v>37</v>
      </c>
      <c r="M475" t="s">
        <v>277</v>
      </c>
      <c r="N475" t="s">
        <v>28</v>
      </c>
      <c r="O475" t="s">
        <v>29</v>
      </c>
      <c r="P475">
        <v>46</v>
      </c>
      <c r="Q475">
        <v>0</v>
      </c>
      <c r="R475" t="s">
        <v>731</v>
      </c>
      <c r="S475" t="s">
        <v>225</v>
      </c>
      <c r="T475" t="s">
        <v>695</v>
      </c>
    </row>
    <row r="476" spans="1:20" x14ac:dyDescent="0.3">
      <c r="A476" t="s">
        <v>691</v>
      </c>
      <c r="B476" t="s">
        <v>119</v>
      </c>
      <c r="C476" t="s">
        <v>730</v>
      </c>
      <c r="D476" t="s">
        <v>53</v>
      </c>
      <c r="E476">
        <v>196</v>
      </c>
      <c r="F476">
        <v>8</v>
      </c>
      <c r="G476" t="s">
        <v>581</v>
      </c>
      <c r="H476">
        <v>100</v>
      </c>
      <c r="I476">
        <v>10</v>
      </c>
      <c r="J476" t="s">
        <v>637</v>
      </c>
      <c r="K476" t="s">
        <v>581</v>
      </c>
      <c r="L476" t="s">
        <v>26</v>
      </c>
      <c r="M476" t="s">
        <v>53</v>
      </c>
      <c r="N476" t="s">
        <v>28</v>
      </c>
      <c r="O476" t="s">
        <v>29</v>
      </c>
      <c r="P476">
        <v>96</v>
      </c>
      <c r="Q476">
        <v>0</v>
      </c>
      <c r="R476" t="s">
        <v>732</v>
      </c>
      <c r="S476" t="s">
        <v>56</v>
      </c>
      <c r="T476" t="s">
        <v>216</v>
      </c>
    </row>
    <row r="477" spans="1:20" x14ac:dyDescent="0.3">
      <c r="A477" t="s">
        <v>691</v>
      </c>
      <c r="B477" t="s">
        <v>112</v>
      </c>
      <c r="C477" t="s">
        <v>733</v>
      </c>
      <c r="D477" t="s">
        <v>694</v>
      </c>
      <c r="E477">
        <v>123</v>
      </c>
      <c r="F477">
        <v>9</v>
      </c>
      <c r="G477" t="s">
        <v>277</v>
      </c>
      <c r="H477">
        <v>128</v>
      </c>
      <c r="I477">
        <v>4</v>
      </c>
      <c r="J477" t="s">
        <v>410</v>
      </c>
      <c r="K477" t="s">
        <v>694</v>
      </c>
      <c r="L477" t="s">
        <v>37</v>
      </c>
      <c r="M477" t="s">
        <v>277</v>
      </c>
      <c r="N477" t="s">
        <v>28</v>
      </c>
      <c r="O477" t="s">
        <v>29</v>
      </c>
      <c r="P477">
        <v>0</v>
      </c>
      <c r="Q477">
        <v>6</v>
      </c>
      <c r="R477" t="s">
        <v>151</v>
      </c>
      <c r="S477" t="s">
        <v>50</v>
      </c>
      <c r="T477" t="s">
        <v>216</v>
      </c>
    </row>
    <row r="478" spans="1:20" x14ac:dyDescent="0.3">
      <c r="A478" t="s">
        <v>691</v>
      </c>
      <c r="B478" t="s">
        <v>106</v>
      </c>
      <c r="C478" t="s">
        <v>733</v>
      </c>
      <c r="D478" t="s">
        <v>53</v>
      </c>
      <c r="E478">
        <v>206</v>
      </c>
      <c r="F478">
        <v>4</v>
      </c>
      <c r="G478" t="s">
        <v>310</v>
      </c>
      <c r="H478">
        <v>182</v>
      </c>
      <c r="I478">
        <v>7</v>
      </c>
      <c r="J478" t="s">
        <v>734</v>
      </c>
      <c r="K478" t="s">
        <v>310</v>
      </c>
      <c r="L478" t="s">
        <v>26</v>
      </c>
      <c r="M478" t="s">
        <v>53</v>
      </c>
      <c r="N478" t="s">
        <v>28</v>
      </c>
      <c r="O478" t="s">
        <v>29</v>
      </c>
      <c r="P478">
        <v>24</v>
      </c>
      <c r="Q478">
        <v>0</v>
      </c>
      <c r="R478" t="s">
        <v>541</v>
      </c>
      <c r="S478" t="s">
        <v>66</v>
      </c>
      <c r="T478" t="s">
        <v>695</v>
      </c>
    </row>
    <row r="479" spans="1:20" x14ac:dyDescent="0.3">
      <c r="A479" t="s">
        <v>691</v>
      </c>
      <c r="B479" t="s">
        <v>158</v>
      </c>
      <c r="C479" t="s">
        <v>735</v>
      </c>
      <c r="D479" t="s">
        <v>113</v>
      </c>
      <c r="E479">
        <v>85</v>
      </c>
      <c r="F479">
        <v>10</v>
      </c>
      <c r="G479" t="s">
        <v>277</v>
      </c>
      <c r="H479">
        <v>89</v>
      </c>
      <c r="I479">
        <v>1</v>
      </c>
      <c r="J479" t="s">
        <v>554</v>
      </c>
      <c r="K479" t="s">
        <v>113</v>
      </c>
      <c r="L479" t="s">
        <v>37</v>
      </c>
      <c r="M479" t="s">
        <v>277</v>
      </c>
      <c r="N479" t="s">
        <v>28</v>
      </c>
      <c r="O479" t="s">
        <v>29</v>
      </c>
      <c r="P479">
        <v>0</v>
      </c>
      <c r="Q479">
        <v>9</v>
      </c>
      <c r="R479" t="s">
        <v>71</v>
      </c>
      <c r="S479" t="s">
        <v>695</v>
      </c>
      <c r="T479" t="s">
        <v>66</v>
      </c>
    </row>
    <row r="480" spans="1:20" x14ac:dyDescent="0.3">
      <c r="A480" t="s">
        <v>691</v>
      </c>
      <c r="B480" t="s">
        <v>736</v>
      </c>
      <c r="C480" t="s">
        <v>735</v>
      </c>
      <c r="D480" t="s">
        <v>53</v>
      </c>
      <c r="E480">
        <v>149</v>
      </c>
      <c r="F480">
        <v>9</v>
      </c>
      <c r="G480" t="s">
        <v>310</v>
      </c>
      <c r="H480">
        <v>150</v>
      </c>
      <c r="I480">
        <v>1</v>
      </c>
      <c r="J480" t="s">
        <v>737</v>
      </c>
      <c r="K480" t="s">
        <v>310</v>
      </c>
      <c r="L480" t="s">
        <v>26</v>
      </c>
      <c r="M480" t="s">
        <v>310</v>
      </c>
      <c r="N480" t="s">
        <v>28</v>
      </c>
      <c r="O480" t="s">
        <v>29</v>
      </c>
      <c r="P480">
        <v>0</v>
      </c>
      <c r="Q480">
        <v>9</v>
      </c>
      <c r="R480" t="s">
        <v>71</v>
      </c>
      <c r="S480" t="s">
        <v>639</v>
      </c>
      <c r="T480" t="s">
        <v>216</v>
      </c>
    </row>
    <row r="481" spans="1:20" x14ac:dyDescent="0.3">
      <c r="A481" t="s">
        <v>691</v>
      </c>
      <c r="B481" t="s">
        <v>738</v>
      </c>
      <c r="C481" t="s">
        <v>739</v>
      </c>
      <c r="D481" t="s">
        <v>277</v>
      </c>
      <c r="E481">
        <v>163</v>
      </c>
      <c r="F481">
        <v>6</v>
      </c>
      <c r="G481" t="s">
        <v>53</v>
      </c>
      <c r="H481">
        <v>164</v>
      </c>
      <c r="I481">
        <v>8</v>
      </c>
      <c r="J481" t="s">
        <v>505</v>
      </c>
      <c r="K481" t="s">
        <v>53</v>
      </c>
      <c r="L481" t="s">
        <v>26</v>
      </c>
      <c r="M481" t="s">
        <v>53</v>
      </c>
      <c r="N481" t="s">
        <v>28</v>
      </c>
      <c r="O481" t="s">
        <v>29</v>
      </c>
      <c r="P481">
        <v>0</v>
      </c>
      <c r="Q481">
        <v>2</v>
      </c>
      <c r="R481" t="s">
        <v>281</v>
      </c>
      <c r="S481" t="s">
        <v>56</v>
      </c>
      <c r="T481" t="s">
        <v>695</v>
      </c>
    </row>
    <row r="482" spans="1:20" x14ac:dyDescent="0.3">
      <c r="A482" t="s">
        <v>691</v>
      </c>
      <c r="B482" t="s">
        <v>21</v>
      </c>
      <c r="C482" t="s">
        <v>740</v>
      </c>
      <c r="D482" t="s">
        <v>53</v>
      </c>
      <c r="E482">
        <v>194</v>
      </c>
      <c r="F482">
        <v>7</v>
      </c>
      <c r="G482" t="s">
        <v>310</v>
      </c>
      <c r="H482">
        <v>195</v>
      </c>
      <c r="I482">
        <v>7</v>
      </c>
      <c r="J482" t="s">
        <v>253</v>
      </c>
      <c r="K482" t="s">
        <v>310</v>
      </c>
      <c r="L482" t="s">
        <v>26</v>
      </c>
      <c r="M482" t="s">
        <v>310</v>
      </c>
      <c r="N482" t="s">
        <v>28</v>
      </c>
      <c r="O482" t="s">
        <v>29</v>
      </c>
      <c r="P482">
        <v>0</v>
      </c>
      <c r="Q482">
        <v>3</v>
      </c>
      <c r="R482" t="s">
        <v>49</v>
      </c>
      <c r="S482" t="s">
        <v>56</v>
      </c>
      <c r="T482"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48B6-C290-48F8-9962-3C2BAD919A29}">
  <dimension ref="A1:AB482"/>
  <sheetViews>
    <sheetView topLeftCell="B458" workbookViewId="0">
      <selection activeCell="J2" sqref="J2"/>
    </sheetView>
  </sheetViews>
  <sheetFormatPr defaultRowHeight="15.6" x14ac:dyDescent="0.3"/>
  <cols>
    <col min="1" max="1" width="8.796875" bestFit="1" customWidth="1"/>
    <col min="2" max="2" width="6.69921875" bestFit="1" customWidth="1"/>
    <col min="3" max="3" width="11.09765625" bestFit="1" customWidth="1"/>
    <col min="4" max="4" width="12.796875" bestFit="1" customWidth="1"/>
    <col min="5" max="5" width="11" style="1" bestFit="1" customWidth="1"/>
    <col min="6" max="6" width="20.796875" bestFit="1" customWidth="1"/>
    <col min="7" max="7" width="14.296875" bestFit="1" customWidth="1"/>
    <col min="8" max="8" width="15.296875" bestFit="1" customWidth="1"/>
    <col min="9" max="9" width="20.796875" bestFit="1" customWidth="1"/>
    <col min="10" max="10" width="14.296875" bestFit="1" customWidth="1"/>
    <col min="11" max="11" width="15.296875" bestFit="1" customWidth="1"/>
    <col min="12" max="12" width="20.8984375" bestFit="1" customWidth="1"/>
    <col min="13" max="13" width="20.796875" bestFit="1" customWidth="1"/>
    <col min="14" max="14" width="14.19921875" bestFit="1" customWidth="1"/>
    <col min="15" max="15" width="20.796875" bestFit="1" customWidth="1"/>
    <col min="16" max="16" width="20.796875" customWidth="1"/>
    <col min="17" max="17" width="10.796875" bestFit="1" customWidth="1"/>
    <col min="18" max="18" width="10.5" bestFit="1" customWidth="1"/>
    <col min="19" max="19" width="16" bestFit="1" customWidth="1"/>
    <col min="20" max="20" width="13.296875" bestFit="1" customWidth="1"/>
    <col min="21" max="21" width="9.3984375" bestFit="1" customWidth="1"/>
    <col min="22" max="22" width="13.69921875" bestFit="1" customWidth="1"/>
    <col min="23" max="23" width="12.69921875" bestFit="1" customWidth="1"/>
    <col min="24" max="24" width="17.8984375" bestFit="1" customWidth="1"/>
    <col min="25" max="25" width="11.8984375" bestFit="1" customWidth="1"/>
    <col min="26" max="26" width="18.09765625" bestFit="1" customWidth="1"/>
    <col min="27" max="28" width="22.59765625" bestFit="1" customWidth="1"/>
  </cols>
  <sheetData>
    <row r="1" spans="1:28" x14ac:dyDescent="0.3">
      <c r="A1" s="12" t="s">
        <v>0</v>
      </c>
      <c r="B1" s="13" t="s">
        <v>745</v>
      </c>
      <c r="C1" s="13" t="s">
        <v>1</v>
      </c>
      <c r="D1" s="13" t="s">
        <v>746</v>
      </c>
      <c r="E1" s="14" t="s">
        <v>2</v>
      </c>
      <c r="F1" s="13" t="s">
        <v>3</v>
      </c>
      <c r="G1" s="13" t="s">
        <v>4</v>
      </c>
      <c r="H1" s="13" t="s">
        <v>5</v>
      </c>
      <c r="I1" s="13" t="s">
        <v>6</v>
      </c>
      <c r="J1" s="13" t="s">
        <v>7</v>
      </c>
      <c r="K1" s="13" t="s">
        <v>8</v>
      </c>
      <c r="L1" s="13" t="s">
        <v>9</v>
      </c>
      <c r="M1" s="13" t="s">
        <v>10</v>
      </c>
      <c r="N1" s="13" t="s">
        <v>11</v>
      </c>
      <c r="O1" s="13" t="s">
        <v>12</v>
      </c>
      <c r="P1" s="13" t="s">
        <v>741</v>
      </c>
      <c r="Q1" s="13" t="s">
        <v>13</v>
      </c>
      <c r="R1" s="13" t="s">
        <v>14</v>
      </c>
      <c r="S1" s="13" t="s">
        <v>15</v>
      </c>
      <c r="T1" s="13" t="s">
        <v>16</v>
      </c>
      <c r="U1" s="13" t="s">
        <v>17</v>
      </c>
      <c r="V1" s="13" t="s">
        <v>742</v>
      </c>
      <c r="W1" s="13" t="s">
        <v>743</v>
      </c>
      <c r="X1" s="13" t="s">
        <v>748</v>
      </c>
      <c r="Y1" s="13" t="s">
        <v>744</v>
      </c>
      <c r="Z1" s="13" t="s">
        <v>747</v>
      </c>
      <c r="AA1" s="13" t="s">
        <v>18</v>
      </c>
      <c r="AB1" s="15" t="s">
        <v>19</v>
      </c>
    </row>
    <row r="2" spans="1:28" x14ac:dyDescent="0.3">
      <c r="A2" s="16" t="s">
        <v>20</v>
      </c>
      <c r="B2" s="5" t="str">
        <f>LEFT(Clean_Data!$A2,4)</f>
        <v>2011</v>
      </c>
      <c r="C2" s="5" t="s">
        <v>21</v>
      </c>
      <c r="D2" s="5" t="str">
        <f>IF(ISNUMBER(SEARCH("Final",Clean_Data!$C2)),"Final",
IF(ISNUMBER(SEARCH("Semi",Clean_Data!$C2)),"Semi-Final",
IF(ISNUMBER(SEARCH("Elimination",Clean_Data!$C2)),"Eliminator",
"League")))</f>
        <v>Final</v>
      </c>
      <c r="E2" s="6" t="s">
        <v>22</v>
      </c>
      <c r="F2" s="5" t="s">
        <v>23</v>
      </c>
      <c r="G2" s="5">
        <v>140</v>
      </c>
      <c r="H2" s="5">
        <v>7</v>
      </c>
      <c r="I2" s="5" t="s">
        <v>24</v>
      </c>
      <c r="J2" s="5">
        <v>144</v>
      </c>
      <c r="K2" s="5">
        <v>2</v>
      </c>
      <c r="L2" s="5" t="s">
        <v>25</v>
      </c>
      <c r="M2" s="5" t="s">
        <v>24</v>
      </c>
      <c r="N2" s="5" t="s">
        <v>26</v>
      </c>
      <c r="O2" s="5" t="s">
        <v>27</v>
      </c>
      <c r="P2" s="5" t="str">
        <f>IF(Clean_Data!$G2&gt;Clean_Data!$J2,Clean_Data!$F2,Clean_Data!$I2)</f>
        <v>Dhaka Gladiators</v>
      </c>
      <c r="Q2" s="5" t="s">
        <v>28</v>
      </c>
      <c r="R2" s="5" t="s">
        <v>29</v>
      </c>
      <c r="S2" s="5">
        <v>8</v>
      </c>
      <c r="T2" s="5">
        <v>0</v>
      </c>
      <c r="U2" s="5" t="s">
        <v>30</v>
      </c>
      <c r="V2" s="5" t="str">
        <f>IF(Clean_Data!$T2&gt;0,"Runs","Wickets")</f>
        <v>Wickets</v>
      </c>
      <c r="W2" s="5">
        <f>IF(Clean_Data!$T2&gt;0,Clean_Data!$T2,Clean_Data!$S2)</f>
        <v>8</v>
      </c>
      <c r="X2" s="5" t="str">
        <f>IF(Clean_Data!$W2&lt;=10,"Close Match","Normal")</f>
        <v>Close Match</v>
      </c>
      <c r="Y2" s="5">
        <f>Clean_Data!$G2+Clean_Data!$J2</f>
        <v>284</v>
      </c>
      <c r="Z2" s="5" t="str">
        <f>IF(Clean_Data!$Y2&gt;=170,"170+ Match","Below 170")</f>
        <v>170+ Match</v>
      </c>
      <c r="AA2" s="5" t="s">
        <v>31</v>
      </c>
      <c r="AB2" s="17" t="s">
        <v>32</v>
      </c>
    </row>
    <row r="3" spans="1:28" x14ac:dyDescent="0.3">
      <c r="A3" s="18" t="s">
        <v>20</v>
      </c>
      <c r="B3" s="19" t="str">
        <f>LEFT(Clean_Data!$A3,4)</f>
        <v>2011</v>
      </c>
      <c r="C3" s="19" t="s">
        <v>33</v>
      </c>
      <c r="D3" s="19" t="str">
        <f>IF(ISNUMBER(SEARCH("Final",Clean_Data!$C3)),"Final",
IF(ISNUMBER(SEARCH("Semi",Clean_Data!$C3)),"Semi-Final",
IF(ISNUMBER(SEARCH("Elimination",Clean_Data!$C3)),"Eliminator",
"League")))</f>
        <v>League</v>
      </c>
      <c r="E3" s="20" t="s">
        <v>34</v>
      </c>
      <c r="F3" s="19" t="s">
        <v>24</v>
      </c>
      <c r="G3" s="19">
        <v>191</v>
      </c>
      <c r="H3" s="19">
        <v>4</v>
      </c>
      <c r="I3" s="19" t="s">
        <v>35</v>
      </c>
      <c r="J3" s="19">
        <v>182</v>
      </c>
      <c r="K3" s="19">
        <v>7</v>
      </c>
      <c r="L3" s="19" t="s">
        <v>36</v>
      </c>
      <c r="M3" s="19" t="s">
        <v>24</v>
      </c>
      <c r="N3" s="19" t="s">
        <v>37</v>
      </c>
      <c r="O3" s="19" t="s">
        <v>27</v>
      </c>
      <c r="P3" s="19" t="str">
        <f>IF(Clean_Data!$G3&gt;Clean_Data!$J3,Clean_Data!$F3,Clean_Data!$I3)</f>
        <v>Dhaka Gladiators</v>
      </c>
      <c r="Q3" s="19" t="s">
        <v>28</v>
      </c>
      <c r="R3" s="19" t="s">
        <v>29</v>
      </c>
      <c r="S3" s="19">
        <v>0</v>
      </c>
      <c r="T3" s="19">
        <v>9</v>
      </c>
      <c r="U3" s="19" t="s">
        <v>38</v>
      </c>
      <c r="V3" s="19" t="str">
        <f>IF(Clean_Data!$T3&gt;0,"Runs","Wickets")</f>
        <v>Runs</v>
      </c>
      <c r="W3" s="19">
        <f>IF(Clean_Data!$T3&gt;0,Clean_Data!$T3,Clean_Data!$S3)</f>
        <v>9</v>
      </c>
      <c r="X3" s="19" t="str">
        <f>IF(Clean_Data!$W3&lt;=10,"Close Match","Normal")</f>
        <v>Close Match</v>
      </c>
      <c r="Y3" s="19">
        <f>Clean_Data!$G3+Clean_Data!$J3</f>
        <v>373</v>
      </c>
      <c r="Z3" s="19" t="str">
        <f>IF(Clean_Data!$Y3&gt;=170,"170+ Match","Below 170")</f>
        <v>170+ Match</v>
      </c>
      <c r="AA3" s="19" t="s">
        <v>32</v>
      </c>
      <c r="AB3" s="21" t="s">
        <v>39</v>
      </c>
    </row>
    <row r="4" spans="1:28" x14ac:dyDescent="0.3">
      <c r="A4" s="16" t="s">
        <v>20</v>
      </c>
      <c r="B4" s="5" t="str">
        <f>LEFT(Clean_Data!$A4,4)</f>
        <v>2011</v>
      </c>
      <c r="C4" s="5" t="s">
        <v>40</v>
      </c>
      <c r="D4" s="5" t="str">
        <f>IF(ISNUMBER(SEARCH("Final",Clean_Data!$C4)),"Final",
IF(ISNUMBER(SEARCH("Semi",Clean_Data!$C4)),"Semi-Final",
IF(ISNUMBER(SEARCH("Elimination",Clean_Data!$C4)),"Eliminator",
"League")))</f>
        <v>League</v>
      </c>
      <c r="E4" s="6" t="s">
        <v>34</v>
      </c>
      <c r="F4" s="5" t="s">
        <v>41</v>
      </c>
      <c r="G4" s="5">
        <v>184</v>
      </c>
      <c r="H4" s="5">
        <v>6</v>
      </c>
      <c r="I4" s="5" t="s">
        <v>23</v>
      </c>
      <c r="J4" s="5">
        <v>189</v>
      </c>
      <c r="K4" s="5">
        <v>2</v>
      </c>
      <c r="L4" s="5" t="s">
        <v>42</v>
      </c>
      <c r="M4" s="5" t="s">
        <v>23</v>
      </c>
      <c r="N4" s="5" t="s">
        <v>26</v>
      </c>
      <c r="O4" s="5" t="s">
        <v>43</v>
      </c>
      <c r="P4" s="5" t="str">
        <f>IF(Clean_Data!$G4&gt;Clean_Data!$J4,Clean_Data!$F4,Clean_Data!$I4)</f>
        <v>Barisal Burners</v>
      </c>
      <c r="Q4" s="5" t="s">
        <v>28</v>
      </c>
      <c r="R4" s="5" t="s">
        <v>29</v>
      </c>
      <c r="S4" s="5">
        <v>8</v>
      </c>
      <c r="T4" s="5">
        <v>0</v>
      </c>
      <c r="U4" s="5" t="s">
        <v>30</v>
      </c>
      <c r="V4" s="5" t="str">
        <f>IF(Clean_Data!$T4&gt;0,"Runs","Wickets")</f>
        <v>Wickets</v>
      </c>
      <c r="W4" s="5">
        <f>IF(Clean_Data!$T4&gt;0,Clean_Data!$T4,Clean_Data!$S4)</f>
        <v>8</v>
      </c>
      <c r="X4" s="5" t="str">
        <f>IF(Clean_Data!$W4&lt;=10,"Close Match","Normal")</f>
        <v>Close Match</v>
      </c>
      <c r="Y4" s="5">
        <f>Clean_Data!$G4+Clean_Data!$J4</f>
        <v>373</v>
      </c>
      <c r="Z4" s="5" t="str">
        <f>IF(Clean_Data!$Y4&gt;=170,"170+ Match","Below 170")</f>
        <v>170+ Match</v>
      </c>
      <c r="AA4" s="5" t="s">
        <v>31</v>
      </c>
      <c r="AB4" s="17" t="s">
        <v>44</v>
      </c>
    </row>
    <row r="5" spans="1:28" x14ac:dyDescent="0.3">
      <c r="A5" s="18" t="s">
        <v>20</v>
      </c>
      <c r="B5" s="19" t="str">
        <f>LEFT(Clean_Data!$A5,4)</f>
        <v>2011</v>
      </c>
      <c r="C5" s="19" t="s">
        <v>45</v>
      </c>
      <c r="D5" s="19" t="str">
        <f>IF(ISNUMBER(SEARCH("Final",Clean_Data!$C5)),"Final",
IF(ISNUMBER(SEARCH("Semi",Clean_Data!$C5)),"Semi-Final",
IF(ISNUMBER(SEARCH("Elimination",Clean_Data!$C5)),"Eliminator",
"League")))</f>
        <v>League</v>
      </c>
      <c r="E5" s="20" t="s">
        <v>46</v>
      </c>
      <c r="F5" s="19" t="s">
        <v>24</v>
      </c>
      <c r="G5" s="19">
        <v>116</v>
      </c>
      <c r="H5" s="19">
        <v>10</v>
      </c>
      <c r="I5" s="19" t="s">
        <v>41</v>
      </c>
      <c r="J5" s="19">
        <v>120</v>
      </c>
      <c r="K5" s="19">
        <v>7</v>
      </c>
      <c r="L5" s="19" t="s">
        <v>47</v>
      </c>
      <c r="M5" s="19" t="s">
        <v>24</v>
      </c>
      <c r="N5" s="19" t="s">
        <v>37</v>
      </c>
      <c r="O5" s="19" t="s">
        <v>48</v>
      </c>
      <c r="P5" s="19" t="str">
        <f>IF(Clean_Data!$G5&gt;Clean_Data!$J5,Clean_Data!$F5,Clean_Data!$I5)</f>
        <v>Duronto Rajshahi</v>
      </c>
      <c r="Q5" s="19" t="s">
        <v>28</v>
      </c>
      <c r="R5" s="19" t="s">
        <v>29</v>
      </c>
      <c r="S5" s="19">
        <v>3</v>
      </c>
      <c r="T5" s="19">
        <v>0</v>
      </c>
      <c r="U5" s="19" t="s">
        <v>49</v>
      </c>
      <c r="V5" s="19" t="str">
        <f>IF(Clean_Data!$T5&gt;0,"Runs","Wickets")</f>
        <v>Wickets</v>
      </c>
      <c r="W5" s="19">
        <f>IF(Clean_Data!$T5&gt;0,Clean_Data!$T5,Clean_Data!$S5)</f>
        <v>3</v>
      </c>
      <c r="X5" s="19" t="str">
        <f>IF(Clean_Data!$W5&lt;=10,"Close Match","Normal")</f>
        <v>Close Match</v>
      </c>
      <c r="Y5" s="19">
        <f>Clean_Data!$G5+Clean_Data!$J5</f>
        <v>236</v>
      </c>
      <c r="Z5" s="19" t="str">
        <f>IF(Clean_Data!$Y5&gt;=170,"170+ Match","Below 170")</f>
        <v>170+ Match</v>
      </c>
      <c r="AA5" s="19" t="s">
        <v>50</v>
      </c>
      <c r="AB5" s="21" t="s">
        <v>39</v>
      </c>
    </row>
    <row r="6" spans="1:28" x14ac:dyDescent="0.3">
      <c r="A6" s="16" t="s">
        <v>20</v>
      </c>
      <c r="B6" s="5" t="str">
        <f>LEFT(Clean_Data!$A6,4)</f>
        <v>2011</v>
      </c>
      <c r="C6" s="5" t="s">
        <v>51</v>
      </c>
      <c r="D6" s="5" t="str">
        <f>IF(ISNUMBER(SEARCH("Final",Clean_Data!$C6)),"Final",
IF(ISNUMBER(SEARCH("Semi",Clean_Data!$C6)),"Semi-Final",
IF(ISNUMBER(SEARCH("Elimination",Clean_Data!$C6)),"Eliminator",
"League")))</f>
        <v>League</v>
      </c>
      <c r="E6" s="6" t="s">
        <v>52</v>
      </c>
      <c r="F6" s="5" t="s">
        <v>53</v>
      </c>
      <c r="G6" s="5">
        <v>150</v>
      </c>
      <c r="H6" s="5">
        <v>9</v>
      </c>
      <c r="I6" s="5" t="s">
        <v>23</v>
      </c>
      <c r="J6" s="5">
        <v>151</v>
      </c>
      <c r="K6" s="5">
        <v>5</v>
      </c>
      <c r="L6" s="5" t="s">
        <v>54</v>
      </c>
      <c r="M6" s="5" t="s">
        <v>23</v>
      </c>
      <c r="N6" s="5" t="s">
        <v>26</v>
      </c>
      <c r="O6" s="5" t="s">
        <v>43</v>
      </c>
      <c r="P6" s="5" t="str">
        <f>IF(Clean_Data!$G6&gt;Clean_Data!$J6,Clean_Data!$F6,Clean_Data!$I6)</f>
        <v>Barisal Burners</v>
      </c>
      <c r="Q6" s="5" t="s">
        <v>28</v>
      </c>
      <c r="R6" s="5" t="s">
        <v>29</v>
      </c>
      <c r="S6" s="5">
        <v>5</v>
      </c>
      <c r="T6" s="5">
        <v>0</v>
      </c>
      <c r="U6" s="5" t="s">
        <v>55</v>
      </c>
      <c r="V6" s="5" t="str">
        <f>IF(Clean_Data!$T6&gt;0,"Runs","Wickets")</f>
        <v>Wickets</v>
      </c>
      <c r="W6" s="5">
        <f>IF(Clean_Data!$T6&gt;0,Clean_Data!$T6,Clean_Data!$S6)</f>
        <v>5</v>
      </c>
      <c r="X6" s="5" t="str">
        <f>IF(Clean_Data!$W6&lt;=10,"Close Match","Normal")</f>
        <v>Close Match</v>
      </c>
      <c r="Y6" s="5">
        <f>Clean_Data!$G6+Clean_Data!$J6</f>
        <v>301</v>
      </c>
      <c r="Z6" s="5" t="str">
        <f>IF(Clean_Data!$Y6&gt;=170,"170+ Match","Below 170")</f>
        <v>170+ Match</v>
      </c>
      <c r="AA6" s="5" t="s">
        <v>56</v>
      </c>
      <c r="AB6" s="17" t="s">
        <v>57</v>
      </c>
    </row>
    <row r="7" spans="1:28" x14ac:dyDescent="0.3">
      <c r="A7" s="18" t="s">
        <v>20</v>
      </c>
      <c r="B7" s="19" t="str">
        <f>LEFT(Clean_Data!$A7,4)</f>
        <v>2011</v>
      </c>
      <c r="C7" s="19" t="s">
        <v>58</v>
      </c>
      <c r="D7" s="19" t="str">
        <f>IF(ISNUMBER(SEARCH("Final",Clean_Data!$C7)),"Final",
IF(ISNUMBER(SEARCH("Semi",Clean_Data!$C7)),"Semi-Final",
IF(ISNUMBER(SEARCH("Elimination",Clean_Data!$C7)),"Eliminator",
"League")))</f>
        <v>League</v>
      </c>
      <c r="E7" s="20" t="s">
        <v>52</v>
      </c>
      <c r="F7" s="19" t="s">
        <v>35</v>
      </c>
      <c r="G7" s="19">
        <v>106</v>
      </c>
      <c r="H7" s="19">
        <v>10</v>
      </c>
      <c r="I7" s="19" t="s">
        <v>41</v>
      </c>
      <c r="J7" s="19">
        <v>110</v>
      </c>
      <c r="K7" s="19">
        <v>2</v>
      </c>
      <c r="L7" s="19" t="s">
        <v>59</v>
      </c>
      <c r="M7" s="19" t="s">
        <v>35</v>
      </c>
      <c r="N7" s="19" t="s">
        <v>37</v>
      </c>
      <c r="O7" s="19" t="s">
        <v>48</v>
      </c>
      <c r="P7" s="19" t="str">
        <f>IF(Clean_Data!$G7&gt;Clean_Data!$J7,Clean_Data!$F7,Clean_Data!$I7)</f>
        <v>Duronto Rajshahi</v>
      </c>
      <c r="Q7" s="19" t="s">
        <v>28</v>
      </c>
      <c r="R7" s="19" t="s">
        <v>29</v>
      </c>
      <c r="S7" s="19">
        <v>8</v>
      </c>
      <c r="T7" s="19">
        <v>0</v>
      </c>
      <c r="U7" s="19" t="s">
        <v>30</v>
      </c>
      <c r="V7" s="19" t="str">
        <f>IF(Clean_Data!$T7&gt;0,"Runs","Wickets")</f>
        <v>Wickets</v>
      </c>
      <c r="W7" s="19">
        <f>IF(Clean_Data!$T7&gt;0,Clean_Data!$T7,Clean_Data!$S7)</f>
        <v>8</v>
      </c>
      <c r="X7" s="19" t="str">
        <f>IF(Clean_Data!$W7&lt;=10,"Close Match","Normal")</f>
        <v>Close Match</v>
      </c>
      <c r="Y7" s="19">
        <f>Clean_Data!$G7+Clean_Data!$J7</f>
        <v>216</v>
      </c>
      <c r="Z7" s="19" t="str">
        <f>IF(Clean_Data!$Y7&gt;=170,"170+ Match","Below 170")</f>
        <v>170+ Match</v>
      </c>
      <c r="AA7" s="19" t="s">
        <v>31</v>
      </c>
      <c r="AB7" s="21" t="s">
        <v>39</v>
      </c>
    </row>
    <row r="8" spans="1:28" x14ac:dyDescent="0.3">
      <c r="A8" s="16" t="s">
        <v>20</v>
      </c>
      <c r="B8" s="5" t="str">
        <f>LEFT(Clean_Data!$A8,4)</f>
        <v>2011</v>
      </c>
      <c r="C8" s="5" t="s">
        <v>60</v>
      </c>
      <c r="D8" s="5" t="str">
        <f>IF(ISNUMBER(SEARCH("Final",Clean_Data!$C8)),"Final",
IF(ISNUMBER(SEARCH("Semi",Clean_Data!$C8)),"Semi-Final",
IF(ISNUMBER(SEARCH("Elimination",Clean_Data!$C8)),"Eliminator",
"League")))</f>
        <v>League</v>
      </c>
      <c r="E8" s="6" t="s">
        <v>61</v>
      </c>
      <c r="F8" s="5" t="s">
        <v>62</v>
      </c>
      <c r="G8" s="5">
        <v>165</v>
      </c>
      <c r="H8" s="5">
        <v>3</v>
      </c>
      <c r="I8" s="5" t="s">
        <v>53</v>
      </c>
      <c r="J8" s="5">
        <v>130</v>
      </c>
      <c r="K8" s="5">
        <v>8</v>
      </c>
      <c r="L8" s="5" t="s">
        <v>63</v>
      </c>
      <c r="M8" s="5" t="s">
        <v>53</v>
      </c>
      <c r="N8" s="5" t="s">
        <v>26</v>
      </c>
      <c r="O8" s="5" t="s">
        <v>64</v>
      </c>
      <c r="P8" s="5" t="str">
        <f>IF(Clean_Data!$G8&gt;Clean_Data!$J8,Clean_Data!$F8,Clean_Data!$I8)</f>
        <v>Sylhet Royals</v>
      </c>
      <c r="Q8" s="5" t="s">
        <v>28</v>
      </c>
      <c r="R8" s="5" t="s">
        <v>29</v>
      </c>
      <c r="S8" s="5">
        <v>0</v>
      </c>
      <c r="T8" s="5">
        <v>35</v>
      </c>
      <c r="U8" s="5" t="s">
        <v>65</v>
      </c>
      <c r="V8" s="5" t="str">
        <f>IF(Clean_Data!$T8&gt;0,"Runs","Wickets")</f>
        <v>Runs</v>
      </c>
      <c r="W8" s="5">
        <f>IF(Clean_Data!$T8&gt;0,Clean_Data!$T8,Clean_Data!$S8)</f>
        <v>35</v>
      </c>
      <c r="X8" s="5" t="str">
        <f>IF(Clean_Data!$W8&lt;=10,"Close Match","Normal")</f>
        <v>Normal</v>
      </c>
      <c r="Y8" s="5">
        <f>Clean_Data!$G8+Clean_Data!$J8</f>
        <v>295</v>
      </c>
      <c r="Z8" s="5" t="str">
        <f>IF(Clean_Data!$Y8&gt;=170,"170+ Match","Below 170")</f>
        <v>170+ Match</v>
      </c>
      <c r="AA8" s="5" t="s">
        <v>31</v>
      </c>
      <c r="AB8" s="17" t="s">
        <v>66</v>
      </c>
    </row>
    <row r="9" spans="1:28" x14ac:dyDescent="0.3">
      <c r="A9" s="18" t="s">
        <v>20</v>
      </c>
      <c r="B9" s="19" t="str">
        <f>LEFT(Clean_Data!$A9,4)</f>
        <v>2011</v>
      </c>
      <c r="C9" s="19" t="s">
        <v>67</v>
      </c>
      <c r="D9" s="19" t="str">
        <f>IF(ISNUMBER(SEARCH("Final",Clean_Data!$C9)),"Final",
IF(ISNUMBER(SEARCH("Semi",Clean_Data!$C9)),"Semi-Final",
IF(ISNUMBER(SEARCH("Elimination",Clean_Data!$C9)),"Eliminator",
"League")))</f>
        <v>League</v>
      </c>
      <c r="E9" s="20" t="s">
        <v>61</v>
      </c>
      <c r="F9" s="19" t="s">
        <v>23</v>
      </c>
      <c r="G9" s="19">
        <v>156</v>
      </c>
      <c r="H9" s="19">
        <v>6</v>
      </c>
      <c r="I9" s="19" t="s">
        <v>24</v>
      </c>
      <c r="J9" s="19">
        <v>160</v>
      </c>
      <c r="K9" s="19">
        <v>5</v>
      </c>
      <c r="L9" s="19" t="s">
        <v>25</v>
      </c>
      <c r="M9" s="19" t="s">
        <v>24</v>
      </c>
      <c r="N9" s="19" t="s">
        <v>26</v>
      </c>
      <c r="O9" s="19" t="s">
        <v>27</v>
      </c>
      <c r="P9" s="19" t="str">
        <f>IF(Clean_Data!$G9&gt;Clean_Data!$J9,Clean_Data!$F9,Clean_Data!$I9)</f>
        <v>Dhaka Gladiators</v>
      </c>
      <c r="Q9" s="19" t="s">
        <v>28</v>
      </c>
      <c r="R9" s="19" t="s">
        <v>29</v>
      </c>
      <c r="S9" s="19">
        <v>5</v>
      </c>
      <c r="T9" s="19">
        <v>0</v>
      </c>
      <c r="U9" s="19" t="s">
        <v>55</v>
      </c>
      <c r="V9" s="19" t="str">
        <f>IF(Clean_Data!$T9&gt;0,"Runs","Wickets")</f>
        <v>Wickets</v>
      </c>
      <c r="W9" s="19">
        <f>IF(Clean_Data!$T9&gt;0,Clean_Data!$T9,Clean_Data!$S9)</f>
        <v>5</v>
      </c>
      <c r="X9" s="19" t="str">
        <f>IF(Clean_Data!$W9&lt;=10,"Close Match","Normal")</f>
        <v>Close Match</v>
      </c>
      <c r="Y9" s="19">
        <f>Clean_Data!$G9+Clean_Data!$J9</f>
        <v>316</v>
      </c>
      <c r="Z9" s="19" t="str">
        <f>IF(Clean_Data!$Y9&gt;=170,"170+ Match","Below 170")</f>
        <v>170+ Match</v>
      </c>
      <c r="AA9" s="19" t="s">
        <v>57</v>
      </c>
      <c r="AB9" s="21" t="s">
        <v>39</v>
      </c>
    </row>
    <row r="10" spans="1:28" x14ac:dyDescent="0.3">
      <c r="A10" s="16" t="s">
        <v>20</v>
      </c>
      <c r="B10" s="5" t="str">
        <f>LEFT(Clean_Data!$A10,4)</f>
        <v>2011</v>
      </c>
      <c r="C10" s="5" t="s">
        <v>68</v>
      </c>
      <c r="D10" s="5" t="str">
        <f>IF(ISNUMBER(SEARCH("Final",Clean_Data!$C10)),"Final",
IF(ISNUMBER(SEARCH("Semi",Clean_Data!$C10)),"Semi-Final",
IF(ISNUMBER(SEARCH("Elimination",Clean_Data!$C10)),"Eliminator",
"League")))</f>
        <v>League</v>
      </c>
      <c r="E10" s="6" t="s">
        <v>69</v>
      </c>
      <c r="F10" s="5" t="s">
        <v>41</v>
      </c>
      <c r="G10" s="5">
        <v>124</v>
      </c>
      <c r="H10" s="5">
        <v>9</v>
      </c>
      <c r="I10" s="5" t="s">
        <v>62</v>
      </c>
      <c r="J10" s="5">
        <v>125</v>
      </c>
      <c r="K10" s="5">
        <v>1</v>
      </c>
      <c r="L10" s="5" t="s">
        <v>70</v>
      </c>
      <c r="M10" s="5" t="s">
        <v>62</v>
      </c>
      <c r="N10" s="5" t="s">
        <v>26</v>
      </c>
      <c r="O10" s="5" t="s">
        <v>64</v>
      </c>
      <c r="P10" s="5" t="str">
        <f>IF(Clean_Data!$G10&gt;Clean_Data!$J10,Clean_Data!$F10,Clean_Data!$I10)</f>
        <v>Sylhet Royals</v>
      </c>
      <c r="Q10" s="5" t="s">
        <v>28</v>
      </c>
      <c r="R10" s="5" t="s">
        <v>29</v>
      </c>
      <c r="S10" s="5">
        <v>9</v>
      </c>
      <c r="T10" s="5">
        <v>0</v>
      </c>
      <c r="U10" s="5" t="s">
        <v>71</v>
      </c>
      <c r="V10" s="5" t="str">
        <f>IF(Clean_Data!$T10&gt;0,"Runs","Wickets")</f>
        <v>Wickets</v>
      </c>
      <c r="W10" s="5">
        <f>IF(Clean_Data!$T10&gt;0,Clean_Data!$T10,Clean_Data!$S10)</f>
        <v>9</v>
      </c>
      <c r="X10" s="5" t="str">
        <f>IF(Clean_Data!$W10&lt;=10,"Close Match","Normal")</f>
        <v>Close Match</v>
      </c>
      <c r="Y10" s="5">
        <f>Clean_Data!$G10+Clean_Data!$J10</f>
        <v>249</v>
      </c>
      <c r="Z10" s="5" t="str">
        <f>IF(Clean_Data!$Y10&gt;=170,"170+ Match","Below 170")</f>
        <v>170+ Match</v>
      </c>
      <c r="AA10" s="5" t="s">
        <v>72</v>
      </c>
      <c r="AB10" s="17" t="s">
        <v>57</v>
      </c>
    </row>
    <row r="11" spans="1:28" x14ac:dyDescent="0.3">
      <c r="A11" s="18" t="s">
        <v>73</v>
      </c>
      <c r="B11" s="19" t="str">
        <f>LEFT(Clean_Data!$A11,4)</f>
        <v>2012</v>
      </c>
      <c r="C11" s="19" t="s">
        <v>21</v>
      </c>
      <c r="D11" s="19" t="str">
        <f>IF(ISNUMBER(SEARCH("Final",Clean_Data!$C11)),"Final",
IF(ISNUMBER(SEARCH("Semi",Clean_Data!$C11)),"Semi-Final",
IF(ISNUMBER(SEARCH("Elimination",Clean_Data!$C11)),"Eliminator",
"League")))</f>
        <v>Final</v>
      </c>
      <c r="E11" s="20" t="s">
        <v>74</v>
      </c>
      <c r="F11" s="19" t="s">
        <v>24</v>
      </c>
      <c r="G11" s="19">
        <v>172</v>
      </c>
      <c r="H11" s="19">
        <v>9</v>
      </c>
      <c r="I11" s="19" t="s">
        <v>53</v>
      </c>
      <c r="J11" s="19">
        <v>129</v>
      </c>
      <c r="K11" s="19">
        <v>10</v>
      </c>
      <c r="L11" s="19" t="s">
        <v>75</v>
      </c>
      <c r="M11" s="19" t="s">
        <v>53</v>
      </c>
      <c r="N11" s="19" t="s">
        <v>26</v>
      </c>
      <c r="O11" s="19" t="s">
        <v>27</v>
      </c>
      <c r="P11" s="19" t="str">
        <f>IF(Clean_Data!$G11&gt;Clean_Data!$J11,Clean_Data!$F11,Clean_Data!$I11)</f>
        <v>Dhaka Gladiators</v>
      </c>
      <c r="Q11" s="19" t="s">
        <v>28</v>
      </c>
      <c r="R11" s="19" t="s">
        <v>29</v>
      </c>
      <c r="S11" s="19">
        <v>0</v>
      </c>
      <c r="T11" s="19">
        <v>43</v>
      </c>
      <c r="U11" s="19" t="s">
        <v>76</v>
      </c>
      <c r="V11" s="19" t="str">
        <f>IF(Clean_Data!$T11&gt;0,"Runs","Wickets")</f>
        <v>Runs</v>
      </c>
      <c r="W11" s="19">
        <f>IF(Clean_Data!$T11&gt;0,Clean_Data!$T11,Clean_Data!$S11)</f>
        <v>43</v>
      </c>
      <c r="X11" s="19" t="str">
        <f>IF(Clean_Data!$W11&lt;=10,"Close Match","Normal")</f>
        <v>Normal</v>
      </c>
      <c r="Y11" s="19">
        <f>Clean_Data!$G11+Clean_Data!$J11</f>
        <v>301</v>
      </c>
      <c r="Z11" s="19" t="str">
        <f>IF(Clean_Data!$Y11&gt;=170,"170+ Match","Below 170")</f>
        <v>170+ Match</v>
      </c>
      <c r="AA11" s="19" t="s">
        <v>32</v>
      </c>
      <c r="AB11" s="21" t="s">
        <v>77</v>
      </c>
    </row>
    <row r="12" spans="1:28" x14ac:dyDescent="0.3">
      <c r="A12" s="16" t="s">
        <v>20</v>
      </c>
      <c r="B12" s="5" t="str">
        <f>LEFT(Clean_Data!$A12,4)</f>
        <v>2011</v>
      </c>
      <c r="C12" s="5" t="s">
        <v>78</v>
      </c>
      <c r="D12" s="5" t="str">
        <f>IF(ISNUMBER(SEARCH("Final",Clean_Data!$C12)),"Final",
IF(ISNUMBER(SEARCH("Semi",Clean_Data!$C12)),"Semi-Final",
IF(ISNUMBER(SEARCH("Elimination",Clean_Data!$C12)),"Eliminator",
"League")))</f>
        <v>League</v>
      </c>
      <c r="E12" s="6" t="s">
        <v>69</v>
      </c>
      <c r="F12" s="5" t="s">
        <v>53</v>
      </c>
      <c r="G12" s="5">
        <v>120</v>
      </c>
      <c r="H12" s="5">
        <v>6</v>
      </c>
      <c r="I12" s="5" t="s">
        <v>24</v>
      </c>
      <c r="J12" s="5">
        <v>107</v>
      </c>
      <c r="K12" s="5">
        <v>9</v>
      </c>
      <c r="L12" s="5" t="s">
        <v>79</v>
      </c>
      <c r="M12" s="5" t="s">
        <v>24</v>
      </c>
      <c r="N12" s="5" t="s">
        <v>26</v>
      </c>
      <c r="O12" s="5" t="s">
        <v>80</v>
      </c>
      <c r="P12" s="5" t="str">
        <f>IF(Clean_Data!$G12&gt;Clean_Data!$J12,Clean_Data!$F12,Clean_Data!$I12)</f>
        <v>Chittagong Kings</v>
      </c>
      <c r="Q12" s="5" t="s">
        <v>28</v>
      </c>
      <c r="R12" s="5" t="s">
        <v>29</v>
      </c>
      <c r="S12" s="5">
        <v>0</v>
      </c>
      <c r="T12" s="5">
        <v>13</v>
      </c>
      <c r="U12" s="5" t="s">
        <v>81</v>
      </c>
      <c r="V12" s="5" t="str">
        <f>IF(Clean_Data!$T12&gt;0,"Runs","Wickets")</f>
        <v>Runs</v>
      </c>
      <c r="W12" s="5">
        <f>IF(Clean_Data!$T12&gt;0,Clean_Data!$T12,Clean_Data!$S12)</f>
        <v>13</v>
      </c>
      <c r="X12" s="5" t="str">
        <f>IF(Clean_Data!$W12&lt;=10,"Close Match","Normal")</f>
        <v>Normal</v>
      </c>
      <c r="Y12" s="5">
        <f>Clean_Data!$G12+Clean_Data!$J12</f>
        <v>227</v>
      </c>
      <c r="Z12" s="5" t="str">
        <f>IF(Clean_Data!$Y12&gt;=170,"170+ Match","Below 170")</f>
        <v>170+ Match</v>
      </c>
      <c r="AA12" s="5" t="s">
        <v>31</v>
      </c>
      <c r="AB12" s="17" t="s">
        <v>39</v>
      </c>
    </row>
    <row r="13" spans="1:28" x14ac:dyDescent="0.3">
      <c r="A13" s="18" t="s">
        <v>73</v>
      </c>
      <c r="B13" s="19" t="str">
        <f>LEFT(Clean_Data!$A13,4)</f>
        <v>2012</v>
      </c>
      <c r="C13" s="19" t="s">
        <v>82</v>
      </c>
      <c r="D13" s="19" t="str">
        <f>IF(ISNUMBER(SEARCH("Final",Clean_Data!$C13)),"Final",
IF(ISNUMBER(SEARCH("Semi",Clean_Data!$C13)),"Semi-Final",
IF(ISNUMBER(SEARCH("Elimination",Clean_Data!$C13)),"Eliminator",
"League")))</f>
        <v>Final</v>
      </c>
      <c r="E13" s="20" t="s">
        <v>83</v>
      </c>
      <c r="F13" s="19" t="s">
        <v>62</v>
      </c>
      <c r="G13" s="19">
        <v>149</v>
      </c>
      <c r="H13" s="19">
        <v>7</v>
      </c>
      <c r="I13" s="19" t="s">
        <v>53</v>
      </c>
      <c r="J13" s="19">
        <v>150</v>
      </c>
      <c r="K13" s="19">
        <v>7</v>
      </c>
      <c r="L13" s="19" t="s">
        <v>84</v>
      </c>
      <c r="M13" s="19" t="s">
        <v>53</v>
      </c>
      <c r="N13" s="19" t="s">
        <v>26</v>
      </c>
      <c r="O13" s="19" t="s">
        <v>80</v>
      </c>
      <c r="P13" s="19" t="str">
        <f>IF(Clean_Data!$G13&gt;Clean_Data!$J13,Clean_Data!$F13,Clean_Data!$I13)</f>
        <v>Chittagong Kings</v>
      </c>
      <c r="Q13" s="19" t="s">
        <v>28</v>
      </c>
      <c r="R13" s="19" t="s">
        <v>29</v>
      </c>
      <c r="S13" s="19">
        <v>3</v>
      </c>
      <c r="T13" s="19">
        <v>0</v>
      </c>
      <c r="U13" s="19" t="s">
        <v>49</v>
      </c>
      <c r="V13" s="19" t="str">
        <f>IF(Clean_Data!$T13&gt;0,"Runs","Wickets")</f>
        <v>Wickets</v>
      </c>
      <c r="W13" s="19">
        <f>IF(Clean_Data!$T13&gt;0,Clean_Data!$T13,Clean_Data!$S13)</f>
        <v>3</v>
      </c>
      <c r="X13" s="19" t="str">
        <f>IF(Clean_Data!$W13&lt;=10,"Close Match","Normal")</f>
        <v>Close Match</v>
      </c>
      <c r="Y13" s="19">
        <f>Clean_Data!$G13+Clean_Data!$J13</f>
        <v>299</v>
      </c>
      <c r="Z13" s="19" t="str">
        <f>IF(Clean_Data!$Y13&gt;=170,"170+ Match","Below 170")</f>
        <v>170+ Match</v>
      </c>
      <c r="AA13" s="19" t="s">
        <v>32</v>
      </c>
      <c r="AB13" s="21" t="s">
        <v>57</v>
      </c>
    </row>
    <row r="14" spans="1:28" x14ac:dyDescent="0.3">
      <c r="A14" s="16" t="s">
        <v>20</v>
      </c>
      <c r="B14" s="5" t="str">
        <f>LEFT(Clean_Data!$A14,4)</f>
        <v>2011</v>
      </c>
      <c r="C14" s="5" t="s">
        <v>85</v>
      </c>
      <c r="D14" s="5" t="str">
        <f>IF(ISNUMBER(SEARCH("Final",Clean_Data!$C14)),"Final",
IF(ISNUMBER(SEARCH("Semi",Clean_Data!$C14)),"Semi-Final",
IF(ISNUMBER(SEARCH("Elimination",Clean_Data!$C14)),"Eliminator",
"League")))</f>
        <v>League</v>
      </c>
      <c r="E14" s="6" t="s">
        <v>86</v>
      </c>
      <c r="F14" s="5" t="s">
        <v>35</v>
      </c>
      <c r="G14" s="5">
        <v>161</v>
      </c>
      <c r="H14" s="5">
        <v>7</v>
      </c>
      <c r="I14" s="5" t="s">
        <v>23</v>
      </c>
      <c r="J14" s="5">
        <v>162</v>
      </c>
      <c r="K14" s="5">
        <v>6</v>
      </c>
      <c r="L14" s="5" t="s">
        <v>87</v>
      </c>
      <c r="M14" s="5" t="s">
        <v>35</v>
      </c>
      <c r="N14" s="5" t="s">
        <v>37</v>
      </c>
      <c r="O14" s="5" t="s">
        <v>43</v>
      </c>
      <c r="P14" s="5" t="str">
        <f>IF(Clean_Data!$G14&gt;Clean_Data!$J14,Clean_Data!$F14,Clean_Data!$I14)</f>
        <v>Barisal Burners</v>
      </c>
      <c r="Q14" s="5" t="s">
        <v>88</v>
      </c>
      <c r="R14" s="5" t="s">
        <v>89</v>
      </c>
      <c r="S14" s="5">
        <v>4</v>
      </c>
      <c r="T14" s="5">
        <v>0</v>
      </c>
      <c r="U14" s="5" t="s">
        <v>90</v>
      </c>
      <c r="V14" s="5" t="str">
        <f>IF(Clean_Data!$T14&gt;0,"Runs","Wickets")</f>
        <v>Wickets</v>
      </c>
      <c r="W14" s="5">
        <f>IF(Clean_Data!$T14&gt;0,Clean_Data!$T14,Clean_Data!$S14)</f>
        <v>4</v>
      </c>
      <c r="X14" s="5" t="str">
        <f>IF(Clean_Data!$W14&lt;=10,"Close Match","Normal")</f>
        <v>Close Match</v>
      </c>
      <c r="Y14" s="5">
        <f>Clean_Data!$G14+Clean_Data!$J14</f>
        <v>323</v>
      </c>
      <c r="Z14" s="5" t="str">
        <f>IF(Clean_Data!$Y14&gt;=170,"170+ Match","Below 170")</f>
        <v>170+ Match</v>
      </c>
      <c r="AA14" s="5" t="s">
        <v>32</v>
      </c>
      <c r="AB14" s="17" t="s">
        <v>57</v>
      </c>
    </row>
    <row r="15" spans="1:28" x14ac:dyDescent="0.3">
      <c r="A15" s="18" t="s">
        <v>20</v>
      </c>
      <c r="B15" s="19" t="str">
        <f>LEFT(Clean_Data!$A15,4)</f>
        <v>2011</v>
      </c>
      <c r="C15" s="19" t="s">
        <v>91</v>
      </c>
      <c r="D15" s="19" t="str">
        <f>IF(ISNUMBER(SEARCH("Final",Clean_Data!$C15)),"Final",
IF(ISNUMBER(SEARCH("Semi",Clean_Data!$C15)),"Semi-Final",
IF(ISNUMBER(SEARCH("Elimination",Clean_Data!$C15)),"Eliminator",
"League")))</f>
        <v>League</v>
      </c>
      <c r="E15" s="20" t="s">
        <v>86</v>
      </c>
      <c r="F15" s="19" t="s">
        <v>62</v>
      </c>
      <c r="G15" s="19">
        <v>128</v>
      </c>
      <c r="H15" s="19">
        <v>7</v>
      </c>
      <c r="I15" s="19" t="s">
        <v>24</v>
      </c>
      <c r="J15" s="19">
        <v>132</v>
      </c>
      <c r="K15" s="19">
        <v>2</v>
      </c>
      <c r="L15" s="19" t="s">
        <v>36</v>
      </c>
      <c r="M15" s="19" t="s">
        <v>24</v>
      </c>
      <c r="N15" s="19" t="s">
        <v>26</v>
      </c>
      <c r="O15" s="19" t="s">
        <v>27</v>
      </c>
      <c r="P15" s="19" t="str">
        <f>IF(Clean_Data!$G15&gt;Clean_Data!$J15,Clean_Data!$F15,Clean_Data!$I15)</f>
        <v>Dhaka Gladiators</v>
      </c>
      <c r="Q15" s="19" t="s">
        <v>88</v>
      </c>
      <c r="R15" s="19" t="s">
        <v>89</v>
      </c>
      <c r="S15" s="19">
        <v>8</v>
      </c>
      <c r="T15" s="19">
        <v>0</v>
      </c>
      <c r="U15" s="19" t="s">
        <v>30</v>
      </c>
      <c r="V15" s="19" t="str">
        <f>IF(Clean_Data!$T15&gt;0,"Runs","Wickets")</f>
        <v>Wickets</v>
      </c>
      <c r="W15" s="19">
        <f>IF(Clean_Data!$T15&gt;0,Clean_Data!$T15,Clean_Data!$S15)</f>
        <v>8</v>
      </c>
      <c r="X15" s="19" t="str">
        <f>IF(Clean_Data!$W15&lt;=10,"Close Match","Normal")</f>
        <v>Close Match</v>
      </c>
      <c r="Y15" s="19">
        <f>Clean_Data!$G15+Clean_Data!$J15</f>
        <v>260</v>
      </c>
      <c r="Z15" s="19" t="str">
        <f>IF(Clean_Data!$Y15&gt;=170,"170+ Match","Below 170")</f>
        <v>170+ Match</v>
      </c>
      <c r="AA15" s="19" t="s">
        <v>31</v>
      </c>
      <c r="AB15" s="21" t="s">
        <v>44</v>
      </c>
    </row>
    <row r="16" spans="1:28" x14ac:dyDescent="0.3">
      <c r="A16" s="16" t="s">
        <v>73</v>
      </c>
      <c r="B16" s="5" t="str">
        <f>LEFT(Clean_Data!$A16,4)</f>
        <v>2012</v>
      </c>
      <c r="C16" s="5" t="s">
        <v>92</v>
      </c>
      <c r="D16" s="5" t="str">
        <f>IF(ISNUMBER(SEARCH("Final",Clean_Data!$C16)),"Final",
IF(ISNUMBER(SEARCH("Semi",Clean_Data!$C16)),"Semi-Final",
IF(ISNUMBER(SEARCH("Elimination",Clean_Data!$C16)),"Eliminator",
"League")))</f>
        <v>Eliminator</v>
      </c>
      <c r="E16" s="6" t="s">
        <v>93</v>
      </c>
      <c r="F16" s="5" t="s">
        <v>41</v>
      </c>
      <c r="G16" s="5">
        <v>107</v>
      </c>
      <c r="H16" s="5">
        <v>7</v>
      </c>
      <c r="I16" s="5" t="s">
        <v>53</v>
      </c>
      <c r="J16" s="5">
        <v>108</v>
      </c>
      <c r="K16" s="5">
        <v>6</v>
      </c>
      <c r="L16" s="5" t="s">
        <v>94</v>
      </c>
      <c r="M16" s="5" t="s">
        <v>41</v>
      </c>
      <c r="N16" s="5" t="s">
        <v>37</v>
      </c>
      <c r="O16" s="5" t="s">
        <v>80</v>
      </c>
      <c r="P16" s="5" t="str">
        <f>IF(Clean_Data!$G16&gt;Clean_Data!$J16,Clean_Data!$F16,Clean_Data!$I16)</f>
        <v>Chittagong Kings</v>
      </c>
      <c r="Q16" s="5" t="s">
        <v>28</v>
      </c>
      <c r="R16" s="5" t="s">
        <v>29</v>
      </c>
      <c r="S16" s="5">
        <v>4</v>
      </c>
      <c r="T16" s="5">
        <v>0</v>
      </c>
      <c r="U16" s="5" t="s">
        <v>90</v>
      </c>
      <c r="V16" s="5" t="str">
        <f>IF(Clean_Data!$T16&gt;0,"Runs","Wickets")</f>
        <v>Wickets</v>
      </c>
      <c r="W16" s="5">
        <f>IF(Clean_Data!$T16&gt;0,Clean_Data!$T16,Clean_Data!$S16)</f>
        <v>4</v>
      </c>
      <c r="X16" s="5" t="str">
        <f>IF(Clean_Data!$W16&lt;=10,"Close Match","Normal")</f>
        <v>Close Match</v>
      </c>
      <c r="Y16" s="5">
        <f>Clean_Data!$G16+Clean_Data!$J16</f>
        <v>215</v>
      </c>
      <c r="Z16" s="5" t="str">
        <f>IF(Clean_Data!$Y16&gt;=170,"170+ Match","Below 170")</f>
        <v>170+ Match</v>
      </c>
      <c r="AA16" s="5" t="s">
        <v>72</v>
      </c>
      <c r="AB16" s="17" t="s">
        <v>77</v>
      </c>
    </row>
    <row r="17" spans="1:28" x14ac:dyDescent="0.3">
      <c r="A17" s="18" t="s">
        <v>20</v>
      </c>
      <c r="B17" s="19" t="str">
        <f>LEFT(Clean_Data!$A17,4)</f>
        <v>2011</v>
      </c>
      <c r="C17" s="19" t="s">
        <v>95</v>
      </c>
      <c r="D17" s="19" t="str">
        <f>IF(ISNUMBER(SEARCH("Final",Clean_Data!$C17)),"Final",
IF(ISNUMBER(SEARCH("Semi",Clean_Data!$C17)),"Semi-Final",
IF(ISNUMBER(SEARCH("Elimination",Clean_Data!$C17)),"Eliminator",
"League")))</f>
        <v>League</v>
      </c>
      <c r="E17" s="20" t="s">
        <v>96</v>
      </c>
      <c r="F17" s="19" t="s">
        <v>35</v>
      </c>
      <c r="G17" s="19">
        <v>137</v>
      </c>
      <c r="H17" s="19">
        <v>6</v>
      </c>
      <c r="I17" s="19" t="s">
        <v>53</v>
      </c>
      <c r="J17" s="19">
        <v>93</v>
      </c>
      <c r="K17" s="19">
        <v>10</v>
      </c>
      <c r="L17" s="19" t="s">
        <v>97</v>
      </c>
      <c r="M17" s="19" t="s">
        <v>53</v>
      </c>
      <c r="N17" s="19" t="s">
        <v>26</v>
      </c>
      <c r="O17" s="19" t="s">
        <v>98</v>
      </c>
      <c r="P17" s="19" t="str">
        <f>IF(Clean_Data!$G17&gt;Clean_Data!$J17,Clean_Data!$F17,Clean_Data!$I17)</f>
        <v>Khulna Royal Bengals</v>
      </c>
      <c r="Q17" s="19" t="s">
        <v>88</v>
      </c>
      <c r="R17" s="19" t="s">
        <v>89</v>
      </c>
      <c r="S17" s="19">
        <v>0</v>
      </c>
      <c r="T17" s="19">
        <v>44</v>
      </c>
      <c r="U17" s="19" t="s">
        <v>99</v>
      </c>
      <c r="V17" s="19" t="str">
        <f>IF(Clean_Data!$T17&gt;0,"Runs","Wickets")</f>
        <v>Runs</v>
      </c>
      <c r="W17" s="19">
        <f>IF(Clean_Data!$T17&gt;0,Clean_Data!$T17,Clean_Data!$S17)</f>
        <v>44</v>
      </c>
      <c r="X17" s="19" t="str">
        <f>IF(Clean_Data!$W17&lt;=10,"Close Match","Normal")</f>
        <v>Normal</v>
      </c>
      <c r="Y17" s="19">
        <f>Clean_Data!$G17+Clean_Data!$J17</f>
        <v>230</v>
      </c>
      <c r="Z17" s="19" t="str">
        <f>IF(Clean_Data!$Y17&gt;=170,"170+ Match","Below 170")</f>
        <v>170+ Match</v>
      </c>
      <c r="AA17" s="19" t="s">
        <v>31</v>
      </c>
      <c r="AB17" s="21" t="s">
        <v>44</v>
      </c>
    </row>
    <row r="18" spans="1:28" x14ac:dyDescent="0.3">
      <c r="A18" s="16" t="s">
        <v>73</v>
      </c>
      <c r="B18" s="5" t="str">
        <f>LEFT(Clean_Data!$A18,4)</f>
        <v>2012</v>
      </c>
      <c r="C18" s="5" t="s">
        <v>100</v>
      </c>
      <c r="D18" s="5" t="str">
        <f>IF(ISNUMBER(SEARCH("Final",Clean_Data!$C18)),"Final",
IF(ISNUMBER(SEARCH("Semi",Clean_Data!$C18)),"Semi-Final",
IF(ISNUMBER(SEARCH("Elimination",Clean_Data!$C18)),"Eliminator",
"League")))</f>
        <v>League</v>
      </c>
      <c r="E18" s="6" t="s">
        <v>101</v>
      </c>
      <c r="F18" s="5" t="s">
        <v>24</v>
      </c>
      <c r="G18" s="5">
        <v>197</v>
      </c>
      <c r="H18" s="5">
        <v>9</v>
      </c>
      <c r="I18" s="5" t="s">
        <v>62</v>
      </c>
      <c r="J18" s="5">
        <v>193</v>
      </c>
      <c r="K18" s="5">
        <v>6</v>
      </c>
      <c r="L18" s="5" t="s">
        <v>102</v>
      </c>
      <c r="M18" s="5" t="s">
        <v>62</v>
      </c>
      <c r="N18" s="5" t="s">
        <v>26</v>
      </c>
      <c r="O18" s="5" t="s">
        <v>27</v>
      </c>
      <c r="P18" s="5" t="str">
        <f>IF(Clean_Data!$G18&gt;Clean_Data!$J18,Clean_Data!$F18,Clean_Data!$I18)</f>
        <v>Dhaka Gladiators</v>
      </c>
      <c r="Q18" s="5" t="s">
        <v>28</v>
      </c>
      <c r="R18" s="5" t="s">
        <v>29</v>
      </c>
      <c r="S18" s="5">
        <v>0</v>
      </c>
      <c r="T18" s="5">
        <v>4</v>
      </c>
      <c r="U18" s="5" t="s">
        <v>103</v>
      </c>
      <c r="V18" s="5" t="str">
        <f>IF(Clean_Data!$T18&gt;0,"Runs","Wickets")</f>
        <v>Runs</v>
      </c>
      <c r="W18" s="5">
        <f>IF(Clean_Data!$T18&gt;0,Clean_Data!$T18,Clean_Data!$S18)</f>
        <v>4</v>
      </c>
      <c r="X18" s="5" t="str">
        <f>IF(Clean_Data!$W18&lt;=10,"Close Match","Normal")</f>
        <v>Close Match</v>
      </c>
      <c r="Y18" s="5">
        <f>Clean_Data!$G18+Clean_Data!$J18</f>
        <v>390</v>
      </c>
      <c r="Z18" s="5" t="str">
        <f>IF(Clean_Data!$Y18&gt;=170,"170+ Match","Below 170")</f>
        <v>170+ Match</v>
      </c>
      <c r="AA18" s="5" t="s">
        <v>32</v>
      </c>
      <c r="AB18" s="17" t="s">
        <v>57</v>
      </c>
    </row>
    <row r="19" spans="1:28" x14ac:dyDescent="0.3">
      <c r="A19" s="18" t="s">
        <v>20</v>
      </c>
      <c r="B19" s="19" t="str">
        <f>LEFT(Clean_Data!$A19,4)</f>
        <v>2011</v>
      </c>
      <c r="C19" s="19" t="s">
        <v>104</v>
      </c>
      <c r="D19" s="19" t="str">
        <f>IF(ISNUMBER(SEARCH("Final",Clean_Data!$C19)),"Final",
IF(ISNUMBER(SEARCH("Semi",Clean_Data!$C19)),"Semi-Final",
IF(ISNUMBER(SEARCH("Elimination",Clean_Data!$C19)),"Eliminator",
"League")))</f>
        <v>League</v>
      </c>
      <c r="E19" s="20" t="s">
        <v>96</v>
      </c>
      <c r="F19" s="19" t="s">
        <v>23</v>
      </c>
      <c r="G19" s="19">
        <v>192</v>
      </c>
      <c r="H19" s="19">
        <v>3</v>
      </c>
      <c r="I19" s="19" t="s">
        <v>41</v>
      </c>
      <c r="J19" s="19">
        <v>193</v>
      </c>
      <c r="K19" s="19">
        <v>1</v>
      </c>
      <c r="L19" s="19" t="s">
        <v>105</v>
      </c>
      <c r="M19" s="19" t="s">
        <v>23</v>
      </c>
      <c r="N19" s="19" t="s">
        <v>37</v>
      </c>
      <c r="O19" s="19" t="s">
        <v>48</v>
      </c>
      <c r="P19" s="19" t="str">
        <f>IF(Clean_Data!$G19&gt;Clean_Data!$J19,Clean_Data!$F19,Clean_Data!$I19)</f>
        <v>Duronto Rajshahi</v>
      </c>
      <c r="Q19" s="19" t="s">
        <v>88</v>
      </c>
      <c r="R19" s="19" t="s">
        <v>89</v>
      </c>
      <c r="S19" s="19">
        <v>9</v>
      </c>
      <c r="T19" s="19">
        <v>0</v>
      </c>
      <c r="U19" s="19" t="s">
        <v>71</v>
      </c>
      <c r="V19" s="19" t="str">
        <f>IF(Clean_Data!$T19&gt;0,"Runs","Wickets")</f>
        <v>Wickets</v>
      </c>
      <c r="W19" s="19">
        <f>IF(Clean_Data!$T19&gt;0,Clean_Data!$T19,Clean_Data!$S19)</f>
        <v>9</v>
      </c>
      <c r="X19" s="19" t="str">
        <f>IF(Clean_Data!$W19&lt;=10,"Close Match","Normal")</f>
        <v>Close Match</v>
      </c>
      <c r="Y19" s="19">
        <f>Clean_Data!$G19+Clean_Data!$J19</f>
        <v>385</v>
      </c>
      <c r="Z19" s="19" t="str">
        <f>IF(Clean_Data!$Y19&gt;=170,"170+ Match","Below 170")</f>
        <v>170+ Match</v>
      </c>
      <c r="AA19" s="19" t="s">
        <v>32</v>
      </c>
      <c r="AB19" s="21" t="s">
        <v>57</v>
      </c>
    </row>
    <row r="20" spans="1:28" x14ac:dyDescent="0.3">
      <c r="A20" s="16" t="s">
        <v>73</v>
      </c>
      <c r="B20" s="5" t="str">
        <f>LEFT(Clean_Data!$A20,4)</f>
        <v>2012</v>
      </c>
      <c r="C20" s="5" t="s">
        <v>106</v>
      </c>
      <c r="D20" s="5" t="str">
        <f>IF(ISNUMBER(SEARCH("Final",Clean_Data!$C20)),"Final",
IF(ISNUMBER(SEARCH("Semi",Clean_Data!$C20)),"Semi-Final",
IF(ISNUMBER(SEARCH("Elimination",Clean_Data!$C20)),"Eliminator",
"League")))</f>
        <v>League</v>
      </c>
      <c r="E20" s="6" t="s">
        <v>107</v>
      </c>
      <c r="F20" s="5" t="s">
        <v>24</v>
      </c>
      <c r="G20" s="5">
        <v>168</v>
      </c>
      <c r="H20" s="5">
        <v>6</v>
      </c>
      <c r="I20" s="5" t="s">
        <v>53</v>
      </c>
      <c r="J20" s="5">
        <v>139</v>
      </c>
      <c r="K20" s="5">
        <v>9</v>
      </c>
      <c r="L20" s="5" t="s">
        <v>108</v>
      </c>
      <c r="M20" s="5" t="s">
        <v>53</v>
      </c>
      <c r="N20" s="5" t="s">
        <v>26</v>
      </c>
      <c r="O20" s="5" t="s">
        <v>27</v>
      </c>
      <c r="P20" s="5" t="str">
        <f>IF(Clean_Data!$G20&gt;Clean_Data!$J20,Clean_Data!$F20,Clean_Data!$I20)</f>
        <v>Dhaka Gladiators</v>
      </c>
      <c r="Q20" s="5" t="s">
        <v>28</v>
      </c>
      <c r="R20" s="5" t="s">
        <v>29</v>
      </c>
      <c r="S20" s="5">
        <v>0</v>
      </c>
      <c r="T20" s="5">
        <v>29</v>
      </c>
      <c r="U20" s="5" t="s">
        <v>109</v>
      </c>
      <c r="V20" s="5" t="str">
        <f>IF(Clean_Data!$T20&gt;0,"Runs","Wickets")</f>
        <v>Runs</v>
      </c>
      <c r="W20" s="5">
        <f>IF(Clean_Data!$T20&gt;0,Clean_Data!$T20,Clean_Data!$S20)</f>
        <v>29</v>
      </c>
      <c r="X20" s="5" t="str">
        <f>IF(Clean_Data!$W20&lt;=10,"Close Match","Normal")</f>
        <v>Normal</v>
      </c>
      <c r="Y20" s="5">
        <f>Clean_Data!$G20+Clean_Data!$J20</f>
        <v>307</v>
      </c>
      <c r="Z20" s="5" t="str">
        <f>IF(Clean_Data!$Y20&gt;=170,"170+ Match","Below 170")</f>
        <v>170+ Match</v>
      </c>
      <c r="AA20" s="5" t="s">
        <v>72</v>
      </c>
      <c r="AB20" s="17" t="s">
        <v>57</v>
      </c>
    </row>
    <row r="21" spans="1:28" x14ac:dyDescent="0.3">
      <c r="A21" s="18" t="s">
        <v>20</v>
      </c>
      <c r="B21" s="19" t="str">
        <f>LEFT(Clean_Data!$A21,4)</f>
        <v>2011</v>
      </c>
      <c r="C21" s="19" t="s">
        <v>110</v>
      </c>
      <c r="D21" s="19" t="str">
        <f>IF(ISNUMBER(SEARCH("Final",Clean_Data!$C21)),"Final",
IF(ISNUMBER(SEARCH("Semi",Clean_Data!$C21)),"Semi-Final",
IF(ISNUMBER(SEARCH("Elimination",Clean_Data!$C21)),"Eliminator",
"League")))</f>
        <v>League</v>
      </c>
      <c r="E21" s="20" t="s">
        <v>111</v>
      </c>
      <c r="F21" s="19" t="s">
        <v>62</v>
      </c>
      <c r="G21" s="19">
        <v>120</v>
      </c>
      <c r="H21" s="19">
        <v>7</v>
      </c>
      <c r="I21" s="19" t="s">
        <v>23</v>
      </c>
      <c r="J21" s="19">
        <v>121</v>
      </c>
      <c r="K21" s="19">
        <v>1</v>
      </c>
      <c r="L21" s="19" t="s">
        <v>54</v>
      </c>
      <c r="M21" s="19" t="s">
        <v>62</v>
      </c>
      <c r="N21" s="19" t="s">
        <v>37</v>
      </c>
      <c r="O21" s="19" t="s">
        <v>43</v>
      </c>
      <c r="P21" s="19" t="str">
        <f>IF(Clean_Data!$G21&gt;Clean_Data!$J21,Clean_Data!$F21,Clean_Data!$I21)</f>
        <v>Barisal Burners</v>
      </c>
      <c r="Q21" s="19" t="s">
        <v>88</v>
      </c>
      <c r="R21" s="19" t="s">
        <v>89</v>
      </c>
      <c r="S21" s="19">
        <v>9</v>
      </c>
      <c r="T21" s="19">
        <v>0</v>
      </c>
      <c r="U21" s="19" t="s">
        <v>71</v>
      </c>
      <c r="V21" s="19" t="str">
        <f>IF(Clean_Data!$T21&gt;0,"Runs","Wickets")</f>
        <v>Wickets</v>
      </c>
      <c r="W21" s="19">
        <f>IF(Clean_Data!$T21&gt;0,Clean_Data!$T21,Clean_Data!$S21)</f>
        <v>9</v>
      </c>
      <c r="X21" s="19" t="str">
        <f>IF(Clean_Data!$W21&lt;=10,"Close Match","Normal")</f>
        <v>Close Match</v>
      </c>
      <c r="Y21" s="19">
        <f>Clean_Data!$G21+Clean_Data!$J21</f>
        <v>241</v>
      </c>
      <c r="Z21" s="19" t="str">
        <f>IF(Clean_Data!$Y21&gt;=170,"170+ Match","Below 170")</f>
        <v>170+ Match</v>
      </c>
      <c r="AA21" s="19" t="s">
        <v>32</v>
      </c>
      <c r="AB21" s="21" t="s">
        <v>57</v>
      </c>
    </row>
    <row r="22" spans="1:28" x14ac:dyDescent="0.3">
      <c r="A22" s="16" t="s">
        <v>73</v>
      </c>
      <c r="B22" s="5" t="str">
        <f>LEFT(Clean_Data!$A22,4)</f>
        <v>2012</v>
      </c>
      <c r="C22" s="5" t="s">
        <v>112</v>
      </c>
      <c r="D22" s="5" t="str">
        <f>IF(ISNUMBER(SEARCH("Final",Clean_Data!$C22)),"Final",
IF(ISNUMBER(SEARCH("Semi",Clean_Data!$C22)),"Semi-Final",
IF(ISNUMBER(SEARCH("Elimination",Clean_Data!$C22)),"Eliminator",
"League")))</f>
        <v>League</v>
      </c>
      <c r="E22" s="6" t="s">
        <v>107</v>
      </c>
      <c r="F22" s="5" t="s">
        <v>23</v>
      </c>
      <c r="G22" s="5">
        <v>139</v>
      </c>
      <c r="H22" s="5">
        <v>7</v>
      </c>
      <c r="I22" s="5" t="s">
        <v>113</v>
      </c>
      <c r="J22" s="5">
        <v>113</v>
      </c>
      <c r="K22" s="5">
        <v>10</v>
      </c>
      <c r="L22" s="5" t="s">
        <v>114</v>
      </c>
      <c r="M22" s="5" t="s">
        <v>23</v>
      </c>
      <c r="N22" s="5" t="s">
        <v>37</v>
      </c>
      <c r="O22" s="5" t="s">
        <v>43</v>
      </c>
      <c r="P22" s="5" t="str">
        <f>IF(Clean_Data!$G22&gt;Clean_Data!$J22,Clean_Data!$F22,Clean_Data!$I22)</f>
        <v>Barisal Burners</v>
      </c>
      <c r="Q22" s="5" t="s">
        <v>28</v>
      </c>
      <c r="R22" s="5" t="s">
        <v>29</v>
      </c>
      <c r="S22" s="5">
        <v>0</v>
      </c>
      <c r="T22" s="5">
        <v>26</v>
      </c>
      <c r="U22" s="5" t="s">
        <v>115</v>
      </c>
      <c r="V22" s="5" t="str">
        <f>IF(Clean_Data!$T22&gt;0,"Runs","Wickets")</f>
        <v>Runs</v>
      </c>
      <c r="W22" s="5">
        <f>IF(Clean_Data!$T22&gt;0,Clean_Data!$T22,Clean_Data!$S22)</f>
        <v>26</v>
      </c>
      <c r="X22" s="5" t="str">
        <f>IF(Clean_Data!$W22&lt;=10,"Close Match","Normal")</f>
        <v>Normal</v>
      </c>
      <c r="Y22" s="5">
        <f>Clean_Data!$G22+Clean_Data!$J22</f>
        <v>252</v>
      </c>
      <c r="Z22" s="5" t="str">
        <f>IF(Clean_Data!$Y22&gt;=170,"170+ Match","Below 170")</f>
        <v>170+ Match</v>
      </c>
      <c r="AA22" s="5" t="s">
        <v>32</v>
      </c>
      <c r="AB22" s="17" t="s">
        <v>57</v>
      </c>
    </row>
    <row r="23" spans="1:28" x14ac:dyDescent="0.3">
      <c r="A23" s="18" t="s">
        <v>20</v>
      </c>
      <c r="B23" s="19" t="str">
        <f>LEFT(Clean_Data!$A23,4)</f>
        <v>2011</v>
      </c>
      <c r="C23" s="19" t="s">
        <v>116</v>
      </c>
      <c r="D23" s="19" t="str">
        <f>IF(ISNUMBER(SEARCH("Final",Clean_Data!$C23)),"Final",
IF(ISNUMBER(SEARCH("Semi",Clean_Data!$C23)),"Semi-Final",
IF(ISNUMBER(SEARCH("Elimination",Clean_Data!$C23)),"Eliminator",
"League")))</f>
        <v>League</v>
      </c>
      <c r="E23" s="20" t="s">
        <v>111</v>
      </c>
      <c r="F23" s="19" t="s">
        <v>24</v>
      </c>
      <c r="G23" s="19">
        <v>140</v>
      </c>
      <c r="H23" s="19">
        <v>8</v>
      </c>
      <c r="I23" s="19" t="s">
        <v>35</v>
      </c>
      <c r="J23" s="19">
        <v>141</v>
      </c>
      <c r="K23" s="19">
        <v>3</v>
      </c>
      <c r="L23" s="19" t="s">
        <v>117</v>
      </c>
      <c r="M23" s="19" t="s">
        <v>24</v>
      </c>
      <c r="N23" s="19" t="s">
        <v>37</v>
      </c>
      <c r="O23" s="19" t="s">
        <v>98</v>
      </c>
      <c r="P23" s="19" t="str">
        <f>IF(Clean_Data!$G23&gt;Clean_Data!$J23,Clean_Data!$F23,Clean_Data!$I23)</f>
        <v>Khulna Royal Bengals</v>
      </c>
      <c r="Q23" s="19" t="s">
        <v>88</v>
      </c>
      <c r="R23" s="19" t="s">
        <v>89</v>
      </c>
      <c r="S23" s="19">
        <v>7</v>
      </c>
      <c r="T23" s="19">
        <v>0</v>
      </c>
      <c r="U23" s="19" t="s">
        <v>118</v>
      </c>
      <c r="V23" s="19" t="str">
        <f>IF(Clean_Data!$T23&gt;0,"Runs","Wickets")</f>
        <v>Wickets</v>
      </c>
      <c r="W23" s="19">
        <f>IF(Clean_Data!$T23&gt;0,Clean_Data!$T23,Clean_Data!$S23)</f>
        <v>7</v>
      </c>
      <c r="X23" s="19" t="str">
        <f>IF(Clean_Data!$W23&lt;=10,"Close Match","Normal")</f>
        <v>Close Match</v>
      </c>
      <c r="Y23" s="19">
        <f>Clean_Data!$G23+Clean_Data!$J23</f>
        <v>281</v>
      </c>
      <c r="Z23" s="19" t="str">
        <f>IF(Clean_Data!$Y23&gt;=170,"170+ Match","Below 170")</f>
        <v>170+ Match</v>
      </c>
      <c r="AA23" s="19" t="s">
        <v>31</v>
      </c>
      <c r="AB23" s="21" t="s">
        <v>44</v>
      </c>
    </row>
    <row r="24" spans="1:28" x14ac:dyDescent="0.3">
      <c r="A24" s="16" t="s">
        <v>73</v>
      </c>
      <c r="B24" s="5" t="str">
        <f>LEFT(Clean_Data!$A24,4)</f>
        <v>2012</v>
      </c>
      <c r="C24" s="5" t="s">
        <v>119</v>
      </c>
      <c r="D24" s="5" t="str">
        <f>IF(ISNUMBER(SEARCH("Final",Clean_Data!$C24)),"Final",
IF(ISNUMBER(SEARCH("Semi",Clean_Data!$C24)),"Semi-Final",
IF(ISNUMBER(SEARCH("Elimination",Clean_Data!$C24)),"Eliminator",
"League")))</f>
        <v>League</v>
      </c>
      <c r="E24" s="6" t="s">
        <v>120</v>
      </c>
      <c r="F24" s="5" t="s">
        <v>23</v>
      </c>
      <c r="G24" s="5">
        <v>144</v>
      </c>
      <c r="H24" s="5">
        <v>9</v>
      </c>
      <c r="I24" s="5" t="s">
        <v>62</v>
      </c>
      <c r="J24" s="5">
        <v>145</v>
      </c>
      <c r="K24" s="5">
        <v>9</v>
      </c>
      <c r="L24" s="5" t="s">
        <v>121</v>
      </c>
      <c r="M24" s="5" t="s">
        <v>62</v>
      </c>
      <c r="N24" s="5" t="s">
        <v>26</v>
      </c>
      <c r="O24" s="5" t="s">
        <v>64</v>
      </c>
      <c r="P24" s="5" t="str">
        <f>IF(Clean_Data!$G24&gt;Clean_Data!$J24,Clean_Data!$F24,Clean_Data!$I24)</f>
        <v>Sylhet Royals</v>
      </c>
      <c r="Q24" s="5" t="s">
        <v>28</v>
      </c>
      <c r="R24" s="5" t="s">
        <v>29</v>
      </c>
      <c r="S24" s="5">
        <v>0</v>
      </c>
      <c r="T24" s="5">
        <v>0</v>
      </c>
      <c r="U24" s="5" t="s">
        <v>122</v>
      </c>
      <c r="V24" s="5" t="str">
        <f>IF(Clean_Data!$T24&gt;0,"Runs","Wickets")</f>
        <v>Wickets</v>
      </c>
      <c r="W24" s="5">
        <f>IF(Clean_Data!$T24&gt;0,Clean_Data!$T24,Clean_Data!$S24)</f>
        <v>0</v>
      </c>
      <c r="X24" s="5" t="str">
        <f>IF(Clean_Data!$W24&lt;=10,"Close Match","Normal")</f>
        <v>Close Match</v>
      </c>
      <c r="Y24" s="5">
        <f>Clean_Data!$G24+Clean_Data!$J24</f>
        <v>289</v>
      </c>
      <c r="Z24" s="5" t="str">
        <f>IF(Clean_Data!$Y24&gt;=170,"170+ Match","Below 170")</f>
        <v>170+ Match</v>
      </c>
      <c r="AA24" s="5" t="s">
        <v>32</v>
      </c>
      <c r="AB24" s="17" t="s">
        <v>57</v>
      </c>
    </row>
    <row r="25" spans="1:28" x14ac:dyDescent="0.3">
      <c r="A25" s="18" t="s">
        <v>20</v>
      </c>
      <c r="B25" s="19" t="str">
        <f>LEFT(Clean_Data!$A25,4)</f>
        <v>2011</v>
      </c>
      <c r="C25" s="19" t="s">
        <v>123</v>
      </c>
      <c r="D25" s="19" t="str">
        <f>IF(ISNUMBER(SEARCH("Final",Clean_Data!$C25)),"Final",
IF(ISNUMBER(SEARCH("Semi",Clean_Data!$C25)),"Semi-Final",
IF(ISNUMBER(SEARCH("Elimination",Clean_Data!$C25)),"Eliminator",
"League")))</f>
        <v>League</v>
      </c>
      <c r="E25" s="20" t="s">
        <v>124</v>
      </c>
      <c r="F25" s="19" t="s">
        <v>41</v>
      </c>
      <c r="G25" s="19">
        <v>126</v>
      </c>
      <c r="H25" s="19">
        <v>6</v>
      </c>
      <c r="I25" s="19" t="s">
        <v>53</v>
      </c>
      <c r="J25" s="19">
        <v>117</v>
      </c>
      <c r="K25" s="19">
        <v>9</v>
      </c>
      <c r="L25" s="19" t="s">
        <v>125</v>
      </c>
      <c r="M25" s="19" t="s">
        <v>41</v>
      </c>
      <c r="N25" s="19" t="s">
        <v>37</v>
      </c>
      <c r="O25" s="19" t="s">
        <v>48</v>
      </c>
      <c r="P25" s="19" t="str">
        <f>IF(Clean_Data!$G25&gt;Clean_Data!$J25,Clean_Data!$F25,Clean_Data!$I25)</f>
        <v>Duronto Rajshahi</v>
      </c>
      <c r="Q25" s="19" t="s">
        <v>88</v>
      </c>
      <c r="R25" s="19" t="s">
        <v>89</v>
      </c>
      <c r="S25" s="19">
        <v>0</v>
      </c>
      <c r="T25" s="19">
        <v>9</v>
      </c>
      <c r="U25" s="19" t="s">
        <v>38</v>
      </c>
      <c r="V25" s="19" t="str">
        <f>IF(Clean_Data!$T25&gt;0,"Runs","Wickets")</f>
        <v>Runs</v>
      </c>
      <c r="W25" s="19">
        <f>IF(Clean_Data!$T25&gt;0,Clean_Data!$T25,Clean_Data!$S25)</f>
        <v>9</v>
      </c>
      <c r="X25" s="19" t="str">
        <f>IF(Clean_Data!$W25&lt;=10,"Close Match","Normal")</f>
        <v>Close Match</v>
      </c>
      <c r="Y25" s="19">
        <f>Clean_Data!$G25+Clean_Data!$J25</f>
        <v>243</v>
      </c>
      <c r="Z25" s="19" t="str">
        <f>IF(Clean_Data!$Y25&gt;=170,"170+ Match","Below 170")</f>
        <v>170+ Match</v>
      </c>
      <c r="AA25" s="19" t="s">
        <v>31</v>
      </c>
      <c r="AB25" s="21" t="s">
        <v>44</v>
      </c>
    </row>
    <row r="26" spans="1:28" x14ac:dyDescent="0.3">
      <c r="A26" s="16" t="s">
        <v>20</v>
      </c>
      <c r="B26" s="5" t="str">
        <f>LEFT(Clean_Data!$A26,4)</f>
        <v>2011</v>
      </c>
      <c r="C26" s="5" t="s">
        <v>126</v>
      </c>
      <c r="D26" s="5" t="str">
        <f>IF(ISNUMBER(SEARCH("Final",Clean_Data!$C26)),"Final",
IF(ISNUMBER(SEARCH("Semi",Clean_Data!$C26)),"Semi-Final",
IF(ISNUMBER(SEARCH("Elimination",Clean_Data!$C26)),"Eliminator",
"League")))</f>
        <v>League</v>
      </c>
      <c r="E26" s="6" t="s">
        <v>124</v>
      </c>
      <c r="F26" s="5" t="s">
        <v>35</v>
      </c>
      <c r="G26" s="5">
        <v>171</v>
      </c>
      <c r="H26" s="5">
        <v>6</v>
      </c>
      <c r="I26" s="5" t="s">
        <v>62</v>
      </c>
      <c r="J26" s="5">
        <v>169</v>
      </c>
      <c r="K26" s="5">
        <v>8</v>
      </c>
      <c r="L26" s="5" t="s">
        <v>127</v>
      </c>
      <c r="M26" s="5" t="s">
        <v>62</v>
      </c>
      <c r="N26" s="5" t="s">
        <v>26</v>
      </c>
      <c r="O26" s="5" t="s">
        <v>98</v>
      </c>
      <c r="P26" s="5" t="str">
        <f>IF(Clean_Data!$G26&gt;Clean_Data!$J26,Clean_Data!$F26,Clean_Data!$I26)</f>
        <v>Khulna Royal Bengals</v>
      </c>
      <c r="Q26" s="5" t="s">
        <v>88</v>
      </c>
      <c r="R26" s="5" t="s">
        <v>89</v>
      </c>
      <c r="S26" s="5">
        <v>0</v>
      </c>
      <c r="T26" s="5">
        <v>2</v>
      </c>
      <c r="U26" s="5" t="s">
        <v>128</v>
      </c>
      <c r="V26" s="5" t="str">
        <f>IF(Clean_Data!$T26&gt;0,"Runs","Wickets")</f>
        <v>Runs</v>
      </c>
      <c r="W26" s="5">
        <f>IF(Clean_Data!$T26&gt;0,Clean_Data!$T26,Clean_Data!$S26)</f>
        <v>2</v>
      </c>
      <c r="X26" s="5" t="str">
        <f>IF(Clean_Data!$W26&lt;=10,"Close Match","Normal")</f>
        <v>Close Match</v>
      </c>
      <c r="Y26" s="5">
        <f>Clean_Data!$G26+Clean_Data!$J26</f>
        <v>340</v>
      </c>
      <c r="Z26" s="5" t="str">
        <f>IF(Clean_Data!$Y26&gt;=170,"170+ Match","Below 170")</f>
        <v>170+ Match</v>
      </c>
      <c r="AA26" s="5" t="s">
        <v>32</v>
      </c>
      <c r="AB26" s="17" t="s">
        <v>57</v>
      </c>
    </row>
    <row r="27" spans="1:28" x14ac:dyDescent="0.3">
      <c r="A27" s="18" t="s">
        <v>73</v>
      </c>
      <c r="B27" s="19" t="str">
        <f>LEFT(Clean_Data!$A27,4)</f>
        <v>2012</v>
      </c>
      <c r="C27" s="19" t="s">
        <v>129</v>
      </c>
      <c r="D27" s="19" t="str">
        <f>IF(ISNUMBER(SEARCH("Final",Clean_Data!$C27)),"Final",
IF(ISNUMBER(SEARCH("Semi",Clean_Data!$C27)),"Semi-Final",
IF(ISNUMBER(SEARCH("Elimination",Clean_Data!$C27)),"Eliminator",
"League")))</f>
        <v>League</v>
      </c>
      <c r="E27" s="20" t="s">
        <v>120</v>
      </c>
      <c r="F27" s="19" t="s">
        <v>53</v>
      </c>
      <c r="G27" s="19">
        <v>193</v>
      </c>
      <c r="H27" s="19">
        <v>3</v>
      </c>
      <c r="I27" s="19" t="s">
        <v>41</v>
      </c>
      <c r="J27" s="19">
        <v>160</v>
      </c>
      <c r="K27" s="19">
        <v>6</v>
      </c>
      <c r="L27" s="19" t="s">
        <v>130</v>
      </c>
      <c r="M27" s="19" t="s">
        <v>41</v>
      </c>
      <c r="N27" s="19" t="s">
        <v>26</v>
      </c>
      <c r="O27" s="19" t="s">
        <v>80</v>
      </c>
      <c r="P27" s="19" t="str">
        <f>IF(Clean_Data!$G27&gt;Clean_Data!$J27,Clean_Data!$F27,Clean_Data!$I27)</f>
        <v>Chittagong Kings</v>
      </c>
      <c r="Q27" s="19" t="s">
        <v>28</v>
      </c>
      <c r="R27" s="19" t="s">
        <v>29</v>
      </c>
      <c r="S27" s="19">
        <v>0</v>
      </c>
      <c r="T27" s="19">
        <v>33</v>
      </c>
      <c r="U27" s="19" t="s">
        <v>131</v>
      </c>
      <c r="V27" s="19" t="str">
        <f>IF(Clean_Data!$T27&gt;0,"Runs","Wickets")</f>
        <v>Runs</v>
      </c>
      <c r="W27" s="19">
        <f>IF(Clean_Data!$T27&gt;0,Clean_Data!$T27,Clean_Data!$S27)</f>
        <v>33</v>
      </c>
      <c r="X27" s="19" t="str">
        <f>IF(Clean_Data!$W27&lt;=10,"Close Match","Normal")</f>
        <v>Normal</v>
      </c>
      <c r="Y27" s="19">
        <f>Clean_Data!$G27+Clean_Data!$J27</f>
        <v>353</v>
      </c>
      <c r="Z27" s="19" t="str">
        <f>IF(Clean_Data!$Y27&gt;=170,"170+ Match","Below 170")</f>
        <v>170+ Match</v>
      </c>
      <c r="AA27" s="19" t="s">
        <v>56</v>
      </c>
      <c r="AB27" s="21" t="s">
        <v>77</v>
      </c>
    </row>
    <row r="28" spans="1:28" x14ac:dyDescent="0.3">
      <c r="A28" s="16" t="s">
        <v>20</v>
      </c>
      <c r="B28" s="5" t="str">
        <f>LEFT(Clean_Data!$A28,4)</f>
        <v>2011</v>
      </c>
      <c r="C28" s="5" t="s">
        <v>132</v>
      </c>
      <c r="D28" s="5" t="str">
        <f>IF(ISNUMBER(SEARCH("Final",Clean_Data!$C28)),"Final",
IF(ISNUMBER(SEARCH("Semi",Clean_Data!$C28)),"Semi-Final",
IF(ISNUMBER(SEARCH("Elimination",Clean_Data!$C28)),"Eliminator",
"League")))</f>
        <v>League</v>
      </c>
      <c r="E28" s="6" t="s">
        <v>133</v>
      </c>
      <c r="F28" s="5" t="s">
        <v>41</v>
      </c>
      <c r="G28" s="5">
        <v>144</v>
      </c>
      <c r="H28" s="5">
        <v>9</v>
      </c>
      <c r="I28" s="5" t="s">
        <v>24</v>
      </c>
      <c r="J28" s="5">
        <v>130</v>
      </c>
      <c r="K28" s="5">
        <v>7</v>
      </c>
      <c r="L28" s="5" t="s">
        <v>134</v>
      </c>
      <c r="M28" s="5" t="s">
        <v>24</v>
      </c>
      <c r="N28" s="5" t="s">
        <v>26</v>
      </c>
      <c r="O28" s="5" t="s">
        <v>48</v>
      </c>
      <c r="P28" s="5" t="str">
        <f>IF(Clean_Data!$G28&gt;Clean_Data!$J28,Clean_Data!$F28,Clean_Data!$I28)</f>
        <v>Duronto Rajshahi</v>
      </c>
      <c r="Q28" s="5" t="s">
        <v>28</v>
      </c>
      <c r="R28" s="5" t="s">
        <v>29</v>
      </c>
      <c r="S28" s="5">
        <v>0</v>
      </c>
      <c r="T28" s="5">
        <v>14</v>
      </c>
      <c r="U28" s="5" t="s">
        <v>135</v>
      </c>
      <c r="V28" s="5" t="str">
        <f>IF(Clean_Data!$T28&gt;0,"Runs","Wickets")</f>
        <v>Runs</v>
      </c>
      <c r="W28" s="5">
        <f>IF(Clean_Data!$T28&gt;0,Clean_Data!$T28,Clean_Data!$S28)</f>
        <v>14</v>
      </c>
      <c r="X28" s="5" t="str">
        <f>IF(Clean_Data!$W28&lt;=10,"Close Match","Normal")</f>
        <v>Normal</v>
      </c>
      <c r="Y28" s="5">
        <f>Clean_Data!$G28+Clean_Data!$J28</f>
        <v>274</v>
      </c>
      <c r="Z28" s="5" t="str">
        <f>IF(Clean_Data!$Y28&gt;=170,"170+ Match","Below 170")</f>
        <v>170+ Match</v>
      </c>
      <c r="AA28" s="5" t="s">
        <v>57</v>
      </c>
      <c r="AB28" s="17" t="s">
        <v>44</v>
      </c>
    </row>
    <row r="29" spans="1:28" x14ac:dyDescent="0.3">
      <c r="A29" s="18" t="s">
        <v>73</v>
      </c>
      <c r="B29" s="19" t="str">
        <f>LEFT(Clean_Data!$A29,4)</f>
        <v>2012</v>
      </c>
      <c r="C29" s="19" t="s">
        <v>136</v>
      </c>
      <c r="D29" s="19" t="str">
        <f>IF(ISNUMBER(SEARCH("Final",Clean_Data!$C29)),"Final",
IF(ISNUMBER(SEARCH("Semi",Clean_Data!$C29)),"Semi-Final",
IF(ISNUMBER(SEARCH("Elimination",Clean_Data!$C29)),"Eliminator",
"League")))</f>
        <v>League</v>
      </c>
      <c r="E29" s="20" t="s">
        <v>137</v>
      </c>
      <c r="F29" s="19" t="s">
        <v>24</v>
      </c>
      <c r="G29" s="19">
        <v>114</v>
      </c>
      <c r="H29" s="19">
        <v>10</v>
      </c>
      <c r="I29" s="19" t="s">
        <v>23</v>
      </c>
      <c r="J29" s="19">
        <v>117</v>
      </c>
      <c r="K29" s="19">
        <v>3</v>
      </c>
      <c r="L29" s="19" t="s">
        <v>54</v>
      </c>
      <c r="M29" s="19" t="s">
        <v>24</v>
      </c>
      <c r="N29" s="19" t="s">
        <v>37</v>
      </c>
      <c r="O29" s="19" t="s">
        <v>43</v>
      </c>
      <c r="P29" s="19" t="str">
        <f>IF(Clean_Data!$G29&gt;Clean_Data!$J29,Clean_Data!$F29,Clean_Data!$I29)</f>
        <v>Barisal Burners</v>
      </c>
      <c r="Q29" s="19" t="s">
        <v>28</v>
      </c>
      <c r="R29" s="19" t="s">
        <v>29</v>
      </c>
      <c r="S29" s="19">
        <v>7</v>
      </c>
      <c r="T29" s="19">
        <v>0</v>
      </c>
      <c r="U29" s="19" t="s">
        <v>118</v>
      </c>
      <c r="V29" s="19" t="str">
        <f>IF(Clean_Data!$T29&gt;0,"Runs","Wickets")</f>
        <v>Wickets</v>
      </c>
      <c r="W29" s="19">
        <f>IF(Clean_Data!$T29&gt;0,Clean_Data!$T29,Clean_Data!$S29)</f>
        <v>7</v>
      </c>
      <c r="X29" s="19" t="str">
        <f>IF(Clean_Data!$W29&lt;=10,"Close Match","Normal")</f>
        <v>Close Match</v>
      </c>
      <c r="Y29" s="19">
        <f>Clean_Data!$G29+Clean_Data!$J29</f>
        <v>231</v>
      </c>
      <c r="Z29" s="19" t="str">
        <f>IF(Clean_Data!$Y29&gt;=170,"170+ Match","Below 170")</f>
        <v>170+ Match</v>
      </c>
      <c r="AA29" s="19" t="s">
        <v>32</v>
      </c>
      <c r="AB29" s="21" t="s">
        <v>77</v>
      </c>
    </row>
    <row r="30" spans="1:28" x14ac:dyDescent="0.3">
      <c r="A30" s="16" t="s">
        <v>20</v>
      </c>
      <c r="B30" s="5" t="str">
        <f>LEFT(Clean_Data!$A30,4)</f>
        <v>2011</v>
      </c>
      <c r="C30" s="5" t="s">
        <v>138</v>
      </c>
      <c r="D30" s="5" t="str">
        <f>IF(ISNUMBER(SEARCH("Final",Clean_Data!$C30)),"Final",
IF(ISNUMBER(SEARCH("Semi",Clean_Data!$C30)),"Semi-Final",
IF(ISNUMBER(SEARCH("Elimination",Clean_Data!$C30)),"Eliminator",
"League")))</f>
        <v>League</v>
      </c>
      <c r="E30" s="6" t="s">
        <v>133</v>
      </c>
      <c r="F30" s="5" t="s">
        <v>23</v>
      </c>
      <c r="G30" s="5">
        <v>125</v>
      </c>
      <c r="H30" s="5">
        <v>6</v>
      </c>
      <c r="I30" s="5" t="s">
        <v>53</v>
      </c>
      <c r="J30" s="5">
        <v>126</v>
      </c>
      <c r="K30" s="5">
        <v>2</v>
      </c>
      <c r="L30" s="5" t="s">
        <v>139</v>
      </c>
      <c r="M30" s="5" t="s">
        <v>53</v>
      </c>
      <c r="N30" s="5" t="s">
        <v>26</v>
      </c>
      <c r="O30" s="5" t="s">
        <v>80</v>
      </c>
      <c r="P30" s="5" t="str">
        <f>IF(Clean_Data!$G30&gt;Clean_Data!$J30,Clean_Data!$F30,Clean_Data!$I30)</f>
        <v>Chittagong Kings</v>
      </c>
      <c r="Q30" s="5" t="s">
        <v>28</v>
      </c>
      <c r="R30" s="5" t="s">
        <v>29</v>
      </c>
      <c r="S30" s="5">
        <v>8</v>
      </c>
      <c r="T30" s="5">
        <v>0</v>
      </c>
      <c r="U30" s="5" t="s">
        <v>30</v>
      </c>
      <c r="V30" s="5" t="str">
        <f>IF(Clean_Data!$T30&gt;0,"Runs","Wickets")</f>
        <v>Wickets</v>
      </c>
      <c r="W30" s="5">
        <f>IF(Clean_Data!$T30&gt;0,Clean_Data!$T30,Clean_Data!$S30)</f>
        <v>8</v>
      </c>
      <c r="X30" s="5" t="str">
        <f>IF(Clean_Data!$W30&lt;=10,"Close Match","Normal")</f>
        <v>Close Match</v>
      </c>
      <c r="Y30" s="5">
        <f>Clean_Data!$G30+Clean_Data!$J30</f>
        <v>251</v>
      </c>
      <c r="Z30" s="5" t="str">
        <f>IF(Clean_Data!$Y30&gt;=170,"170+ Match","Below 170")</f>
        <v>170+ Match</v>
      </c>
      <c r="AA30" s="5" t="s">
        <v>31</v>
      </c>
      <c r="AB30" s="17" t="s">
        <v>32</v>
      </c>
    </row>
    <row r="31" spans="1:28" x14ac:dyDescent="0.3">
      <c r="A31" s="18" t="s">
        <v>140</v>
      </c>
      <c r="B31" s="19" t="str">
        <f>LEFT(Clean_Data!$A31,4)</f>
        <v>2015</v>
      </c>
      <c r="C31" s="19" t="s">
        <v>21</v>
      </c>
      <c r="D31" s="19" t="str">
        <f>IF(ISNUMBER(SEARCH("Final",Clean_Data!$C31)),"Final",
IF(ISNUMBER(SEARCH("Semi",Clean_Data!$C31)),"Semi-Final",
IF(ISNUMBER(SEARCH("Elimination",Clean_Data!$C31)),"Eliminator",
"League")))</f>
        <v>Final</v>
      </c>
      <c r="E31" s="20" t="s">
        <v>141</v>
      </c>
      <c r="F31" s="19" t="s">
        <v>142</v>
      </c>
      <c r="G31" s="19">
        <v>156</v>
      </c>
      <c r="H31" s="19">
        <v>4</v>
      </c>
      <c r="I31" s="19" t="s">
        <v>143</v>
      </c>
      <c r="J31" s="19">
        <v>157</v>
      </c>
      <c r="K31" s="19">
        <v>7</v>
      </c>
      <c r="L31" s="19" t="s">
        <v>144</v>
      </c>
      <c r="M31" s="19" t="s">
        <v>143</v>
      </c>
      <c r="N31" s="19" t="s">
        <v>26</v>
      </c>
      <c r="O31" s="19" t="s">
        <v>145</v>
      </c>
      <c r="P31" s="19" t="str">
        <f>IF(Clean_Data!$G31&gt;Clean_Data!$J31,Clean_Data!$F31,Clean_Data!$I31)</f>
        <v>Comilla Victorians</v>
      </c>
      <c r="Q31" s="19" t="s">
        <v>28</v>
      </c>
      <c r="R31" s="19" t="s">
        <v>29</v>
      </c>
      <c r="S31" s="19">
        <v>3</v>
      </c>
      <c r="T31" s="19">
        <v>0</v>
      </c>
      <c r="U31" s="19" t="s">
        <v>49</v>
      </c>
      <c r="V31" s="19" t="str">
        <f>IF(Clean_Data!$T31&gt;0,"Runs","Wickets")</f>
        <v>Wickets</v>
      </c>
      <c r="W31" s="19">
        <f>IF(Clean_Data!$T31&gt;0,Clean_Data!$T31,Clean_Data!$S31)</f>
        <v>3</v>
      </c>
      <c r="X31" s="19" t="str">
        <f>IF(Clean_Data!$W31&lt;=10,"Close Match","Normal")</f>
        <v>Close Match</v>
      </c>
      <c r="Y31" s="19">
        <f>Clean_Data!$G31+Clean_Data!$J31</f>
        <v>313</v>
      </c>
      <c r="Z31" s="19" t="str">
        <f>IF(Clean_Data!$Y31&gt;=170,"170+ Match","Below 170")</f>
        <v>170+ Match</v>
      </c>
      <c r="AA31" s="19" t="s">
        <v>146</v>
      </c>
      <c r="AB31" s="21" t="s">
        <v>147</v>
      </c>
    </row>
    <row r="32" spans="1:28" x14ac:dyDescent="0.3">
      <c r="A32" s="16" t="s">
        <v>20</v>
      </c>
      <c r="B32" s="5" t="str">
        <f>LEFT(Clean_Data!$A32,4)</f>
        <v>2011</v>
      </c>
      <c r="C32" s="5" t="s">
        <v>148</v>
      </c>
      <c r="D32" s="5" t="str">
        <f>IF(ISNUMBER(SEARCH("Final",Clean_Data!$C32)),"Final",
IF(ISNUMBER(SEARCH("Semi",Clean_Data!$C32)),"Semi-Final",
IF(ISNUMBER(SEARCH("Elimination",Clean_Data!$C32)),"Eliminator",
"League")))</f>
        <v>League</v>
      </c>
      <c r="E32" s="6" t="s">
        <v>149</v>
      </c>
      <c r="F32" s="5" t="s">
        <v>35</v>
      </c>
      <c r="G32" s="5">
        <v>145</v>
      </c>
      <c r="H32" s="5">
        <v>7</v>
      </c>
      <c r="I32" s="5" t="s">
        <v>41</v>
      </c>
      <c r="J32" s="5">
        <v>146</v>
      </c>
      <c r="K32" s="5">
        <v>4</v>
      </c>
      <c r="L32" s="5" t="s">
        <v>150</v>
      </c>
      <c r="M32" s="5" t="s">
        <v>35</v>
      </c>
      <c r="N32" s="5" t="s">
        <v>37</v>
      </c>
      <c r="O32" s="5" t="s">
        <v>48</v>
      </c>
      <c r="P32" s="5" t="str">
        <f>IF(Clean_Data!$G32&gt;Clean_Data!$J32,Clean_Data!$F32,Clean_Data!$I32)</f>
        <v>Duronto Rajshahi</v>
      </c>
      <c r="Q32" s="5" t="s">
        <v>28</v>
      </c>
      <c r="R32" s="5" t="s">
        <v>29</v>
      </c>
      <c r="S32" s="5">
        <v>6</v>
      </c>
      <c r="T32" s="5">
        <v>0</v>
      </c>
      <c r="U32" s="5" t="s">
        <v>151</v>
      </c>
      <c r="V32" s="5" t="str">
        <f>IF(Clean_Data!$T32&gt;0,"Runs","Wickets")</f>
        <v>Wickets</v>
      </c>
      <c r="W32" s="5">
        <f>IF(Clean_Data!$T32&gt;0,Clean_Data!$T32,Clean_Data!$S32)</f>
        <v>6</v>
      </c>
      <c r="X32" s="5" t="str">
        <f>IF(Clean_Data!$W32&lt;=10,"Close Match","Normal")</f>
        <v>Close Match</v>
      </c>
      <c r="Y32" s="5">
        <f>Clean_Data!$G32+Clean_Data!$J32</f>
        <v>291</v>
      </c>
      <c r="Z32" s="5" t="str">
        <f>IF(Clean_Data!$Y32&gt;=170,"170+ Match","Below 170")</f>
        <v>170+ Match</v>
      </c>
      <c r="AA32" s="5" t="s">
        <v>31</v>
      </c>
      <c r="AB32" s="17" t="s">
        <v>66</v>
      </c>
    </row>
    <row r="33" spans="1:28" x14ac:dyDescent="0.3">
      <c r="A33" s="18" t="s">
        <v>140</v>
      </c>
      <c r="B33" s="19" t="str">
        <f>LEFT(Clean_Data!$A33,4)</f>
        <v>2015</v>
      </c>
      <c r="C33" s="19" t="s">
        <v>152</v>
      </c>
      <c r="D33" s="19" t="str">
        <f>IF(ISNUMBER(SEARCH("Final",Clean_Data!$C33)),"Final",
IF(ISNUMBER(SEARCH("Semi",Clean_Data!$C33)),"Semi-Final",
IF(ISNUMBER(SEARCH("Elimination",Clean_Data!$C33)),"Eliminator",
"League")))</f>
        <v>League</v>
      </c>
      <c r="E33" s="20" t="s">
        <v>153</v>
      </c>
      <c r="F33" s="19" t="s">
        <v>113</v>
      </c>
      <c r="G33" s="19">
        <v>160</v>
      </c>
      <c r="H33" s="19">
        <v>9</v>
      </c>
      <c r="I33" s="19" t="s">
        <v>142</v>
      </c>
      <c r="J33" s="19">
        <v>163</v>
      </c>
      <c r="K33" s="19">
        <v>5</v>
      </c>
      <c r="L33" s="19" t="s">
        <v>154</v>
      </c>
      <c r="M33" s="19" t="s">
        <v>113</v>
      </c>
      <c r="N33" s="19" t="s">
        <v>37</v>
      </c>
      <c r="O33" s="19" t="s">
        <v>155</v>
      </c>
      <c r="P33" s="19" t="str">
        <f>IF(Clean_Data!$G33&gt;Clean_Data!$J33,Clean_Data!$F33,Clean_Data!$I33)</f>
        <v>Barisal Bulls</v>
      </c>
      <c r="Q33" s="19" t="s">
        <v>28</v>
      </c>
      <c r="R33" s="19" t="s">
        <v>29</v>
      </c>
      <c r="S33" s="19">
        <v>5</v>
      </c>
      <c r="T33" s="19">
        <v>0</v>
      </c>
      <c r="U33" s="19" t="s">
        <v>55</v>
      </c>
      <c r="V33" s="19" t="str">
        <f>IF(Clean_Data!$T33&gt;0,"Runs","Wickets")</f>
        <v>Wickets</v>
      </c>
      <c r="W33" s="19">
        <f>IF(Clean_Data!$T33&gt;0,Clean_Data!$T33,Clean_Data!$S33)</f>
        <v>5</v>
      </c>
      <c r="X33" s="19" t="str">
        <f>IF(Clean_Data!$W33&lt;=10,"Close Match","Normal")</f>
        <v>Close Match</v>
      </c>
      <c r="Y33" s="19">
        <f>Clean_Data!$G33+Clean_Data!$J33</f>
        <v>323</v>
      </c>
      <c r="Z33" s="19" t="str">
        <f>IF(Clean_Data!$Y33&gt;=170,"170+ Match","Below 170")</f>
        <v>170+ Match</v>
      </c>
      <c r="AA33" s="19" t="s">
        <v>32</v>
      </c>
      <c r="AB33" s="21" t="s">
        <v>147</v>
      </c>
    </row>
    <row r="34" spans="1:28" x14ac:dyDescent="0.3">
      <c r="A34" s="16" t="s">
        <v>20</v>
      </c>
      <c r="B34" s="5" t="str">
        <f>LEFT(Clean_Data!$A34,4)</f>
        <v>2011</v>
      </c>
      <c r="C34" s="5" t="s">
        <v>156</v>
      </c>
      <c r="D34" s="5" t="str">
        <f>IF(ISNUMBER(SEARCH("Final",Clean_Data!$C34)),"Final",
IF(ISNUMBER(SEARCH("Semi",Clean_Data!$C34)),"Semi-Final",
IF(ISNUMBER(SEARCH("Elimination",Clean_Data!$C34)),"Eliminator",
"League")))</f>
        <v>League</v>
      </c>
      <c r="E34" s="6" t="s">
        <v>149</v>
      </c>
      <c r="F34" s="5" t="s">
        <v>62</v>
      </c>
      <c r="G34" s="5">
        <v>152</v>
      </c>
      <c r="H34" s="5">
        <v>4</v>
      </c>
      <c r="I34" s="5" t="s">
        <v>53</v>
      </c>
      <c r="J34" s="5">
        <v>154</v>
      </c>
      <c r="K34" s="5">
        <v>3</v>
      </c>
      <c r="L34" s="5" t="s">
        <v>157</v>
      </c>
      <c r="M34" s="5" t="s">
        <v>62</v>
      </c>
      <c r="N34" s="5" t="s">
        <v>37</v>
      </c>
      <c r="O34" s="5" t="s">
        <v>80</v>
      </c>
      <c r="P34" s="5" t="str">
        <f>IF(Clean_Data!$G34&gt;Clean_Data!$J34,Clean_Data!$F34,Clean_Data!$I34)</f>
        <v>Chittagong Kings</v>
      </c>
      <c r="Q34" s="5" t="s">
        <v>28</v>
      </c>
      <c r="R34" s="5" t="s">
        <v>29</v>
      </c>
      <c r="S34" s="5">
        <v>7</v>
      </c>
      <c r="T34" s="5">
        <v>0</v>
      </c>
      <c r="U34" s="5" t="s">
        <v>118</v>
      </c>
      <c r="V34" s="5" t="str">
        <f>IF(Clean_Data!$T34&gt;0,"Runs","Wickets")</f>
        <v>Wickets</v>
      </c>
      <c r="W34" s="5">
        <f>IF(Clean_Data!$T34&gt;0,Clean_Data!$T34,Clean_Data!$S34)</f>
        <v>7</v>
      </c>
      <c r="X34" s="5" t="str">
        <f>IF(Clean_Data!$W34&lt;=10,"Close Match","Normal")</f>
        <v>Close Match</v>
      </c>
      <c r="Y34" s="5">
        <f>Clean_Data!$G34+Clean_Data!$J34</f>
        <v>306</v>
      </c>
      <c r="Z34" s="5" t="str">
        <f>IF(Clean_Data!$Y34&gt;=170,"170+ Match","Below 170")</f>
        <v>170+ Match</v>
      </c>
      <c r="AA34" s="5" t="s">
        <v>32</v>
      </c>
      <c r="AB34" s="17" t="s">
        <v>57</v>
      </c>
    </row>
    <row r="35" spans="1:28" x14ac:dyDescent="0.3">
      <c r="A35" s="18" t="s">
        <v>140</v>
      </c>
      <c r="B35" s="19" t="str">
        <f>LEFT(Clean_Data!$A35,4)</f>
        <v>2015</v>
      </c>
      <c r="C35" s="19" t="s">
        <v>158</v>
      </c>
      <c r="D35" s="19" t="str">
        <f>IF(ISNUMBER(SEARCH("Final",Clean_Data!$C35)),"Final",
IF(ISNUMBER(SEARCH("Semi",Clean_Data!$C35)),"Semi-Final",
IF(ISNUMBER(SEARCH("Elimination",Clean_Data!$C35)),"Eliminator",
"League")))</f>
        <v>League</v>
      </c>
      <c r="E35" s="20" t="s">
        <v>159</v>
      </c>
      <c r="F35" s="19" t="s">
        <v>142</v>
      </c>
      <c r="G35" s="19">
        <v>135</v>
      </c>
      <c r="H35" s="19">
        <v>5</v>
      </c>
      <c r="I35" s="19" t="s">
        <v>160</v>
      </c>
      <c r="J35" s="19">
        <v>117</v>
      </c>
      <c r="K35" s="19">
        <v>8</v>
      </c>
      <c r="L35" s="19" t="s">
        <v>161</v>
      </c>
      <c r="M35" s="19" t="s">
        <v>160</v>
      </c>
      <c r="N35" s="19" t="s">
        <v>26</v>
      </c>
      <c r="O35" s="19" t="s">
        <v>155</v>
      </c>
      <c r="P35" s="19" t="str">
        <f>IF(Clean_Data!$G35&gt;Clean_Data!$J35,Clean_Data!$F35,Clean_Data!$I35)</f>
        <v>Barisal Bulls</v>
      </c>
      <c r="Q35" s="19" t="s">
        <v>28</v>
      </c>
      <c r="R35" s="19" t="s">
        <v>29</v>
      </c>
      <c r="S35" s="19">
        <v>0</v>
      </c>
      <c r="T35" s="19">
        <v>18</v>
      </c>
      <c r="U35" s="19" t="s">
        <v>162</v>
      </c>
      <c r="V35" s="19" t="str">
        <f>IF(Clean_Data!$T35&gt;0,"Runs","Wickets")</f>
        <v>Runs</v>
      </c>
      <c r="W35" s="19">
        <f>IF(Clean_Data!$T35&gt;0,Clean_Data!$T35,Clean_Data!$S35)</f>
        <v>18</v>
      </c>
      <c r="X35" s="19" t="str">
        <f>IF(Clean_Data!$W35&lt;=10,"Close Match","Normal")</f>
        <v>Normal</v>
      </c>
      <c r="Y35" s="19">
        <f>Clean_Data!$G35+Clean_Data!$J35</f>
        <v>252</v>
      </c>
      <c r="Z35" s="19" t="str">
        <f>IF(Clean_Data!$Y35&gt;=170,"170+ Match","Below 170")</f>
        <v>170+ Match</v>
      </c>
      <c r="AA35" s="19" t="s">
        <v>146</v>
      </c>
      <c r="AB35" s="21" t="s">
        <v>56</v>
      </c>
    </row>
    <row r="36" spans="1:28" x14ac:dyDescent="0.3">
      <c r="A36" s="16" t="s">
        <v>20</v>
      </c>
      <c r="B36" s="5" t="str">
        <f>LEFT(Clean_Data!$A36,4)</f>
        <v>2011</v>
      </c>
      <c r="C36" s="5" t="s">
        <v>163</v>
      </c>
      <c r="D36" s="5" t="str">
        <f>IF(ISNUMBER(SEARCH("Final",Clean_Data!$C36)),"Final",
IF(ISNUMBER(SEARCH("Semi",Clean_Data!$C36)),"Semi-Final",
IF(ISNUMBER(SEARCH("Elimination",Clean_Data!$C36)),"Eliminator",
"League")))</f>
        <v>League</v>
      </c>
      <c r="E36" s="6" t="s">
        <v>164</v>
      </c>
      <c r="F36" s="5" t="s">
        <v>24</v>
      </c>
      <c r="G36" s="5">
        <v>208</v>
      </c>
      <c r="H36" s="5">
        <v>5</v>
      </c>
      <c r="I36" s="5" t="s">
        <v>23</v>
      </c>
      <c r="J36" s="5">
        <v>187</v>
      </c>
      <c r="K36" s="5">
        <v>5</v>
      </c>
      <c r="L36" s="5" t="s">
        <v>36</v>
      </c>
      <c r="M36" s="5" t="s">
        <v>23</v>
      </c>
      <c r="N36" s="5" t="s">
        <v>26</v>
      </c>
      <c r="O36" s="5" t="s">
        <v>27</v>
      </c>
      <c r="P36" s="5" t="str">
        <f>IF(Clean_Data!$G36&gt;Clean_Data!$J36,Clean_Data!$F36,Clean_Data!$I36)</f>
        <v>Dhaka Gladiators</v>
      </c>
      <c r="Q36" s="5" t="s">
        <v>28</v>
      </c>
      <c r="R36" s="5" t="s">
        <v>29</v>
      </c>
      <c r="S36" s="5">
        <v>0</v>
      </c>
      <c r="T36" s="5">
        <v>21</v>
      </c>
      <c r="U36" s="5" t="s">
        <v>165</v>
      </c>
      <c r="V36" s="5" t="str">
        <f>IF(Clean_Data!$T36&gt;0,"Runs","Wickets")</f>
        <v>Runs</v>
      </c>
      <c r="W36" s="5">
        <f>IF(Clean_Data!$T36&gt;0,Clean_Data!$T36,Clean_Data!$S36)</f>
        <v>21</v>
      </c>
      <c r="X36" s="5" t="str">
        <f>IF(Clean_Data!$W36&lt;=10,"Close Match","Normal")</f>
        <v>Normal</v>
      </c>
      <c r="Y36" s="5">
        <f>Clean_Data!$G36+Clean_Data!$J36</f>
        <v>395</v>
      </c>
      <c r="Z36" s="5" t="str">
        <f>IF(Clean_Data!$Y36&gt;=170,"170+ Match","Below 170")</f>
        <v>170+ Match</v>
      </c>
      <c r="AA36" s="5" t="s">
        <v>57</v>
      </c>
      <c r="AB36" s="17" t="s">
        <v>44</v>
      </c>
    </row>
    <row r="37" spans="1:28" x14ac:dyDescent="0.3">
      <c r="A37" s="18" t="s">
        <v>140</v>
      </c>
      <c r="B37" s="19" t="str">
        <f>LEFT(Clean_Data!$A37,4)</f>
        <v>2015</v>
      </c>
      <c r="C37" s="19" t="s">
        <v>152</v>
      </c>
      <c r="D37" s="19" t="str">
        <f>IF(ISNUMBER(SEARCH("Final",Clean_Data!$C37)),"Final",
IF(ISNUMBER(SEARCH("Semi",Clean_Data!$C37)),"Semi-Final",
IF(ISNUMBER(SEARCH("Elimination",Clean_Data!$C37)),"Eliminator",
"League")))</f>
        <v>League</v>
      </c>
      <c r="E37" s="20" t="s">
        <v>159</v>
      </c>
      <c r="F37" s="19" t="s">
        <v>143</v>
      </c>
      <c r="G37" s="19">
        <v>163</v>
      </c>
      <c r="H37" s="19">
        <v>7</v>
      </c>
      <c r="I37" s="19" t="s">
        <v>113</v>
      </c>
      <c r="J37" s="19">
        <v>91</v>
      </c>
      <c r="K37" s="19">
        <v>10</v>
      </c>
      <c r="L37" s="19" t="s">
        <v>166</v>
      </c>
      <c r="M37" s="19" t="s">
        <v>113</v>
      </c>
      <c r="N37" s="19" t="s">
        <v>26</v>
      </c>
      <c r="O37" s="19" t="s">
        <v>145</v>
      </c>
      <c r="P37" s="19" t="str">
        <f>IF(Clean_Data!$G37&gt;Clean_Data!$J37,Clean_Data!$F37,Clean_Data!$I37)</f>
        <v>Comilla Victorians</v>
      </c>
      <c r="Q37" s="19" t="s">
        <v>28</v>
      </c>
      <c r="R37" s="19" t="s">
        <v>29</v>
      </c>
      <c r="S37" s="19">
        <v>0</v>
      </c>
      <c r="T37" s="19">
        <v>72</v>
      </c>
      <c r="U37" s="19" t="s">
        <v>167</v>
      </c>
      <c r="V37" s="19" t="str">
        <f>IF(Clean_Data!$T37&gt;0,"Runs","Wickets")</f>
        <v>Runs</v>
      </c>
      <c r="W37" s="19">
        <f>IF(Clean_Data!$T37&gt;0,Clean_Data!$T37,Clean_Data!$S37)</f>
        <v>72</v>
      </c>
      <c r="X37" s="19" t="str">
        <f>IF(Clean_Data!$W37&lt;=10,"Close Match","Normal")</f>
        <v>Normal</v>
      </c>
      <c r="Y37" s="19">
        <f>Clean_Data!$G37+Clean_Data!$J37</f>
        <v>254</v>
      </c>
      <c r="Z37" s="19" t="str">
        <f>IF(Clean_Data!$Y37&gt;=170,"170+ Match","Below 170")</f>
        <v>170+ Match</v>
      </c>
      <c r="AA37" s="19" t="s">
        <v>32</v>
      </c>
      <c r="AB37" s="21" t="s">
        <v>147</v>
      </c>
    </row>
    <row r="38" spans="1:28" x14ac:dyDescent="0.3">
      <c r="A38" s="16" t="s">
        <v>20</v>
      </c>
      <c r="B38" s="5" t="str">
        <f>LEFT(Clean_Data!$A38,4)</f>
        <v>2011</v>
      </c>
      <c r="C38" s="5" t="s">
        <v>168</v>
      </c>
      <c r="D38" s="5" t="str">
        <f>IF(ISNUMBER(SEARCH("Final",Clean_Data!$C38)),"Final",
IF(ISNUMBER(SEARCH("Semi",Clean_Data!$C38)),"Semi-Final",
IF(ISNUMBER(SEARCH("Elimination",Clean_Data!$C38)),"Eliminator",
"League")))</f>
        <v>League</v>
      </c>
      <c r="E38" s="6" t="s">
        <v>164</v>
      </c>
      <c r="F38" s="5" t="s">
        <v>41</v>
      </c>
      <c r="G38" s="5">
        <v>171</v>
      </c>
      <c r="H38" s="5">
        <v>8</v>
      </c>
      <c r="I38" s="5" t="s">
        <v>62</v>
      </c>
      <c r="J38" s="5">
        <v>155</v>
      </c>
      <c r="K38" s="5">
        <v>4</v>
      </c>
      <c r="L38" s="5" t="s">
        <v>134</v>
      </c>
      <c r="M38" s="5" t="s">
        <v>41</v>
      </c>
      <c r="N38" s="5" t="s">
        <v>37</v>
      </c>
      <c r="O38" s="5" t="s">
        <v>48</v>
      </c>
      <c r="P38" s="5" t="str">
        <f>IF(Clean_Data!$G38&gt;Clean_Data!$J38,Clean_Data!$F38,Clean_Data!$I38)</f>
        <v>Duronto Rajshahi</v>
      </c>
      <c r="Q38" s="5" t="s">
        <v>28</v>
      </c>
      <c r="R38" s="5" t="s">
        <v>29</v>
      </c>
      <c r="S38" s="5">
        <v>0</v>
      </c>
      <c r="T38" s="5">
        <v>16</v>
      </c>
      <c r="U38" s="5" t="s">
        <v>169</v>
      </c>
      <c r="V38" s="5" t="str">
        <f>IF(Clean_Data!$T38&gt;0,"Runs","Wickets")</f>
        <v>Runs</v>
      </c>
      <c r="W38" s="5">
        <f>IF(Clean_Data!$T38&gt;0,Clean_Data!$T38,Clean_Data!$S38)</f>
        <v>16</v>
      </c>
      <c r="X38" s="5" t="str">
        <f>IF(Clean_Data!$W38&lt;=10,"Close Match","Normal")</f>
        <v>Normal</v>
      </c>
      <c r="Y38" s="5">
        <f>Clean_Data!$G38+Clean_Data!$J38</f>
        <v>326</v>
      </c>
      <c r="Z38" s="5" t="str">
        <f>IF(Clean_Data!$Y38&gt;=170,"170+ Match","Below 170")</f>
        <v>170+ Match</v>
      </c>
      <c r="AA38" s="5" t="s">
        <v>31</v>
      </c>
      <c r="AB38" s="17" t="s">
        <v>32</v>
      </c>
    </row>
    <row r="39" spans="1:28" x14ac:dyDescent="0.3">
      <c r="A39" s="18" t="s">
        <v>20</v>
      </c>
      <c r="B39" s="19" t="str">
        <f>LEFT(Clean_Data!$A39,4)</f>
        <v>2011</v>
      </c>
      <c r="C39" s="19" t="s">
        <v>170</v>
      </c>
      <c r="D39" s="19" t="str">
        <f>IF(ISNUMBER(SEARCH("Final",Clean_Data!$C39)),"Final",
IF(ISNUMBER(SEARCH("Semi",Clean_Data!$C39)),"Semi-Final",
IF(ISNUMBER(SEARCH("Elimination",Clean_Data!$C39)),"Eliminator",
"League")))</f>
        <v>League</v>
      </c>
      <c r="E39" s="20" t="s">
        <v>171</v>
      </c>
      <c r="F39" s="19" t="s">
        <v>53</v>
      </c>
      <c r="G39" s="19">
        <v>153</v>
      </c>
      <c r="H39" s="19">
        <v>6</v>
      </c>
      <c r="I39" s="19" t="s">
        <v>24</v>
      </c>
      <c r="J39" s="19">
        <v>156</v>
      </c>
      <c r="K39" s="19">
        <v>4</v>
      </c>
      <c r="L39" s="19" t="s">
        <v>172</v>
      </c>
      <c r="M39" s="19" t="s">
        <v>53</v>
      </c>
      <c r="N39" s="19" t="s">
        <v>37</v>
      </c>
      <c r="O39" s="19" t="s">
        <v>27</v>
      </c>
      <c r="P39" s="19" t="str">
        <f>IF(Clean_Data!$G39&gt;Clean_Data!$J39,Clean_Data!$F39,Clean_Data!$I39)</f>
        <v>Dhaka Gladiators</v>
      </c>
      <c r="Q39" s="19" t="s">
        <v>28</v>
      </c>
      <c r="R39" s="19" t="s">
        <v>29</v>
      </c>
      <c r="S39" s="19">
        <v>6</v>
      </c>
      <c r="T39" s="19">
        <v>0</v>
      </c>
      <c r="U39" s="19" t="s">
        <v>151</v>
      </c>
      <c r="V39" s="19" t="str">
        <f>IF(Clean_Data!$T39&gt;0,"Runs","Wickets")</f>
        <v>Wickets</v>
      </c>
      <c r="W39" s="19">
        <f>IF(Clean_Data!$T39&gt;0,Clean_Data!$T39,Clean_Data!$S39)</f>
        <v>6</v>
      </c>
      <c r="X39" s="19" t="str">
        <f>IF(Clean_Data!$W39&lt;=10,"Close Match","Normal")</f>
        <v>Close Match</v>
      </c>
      <c r="Y39" s="19">
        <f>Clean_Data!$G39+Clean_Data!$J39</f>
        <v>309</v>
      </c>
      <c r="Z39" s="19" t="str">
        <f>IF(Clean_Data!$Y39&gt;=170,"170+ Match","Below 170")</f>
        <v>170+ Match</v>
      </c>
      <c r="AA39" s="19" t="s">
        <v>31</v>
      </c>
      <c r="AB39" s="21" t="s">
        <v>44</v>
      </c>
    </row>
    <row r="40" spans="1:28" x14ac:dyDescent="0.3">
      <c r="A40" s="16" t="s">
        <v>140</v>
      </c>
      <c r="B40" s="5" t="str">
        <f>LEFT(Clean_Data!$A40,4)</f>
        <v>2015</v>
      </c>
      <c r="C40" s="5" t="s">
        <v>45</v>
      </c>
      <c r="D40" s="5" t="str">
        <f>IF(ISNUMBER(SEARCH("Final",Clean_Data!$C40)),"Final",
IF(ISNUMBER(SEARCH("Semi",Clean_Data!$C40)),"Semi-Final",
IF(ISNUMBER(SEARCH("Elimination",Clean_Data!$C40)),"Eliminator",
"League")))</f>
        <v>League</v>
      </c>
      <c r="E40" s="6" t="s">
        <v>173</v>
      </c>
      <c r="F40" s="5" t="s">
        <v>143</v>
      </c>
      <c r="G40" s="5">
        <v>150</v>
      </c>
      <c r="H40" s="5">
        <v>4</v>
      </c>
      <c r="I40" s="5" t="s">
        <v>174</v>
      </c>
      <c r="J40" s="5">
        <v>79</v>
      </c>
      <c r="K40" s="5">
        <v>10</v>
      </c>
      <c r="L40" s="5" t="s">
        <v>42</v>
      </c>
      <c r="M40" s="5" t="s">
        <v>174</v>
      </c>
      <c r="N40" s="5" t="s">
        <v>26</v>
      </c>
      <c r="O40" s="5" t="s">
        <v>145</v>
      </c>
      <c r="P40" s="5" t="str">
        <f>IF(Clean_Data!$G40&gt;Clean_Data!$J40,Clean_Data!$F40,Clean_Data!$I40)</f>
        <v>Comilla Victorians</v>
      </c>
      <c r="Q40" s="5" t="s">
        <v>28</v>
      </c>
      <c r="R40" s="5" t="s">
        <v>29</v>
      </c>
      <c r="S40" s="5">
        <v>0</v>
      </c>
      <c r="T40" s="5">
        <v>71</v>
      </c>
      <c r="U40" s="5" t="s">
        <v>175</v>
      </c>
      <c r="V40" s="5" t="str">
        <f>IF(Clean_Data!$T40&gt;0,"Runs","Wickets")</f>
        <v>Runs</v>
      </c>
      <c r="W40" s="5">
        <f>IF(Clean_Data!$T40&gt;0,Clean_Data!$T40,Clean_Data!$S40)</f>
        <v>71</v>
      </c>
      <c r="X40" s="5" t="str">
        <f>IF(Clean_Data!$W40&lt;=10,"Close Match","Normal")</f>
        <v>Normal</v>
      </c>
      <c r="Y40" s="5">
        <f>Clean_Data!$G40+Clean_Data!$J40</f>
        <v>229</v>
      </c>
      <c r="Z40" s="5" t="str">
        <f>IF(Clean_Data!$Y40&gt;=170,"170+ Match","Below 170")</f>
        <v>170+ Match</v>
      </c>
      <c r="AA40" s="5" t="s">
        <v>146</v>
      </c>
      <c r="AB40" s="17" t="s">
        <v>32</v>
      </c>
    </row>
    <row r="41" spans="1:28" x14ac:dyDescent="0.3">
      <c r="A41" s="18" t="s">
        <v>20</v>
      </c>
      <c r="B41" s="19" t="str">
        <f>LEFT(Clean_Data!$A41,4)</f>
        <v>2011</v>
      </c>
      <c r="C41" s="19" t="s">
        <v>176</v>
      </c>
      <c r="D41" s="19" t="str">
        <f>IF(ISNUMBER(SEARCH("Final",Clean_Data!$C41)),"Final",
IF(ISNUMBER(SEARCH("Semi",Clean_Data!$C41)),"Semi-Final",
IF(ISNUMBER(SEARCH("Elimination",Clean_Data!$C41)),"Eliminator",
"League")))</f>
        <v>League</v>
      </c>
      <c r="E41" s="20" t="s">
        <v>171</v>
      </c>
      <c r="F41" s="19" t="s">
        <v>23</v>
      </c>
      <c r="G41" s="19">
        <v>125</v>
      </c>
      <c r="H41" s="19">
        <v>10</v>
      </c>
      <c r="I41" s="19" t="s">
        <v>35</v>
      </c>
      <c r="J41" s="19">
        <v>131</v>
      </c>
      <c r="K41" s="19">
        <v>3</v>
      </c>
      <c r="L41" s="19" t="s">
        <v>177</v>
      </c>
      <c r="M41" s="19" t="s">
        <v>35</v>
      </c>
      <c r="N41" s="19" t="s">
        <v>26</v>
      </c>
      <c r="O41" s="19" t="s">
        <v>98</v>
      </c>
      <c r="P41" s="19" t="str">
        <f>IF(Clean_Data!$G41&gt;Clean_Data!$J41,Clean_Data!$F41,Clean_Data!$I41)</f>
        <v>Khulna Royal Bengals</v>
      </c>
      <c r="Q41" s="19" t="s">
        <v>28</v>
      </c>
      <c r="R41" s="19" t="s">
        <v>29</v>
      </c>
      <c r="S41" s="19">
        <v>7</v>
      </c>
      <c r="T41" s="19">
        <v>0</v>
      </c>
      <c r="U41" s="19" t="s">
        <v>118</v>
      </c>
      <c r="V41" s="19" t="str">
        <f>IF(Clean_Data!$T41&gt;0,"Runs","Wickets")</f>
        <v>Wickets</v>
      </c>
      <c r="W41" s="19">
        <f>IF(Clean_Data!$T41&gt;0,Clean_Data!$T41,Clean_Data!$S41)</f>
        <v>7</v>
      </c>
      <c r="X41" s="19" t="str">
        <f>IF(Clean_Data!$W41&lt;=10,"Close Match","Normal")</f>
        <v>Close Match</v>
      </c>
      <c r="Y41" s="19">
        <f>Clean_Data!$G41+Clean_Data!$J41</f>
        <v>256</v>
      </c>
      <c r="Z41" s="19" t="str">
        <f>IF(Clean_Data!$Y41&gt;=170,"170+ Match","Below 170")</f>
        <v>170+ Match</v>
      </c>
      <c r="AA41" s="19" t="s">
        <v>32</v>
      </c>
      <c r="AB41" s="21" t="s">
        <v>57</v>
      </c>
    </row>
    <row r="42" spans="1:28" x14ac:dyDescent="0.3">
      <c r="A42" s="16" t="s">
        <v>140</v>
      </c>
      <c r="B42" s="5" t="str">
        <f>LEFT(Clean_Data!$A42,4)</f>
        <v>2015</v>
      </c>
      <c r="C42" s="5" t="s">
        <v>51</v>
      </c>
      <c r="D42" s="5" t="str">
        <f>IF(ISNUMBER(SEARCH("Final",Clean_Data!$C42)),"Final",
IF(ISNUMBER(SEARCH("Semi",Clean_Data!$C42)),"Semi-Final",
IF(ISNUMBER(SEARCH("Elimination",Clean_Data!$C42)),"Eliminator",
"League")))</f>
        <v>League</v>
      </c>
      <c r="E42" s="6" t="s">
        <v>178</v>
      </c>
      <c r="F42" s="5" t="s">
        <v>179</v>
      </c>
      <c r="G42" s="5">
        <v>135</v>
      </c>
      <c r="H42" s="5">
        <v>7</v>
      </c>
      <c r="I42" s="5" t="s">
        <v>142</v>
      </c>
      <c r="J42" s="5">
        <v>141</v>
      </c>
      <c r="K42" s="5">
        <v>2</v>
      </c>
      <c r="L42" s="5" t="s">
        <v>102</v>
      </c>
      <c r="M42" s="5" t="s">
        <v>142</v>
      </c>
      <c r="N42" s="5" t="s">
        <v>26</v>
      </c>
      <c r="O42" s="5" t="s">
        <v>155</v>
      </c>
      <c r="P42" s="5" t="str">
        <f>IF(Clean_Data!$G42&gt;Clean_Data!$J42,Clean_Data!$F42,Clean_Data!$I42)</f>
        <v>Barisal Bulls</v>
      </c>
      <c r="Q42" s="5" t="s">
        <v>28</v>
      </c>
      <c r="R42" s="5" t="s">
        <v>29</v>
      </c>
      <c r="S42" s="5">
        <v>8</v>
      </c>
      <c r="T42" s="5">
        <v>0</v>
      </c>
      <c r="U42" s="5" t="s">
        <v>30</v>
      </c>
      <c r="V42" s="5" t="str">
        <f>IF(Clean_Data!$T42&gt;0,"Runs","Wickets")</f>
        <v>Wickets</v>
      </c>
      <c r="W42" s="5">
        <f>IF(Clean_Data!$T42&gt;0,Clean_Data!$T42,Clean_Data!$S42)</f>
        <v>8</v>
      </c>
      <c r="X42" s="5" t="str">
        <f>IF(Clean_Data!$W42&lt;=10,"Close Match","Normal")</f>
        <v>Close Match</v>
      </c>
      <c r="Y42" s="5">
        <f>Clean_Data!$G42+Clean_Data!$J42</f>
        <v>276</v>
      </c>
      <c r="Z42" s="5" t="str">
        <f>IF(Clean_Data!$Y42&gt;=170,"170+ Match","Below 170")</f>
        <v>170+ Match</v>
      </c>
      <c r="AA42" s="5" t="s">
        <v>146</v>
      </c>
      <c r="AB42" s="17" t="s">
        <v>56</v>
      </c>
    </row>
    <row r="43" spans="1:28" x14ac:dyDescent="0.3">
      <c r="A43" s="18" t="s">
        <v>20</v>
      </c>
      <c r="B43" s="19" t="str">
        <f>LEFT(Clean_Data!$A43,4)</f>
        <v>2011</v>
      </c>
      <c r="C43" s="19" t="s">
        <v>180</v>
      </c>
      <c r="D43" s="19" t="str">
        <f>IF(ISNUMBER(SEARCH("Final",Clean_Data!$C43)),"Final",
IF(ISNUMBER(SEARCH("Semi",Clean_Data!$C43)),"Semi-Final",
IF(ISNUMBER(SEARCH("Elimination",Clean_Data!$C43)),"Eliminator",
"League")))</f>
        <v>League</v>
      </c>
      <c r="E43" s="20" t="s">
        <v>181</v>
      </c>
      <c r="F43" s="19" t="s">
        <v>62</v>
      </c>
      <c r="G43" s="19">
        <v>124</v>
      </c>
      <c r="H43" s="19">
        <v>10</v>
      </c>
      <c r="I43" s="19" t="s">
        <v>24</v>
      </c>
      <c r="J43" s="19">
        <v>126</v>
      </c>
      <c r="K43" s="19">
        <v>3</v>
      </c>
      <c r="L43" s="19" t="s">
        <v>182</v>
      </c>
      <c r="M43" s="19" t="s">
        <v>62</v>
      </c>
      <c r="N43" s="19" t="s">
        <v>37</v>
      </c>
      <c r="O43" s="19" t="s">
        <v>27</v>
      </c>
      <c r="P43" s="19" t="str">
        <f>IF(Clean_Data!$G43&gt;Clean_Data!$J43,Clean_Data!$F43,Clean_Data!$I43)</f>
        <v>Dhaka Gladiators</v>
      </c>
      <c r="Q43" s="19" t="s">
        <v>28</v>
      </c>
      <c r="R43" s="19" t="s">
        <v>29</v>
      </c>
      <c r="S43" s="19">
        <v>7</v>
      </c>
      <c r="T43" s="19">
        <v>0</v>
      </c>
      <c r="U43" s="19" t="s">
        <v>118</v>
      </c>
      <c r="V43" s="19" t="str">
        <f>IF(Clean_Data!$T43&gt;0,"Runs","Wickets")</f>
        <v>Wickets</v>
      </c>
      <c r="W43" s="19">
        <f>IF(Clean_Data!$T43&gt;0,Clean_Data!$T43,Clean_Data!$S43)</f>
        <v>7</v>
      </c>
      <c r="X43" s="19" t="str">
        <f>IF(Clean_Data!$W43&lt;=10,"Close Match","Normal")</f>
        <v>Close Match</v>
      </c>
      <c r="Y43" s="19">
        <f>Clean_Data!$G43+Clean_Data!$J43</f>
        <v>250</v>
      </c>
      <c r="Z43" s="19" t="str">
        <f>IF(Clean_Data!$Y43&gt;=170,"170+ Match","Below 170")</f>
        <v>170+ Match</v>
      </c>
      <c r="AA43" s="19" t="s">
        <v>57</v>
      </c>
      <c r="AB43" s="21" t="s">
        <v>44</v>
      </c>
    </row>
    <row r="44" spans="1:28" x14ac:dyDescent="0.3">
      <c r="A44" s="16" t="s">
        <v>140</v>
      </c>
      <c r="B44" s="5" t="str">
        <f>LEFT(Clean_Data!$A44,4)</f>
        <v>2015</v>
      </c>
      <c r="C44" s="5" t="s">
        <v>58</v>
      </c>
      <c r="D44" s="5" t="str">
        <f>IF(ISNUMBER(SEARCH("Final",Clean_Data!$C44)),"Final",
IF(ISNUMBER(SEARCH("Semi",Clean_Data!$C44)),"Semi-Final",
IF(ISNUMBER(SEARCH("Elimination",Clean_Data!$C44)),"Eliminator",
"League")))</f>
        <v>League</v>
      </c>
      <c r="E44" s="6" t="s">
        <v>178</v>
      </c>
      <c r="F44" s="5" t="s">
        <v>160</v>
      </c>
      <c r="G44" s="5">
        <v>157</v>
      </c>
      <c r="H44" s="5">
        <v>5</v>
      </c>
      <c r="I44" s="5" t="s">
        <v>174</v>
      </c>
      <c r="J44" s="5">
        <v>162</v>
      </c>
      <c r="K44" s="5">
        <v>4</v>
      </c>
      <c r="L44" s="5" t="s">
        <v>183</v>
      </c>
      <c r="M44" s="5" t="s">
        <v>174</v>
      </c>
      <c r="N44" s="5" t="s">
        <v>26</v>
      </c>
      <c r="O44" s="5" t="s">
        <v>184</v>
      </c>
      <c r="P44" s="5" t="str">
        <f>IF(Clean_Data!$G44&gt;Clean_Data!$J44,Clean_Data!$F44,Clean_Data!$I44)</f>
        <v>Sylhet Super Stars</v>
      </c>
      <c r="Q44" s="5" t="s">
        <v>28</v>
      </c>
      <c r="R44" s="5" t="s">
        <v>29</v>
      </c>
      <c r="S44" s="5">
        <v>0</v>
      </c>
      <c r="T44" s="5">
        <v>0</v>
      </c>
      <c r="U44" s="5" t="s">
        <v>185</v>
      </c>
      <c r="V44" s="5" t="str">
        <f>IF(Clean_Data!$T44&gt;0,"Runs","Wickets")</f>
        <v>Wickets</v>
      </c>
      <c r="W44" s="5">
        <f>IF(Clean_Data!$T44&gt;0,Clean_Data!$T44,Clean_Data!$S44)</f>
        <v>0</v>
      </c>
      <c r="X44" s="5" t="str">
        <f>IF(Clean_Data!$W44&lt;=10,"Close Match","Normal")</f>
        <v>Close Match</v>
      </c>
      <c r="Y44" s="5">
        <f>Clean_Data!$G44+Clean_Data!$J44</f>
        <v>319</v>
      </c>
      <c r="Z44" s="5" t="str">
        <f>IF(Clean_Data!$Y44&gt;=170,"170+ Match","Below 170")</f>
        <v>170+ Match</v>
      </c>
      <c r="AA44" s="5" t="s">
        <v>50</v>
      </c>
      <c r="AB44" s="17" t="s">
        <v>66</v>
      </c>
    </row>
    <row r="45" spans="1:28" x14ac:dyDescent="0.3">
      <c r="A45" s="18" t="s">
        <v>20</v>
      </c>
      <c r="B45" s="19" t="str">
        <f>LEFT(Clean_Data!$A45,4)</f>
        <v>2011</v>
      </c>
      <c r="C45" s="19" t="s">
        <v>186</v>
      </c>
      <c r="D45" s="19" t="str">
        <f>IF(ISNUMBER(SEARCH("Final",Clean_Data!$C45)),"Final",
IF(ISNUMBER(SEARCH("Semi",Clean_Data!$C45)),"Semi-Final",
IF(ISNUMBER(SEARCH("Elimination",Clean_Data!$C45)),"Eliminator",
"League")))</f>
        <v>League</v>
      </c>
      <c r="E45" s="20" t="s">
        <v>181</v>
      </c>
      <c r="F45" s="19" t="s">
        <v>35</v>
      </c>
      <c r="G45" s="19">
        <v>171</v>
      </c>
      <c r="H45" s="19">
        <v>3</v>
      </c>
      <c r="I45" s="19" t="s">
        <v>53</v>
      </c>
      <c r="J45" s="19">
        <v>174</v>
      </c>
      <c r="K45" s="19">
        <v>4</v>
      </c>
      <c r="L45" s="19" t="s">
        <v>139</v>
      </c>
      <c r="M45" s="19" t="s">
        <v>35</v>
      </c>
      <c r="N45" s="19" t="s">
        <v>37</v>
      </c>
      <c r="O45" s="19" t="s">
        <v>80</v>
      </c>
      <c r="P45" s="19" t="str">
        <f>IF(Clean_Data!$G45&gt;Clean_Data!$J45,Clean_Data!$F45,Clean_Data!$I45)</f>
        <v>Chittagong Kings</v>
      </c>
      <c r="Q45" s="19" t="s">
        <v>28</v>
      </c>
      <c r="R45" s="19" t="s">
        <v>29</v>
      </c>
      <c r="S45" s="19">
        <v>6</v>
      </c>
      <c r="T45" s="19">
        <v>0</v>
      </c>
      <c r="U45" s="19" t="s">
        <v>151</v>
      </c>
      <c r="V45" s="19" t="str">
        <f>IF(Clean_Data!$T45&gt;0,"Runs","Wickets")</f>
        <v>Wickets</v>
      </c>
      <c r="W45" s="19">
        <f>IF(Clean_Data!$T45&gt;0,Clean_Data!$T45,Clean_Data!$S45)</f>
        <v>6</v>
      </c>
      <c r="X45" s="19" t="str">
        <f>IF(Clean_Data!$W45&lt;=10,"Close Match","Normal")</f>
        <v>Close Match</v>
      </c>
      <c r="Y45" s="19">
        <f>Clean_Data!$G45+Clean_Data!$J45</f>
        <v>345</v>
      </c>
      <c r="Z45" s="19" t="str">
        <f>IF(Clean_Data!$Y45&gt;=170,"170+ Match","Below 170")</f>
        <v>170+ Match</v>
      </c>
      <c r="AA45" s="19" t="s">
        <v>31</v>
      </c>
      <c r="AB45" s="21" t="s">
        <v>32</v>
      </c>
    </row>
    <row r="46" spans="1:28" x14ac:dyDescent="0.3">
      <c r="A46" s="16" t="s">
        <v>140</v>
      </c>
      <c r="B46" s="5" t="str">
        <f>LEFT(Clean_Data!$A46,4)</f>
        <v>2015</v>
      </c>
      <c r="C46" s="5" t="s">
        <v>60</v>
      </c>
      <c r="D46" s="5" t="str">
        <f>IF(ISNUMBER(SEARCH("Final",Clean_Data!$C46)),"Final",
IF(ISNUMBER(SEARCH("Semi",Clean_Data!$C46)),"Semi-Final",
IF(ISNUMBER(SEARCH("Elimination",Clean_Data!$C46)),"Eliminator",
"League")))</f>
        <v>League</v>
      </c>
      <c r="E46" s="6" t="s">
        <v>187</v>
      </c>
      <c r="F46" s="5" t="s">
        <v>113</v>
      </c>
      <c r="G46" s="5">
        <v>153</v>
      </c>
      <c r="H46" s="5">
        <v>6</v>
      </c>
      <c r="I46" s="5" t="s">
        <v>143</v>
      </c>
      <c r="J46" s="5">
        <v>132</v>
      </c>
      <c r="K46" s="5">
        <v>10</v>
      </c>
      <c r="L46" s="5" t="s">
        <v>188</v>
      </c>
      <c r="M46" s="5" t="s">
        <v>143</v>
      </c>
      <c r="N46" s="5" t="s">
        <v>26</v>
      </c>
      <c r="O46" s="5" t="s">
        <v>189</v>
      </c>
      <c r="P46" s="5" t="str">
        <f>IF(Clean_Data!$G46&gt;Clean_Data!$J46,Clean_Data!$F46,Clean_Data!$I46)</f>
        <v>Rangpur Riders</v>
      </c>
      <c r="Q46" s="5" t="s">
        <v>28</v>
      </c>
      <c r="R46" s="5" t="s">
        <v>29</v>
      </c>
      <c r="S46" s="5">
        <v>0</v>
      </c>
      <c r="T46" s="5">
        <v>21</v>
      </c>
      <c r="U46" s="5" t="s">
        <v>165</v>
      </c>
      <c r="V46" s="5" t="str">
        <f>IF(Clean_Data!$T46&gt;0,"Runs","Wickets")</f>
        <v>Runs</v>
      </c>
      <c r="W46" s="5">
        <f>IF(Clean_Data!$T46&gt;0,Clean_Data!$T46,Clean_Data!$S46)</f>
        <v>21</v>
      </c>
      <c r="X46" s="5" t="str">
        <f>IF(Clean_Data!$W46&lt;=10,"Close Match","Normal")</f>
        <v>Normal</v>
      </c>
      <c r="Y46" s="5">
        <f>Clean_Data!$G46+Clean_Data!$J46</f>
        <v>285</v>
      </c>
      <c r="Z46" s="5" t="str">
        <f>IF(Clean_Data!$Y46&gt;=170,"170+ Match","Below 170")</f>
        <v>170+ Match</v>
      </c>
      <c r="AA46" s="5" t="s">
        <v>56</v>
      </c>
      <c r="AB46" s="17" t="s">
        <v>147</v>
      </c>
    </row>
    <row r="47" spans="1:28" x14ac:dyDescent="0.3">
      <c r="A47" s="18" t="s">
        <v>20</v>
      </c>
      <c r="B47" s="19" t="str">
        <f>LEFT(Clean_Data!$A47,4)</f>
        <v>2011</v>
      </c>
      <c r="C47" s="19" t="s">
        <v>190</v>
      </c>
      <c r="D47" s="19" t="str">
        <f>IF(ISNUMBER(SEARCH("Final",Clean_Data!$C47)),"Final",
IF(ISNUMBER(SEARCH("Semi",Clean_Data!$C47)),"Semi-Final",
IF(ISNUMBER(SEARCH("Elimination",Clean_Data!$C47)),"Eliminator",
"League")))</f>
        <v>League</v>
      </c>
      <c r="E47" s="20" t="s">
        <v>191</v>
      </c>
      <c r="F47" s="19" t="s">
        <v>23</v>
      </c>
      <c r="G47" s="19">
        <v>180</v>
      </c>
      <c r="H47" s="19">
        <v>2</v>
      </c>
      <c r="I47" s="19" t="s">
        <v>41</v>
      </c>
      <c r="J47" s="19">
        <v>158</v>
      </c>
      <c r="K47" s="19">
        <v>9</v>
      </c>
      <c r="L47" s="19" t="s">
        <v>42</v>
      </c>
      <c r="M47" s="19" t="s">
        <v>23</v>
      </c>
      <c r="N47" s="19" t="s">
        <v>37</v>
      </c>
      <c r="O47" s="19" t="s">
        <v>43</v>
      </c>
      <c r="P47" s="19" t="str">
        <f>IF(Clean_Data!$G47&gt;Clean_Data!$J47,Clean_Data!$F47,Clean_Data!$I47)</f>
        <v>Barisal Burners</v>
      </c>
      <c r="Q47" s="19" t="s">
        <v>28</v>
      </c>
      <c r="R47" s="19" t="s">
        <v>29</v>
      </c>
      <c r="S47" s="19">
        <v>0</v>
      </c>
      <c r="T47" s="19">
        <v>22</v>
      </c>
      <c r="U47" s="19" t="s">
        <v>192</v>
      </c>
      <c r="V47" s="19" t="str">
        <f>IF(Clean_Data!$T47&gt;0,"Runs","Wickets")</f>
        <v>Runs</v>
      </c>
      <c r="W47" s="19">
        <f>IF(Clean_Data!$T47&gt;0,Clean_Data!$T47,Clean_Data!$S47)</f>
        <v>22</v>
      </c>
      <c r="X47" s="19" t="str">
        <f>IF(Clean_Data!$W47&lt;=10,"Close Match","Normal")</f>
        <v>Normal</v>
      </c>
      <c r="Y47" s="19">
        <f>Clean_Data!$G47+Clean_Data!$J47</f>
        <v>338</v>
      </c>
      <c r="Z47" s="19" t="str">
        <f>IF(Clean_Data!$Y47&gt;=170,"170+ Match","Below 170")</f>
        <v>170+ Match</v>
      </c>
      <c r="AA47" s="19" t="s">
        <v>31</v>
      </c>
      <c r="AB47" s="21" t="s">
        <v>56</v>
      </c>
    </row>
    <row r="48" spans="1:28" x14ac:dyDescent="0.3">
      <c r="A48" s="16" t="s">
        <v>140</v>
      </c>
      <c r="B48" s="5" t="str">
        <f>LEFT(Clean_Data!$A48,4)</f>
        <v>2015</v>
      </c>
      <c r="C48" s="5" t="s">
        <v>67</v>
      </c>
      <c r="D48" s="5" t="str">
        <f>IF(ISNUMBER(SEARCH("Final",Clean_Data!$C48)),"Final",
IF(ISNUMBER(SEARCH("Semi",Clean_Data!$C48)),"Semi-Final",
IF(ISNUMBER(SEARCH("Elimination",Clean_Data!$C48)),"Eliminator",
"League")))</f>
        <v>League</v>
      </c>
      <c r="E48" s="6" t="s">
        <v>187</v>
      </c>
      <c r="F48" s="5" t="s">
        <v>160</v>
      </c>
      <c r="G48" s="5">
        <v>121</v>
      </c>
      <c r="H48" s="5">
        <v>8</v>
      </c>
      <c r="I48" s="5" t="s">
        <v>179</v>
      </c>
      <c r="J48" s="5">
        <v>76</v>
      </c>
      <c r="K48" s="5">
        <v>10</v>
      </c>
      <c r="L48" s="5" t="s">
        <v>75</v>
      </c>
      <c r="M48" s="5" t="s">
        <v>179</v>
      </c>
      <c r="N48" s="5" t="s">
        <v>26</v>
      </c>
      <c r="O48" s="5" t="s">
        <v>193</v>
      </c>
      <c r="P48" s="5" t="str">
        <f>IF(Clean_Data!$G48&gt;Clean_Data!$J48,Clean_Data!$F48,Clean_Data!$I48)</f>
        <v>Dhaka Dynamites</v>
      </c>
      <c r="Q48" s="5" t="s">
        <v>28</v>
      </c>
      <c r="R48" s="5" t="s">
        <v>29</v>
      </c>
      <c r="S48" s="5">
        <v>0</v>
      </c>
      <c r="T48" s="5">
        <v>45</v>
      </c>
      <c r="U48" s="5" t="s">
        <v>194</v>
      </c>
      <c r="V48" s="5" t="str">
        <f>IF(Clean_Data!$T48&gt;0,"Runs","Wickets")</f>
        <v>Runs</v>
      </c>
      <c r="W48" s="5">
        <f>IF(Clean_Data!$T48&gt;0,Clean_Data!$T48,Clean_Data!$S48)</f>
        <v>45</v>
      </c>
      <c r="X48" s="5" t="str">
        <f>IF(Clean_Data!$W48&lt;=10,"Close Match","Normal")</f>
        <v>Normal</v>
      </c>
      <c r="Y48" s="5">
        <f>Clean_Data!$G48+Clean_Data!$J48</f>
        <v>197</v>
      </c>
      <c r="Z48" s="5" t="str">
        <f>IF(Clean_Data!$Y48&gt;=170,"170+ Match","Below 170")</f>
        <v>170+ Match</v>
      </c>
      <c r="AA48" s="5" t="s">
        <v>146</v>
      </c>
      <c r="AB48" s="17" t="s">
        <v>66</v>
      </c>
    </row>
    <row r="49" spans="1:28" x14ac:dyDescent="0.3">
      <c r="A49" s="18" t="s">
        <v>20</v>
      </c>
      <c r="B49" s="19" t="str">
        <f>LEFT(Clean_Data!$A49,4)</f>
        <v>2011</v>
      </c>
      <c r="C49" s="19" t="s">
        <v>195</v>
      </c>
      <c r="D49" s="19" t="str">
        <f>IF(ISNUMBER(SEARCH("Final",Clean_Data!$C49)),"Final",
IF(ISNUMBER(SEARCH("Semi",Clean_Data!$C49)),"Semi-Final",
IF(ISNUMBER(SEARCH("Elimination",Clean_Data!$C49)),"Eliminator",
"League")))</f>
        <v>League</v>
      </c>
      <c r="E49" s="20" t="s">
        <v>191</v>
      </c>
      <c r="F49" s="19" t="s">
        <v>35</v>
      </c>
      <c r="G49" s="19">
        <v>175</v>
      </c>
      <c r="H49" s="19">
        <v>5</v>
      </c>
      <c r="I49" s="19" t="s">
        <v>24</v>
      </c>
      <c r="J49" s="19">
        <v>156</v>
      </c>
      <c r="K49" s="19">
        <v>7</v>
      </c>
      <c r="L49" s="19" t="s">
        <v>127</v>
      </c>
      <c r="M49" s="19" t="s">
        <v>35</v>
      </c>
      <c r="N49" s="19" t="s">
        <v>37</v>
      </c>
      <c r="O49" s="19" t="s">
        <v>98</v>
      </c>
      <c r="P49" s="19" t="str">
        <f>IF(Clean_Data!$G49&gt;Clean_Data!$J49,Clean_Data!$F49,Clean_Data!$I49)</f>
        <v>Khulna Royal Bengals</v>
      </c>
      <c r="Q49" s="19" t="s">
        <v>28</v>
      </c>
      <c r="R49" s="19" t="s">
        <v>29</v>
      </c>
      <c r="S49" s="19">
        <v>0</v>
      </c>
      <c r="T49" s="19">
        <v>19</v>
      </c>
      <c r="U49" s="19" t="s">
        <v>196</v>
      </c>
      <c r="V49" s="19" t="str">
        <f>IF(Clean_Data!$T49&gt;0,"Runs","Wickets")</f>
        <v>Runs</v>
      </c>
      <c r="W49" s="19">
        <f>IF(Clean_Data!$T49&gt;0,Clean_Data!$T49,Clean_Data!$S49)</f>
        <v>19</v>
      </c>
      <c r="X49" s="19" t="str">
        <f>IF(Clean_Data!$W49&lt;=10,"Close Match","Normal")</f>
        <v>Normal</v>
      </c>
      <c r="Y49" s="19">
        <f>Clean_Data!$G49+Clean_Data!$J49</f>
        <v>331</v>
      </c>
      <c r="Z49" s="19" t="str">
        <f>IF(Clean_Data!$Y49&gt;=170,"170+ Match","Below 170")</f>
        <v>170+ Match</v>
      </c>
      <c r="AA49" s="19" t="s">
        <v>57</v>
      </c>
      <c r="AB49" s="21" t="s">
        <v>44</v>
      </c>
    </row>
    <row r="50" spans="1:28" x14ac:dyDescent="0.3">
      <c r="A50" s="16" t="s">
        <v>197</v>
      </c>
      <c r="B50" s="5" t="str">
        <f>LEFT(Clean_Data!$A50,4)</f>
        <v>2016</v>
      </c>
      <c r="C50" s="5" t="s">
        <v>21</v>
      </c>
      <c r="D50" s="5" t="str">
        <f>IF(ISNUMBER(SEARCH("Final",Clean_Data!$C50)),"Final",
IF(ISNUMBER(SEARCH("Semi",Clean_Data!$C50)),"Semi-Final",
IF(ISNUMBER(SEARCH("Elimination",Clean_Data!$C50)),"Eliminator",
"League")))</f>
        <v>Final</v>
      </c>
      <c r="E50" s="6" t="s">
        <v>198</v>
      </c>
      <c r="F50" s="5" t="s">
        <v>160</v>
      </c>
      <c r="G50" s="5">
        <v>159</v>
      </c>
      <c r="H50" s="5">
        <v>9</v>
      </c>
      <c r="I50" s="5" t="s">
        <v>199</v>
      </c>
      <c r="J50" s="5">
        <v>103</v>
      </c>
      <c r="K50" s="5">
        <v>10</v>
      </c>
      <c r="L50" s="5" t="s">
        <v>200</v>
      </c>
      <c r="M50" s="5" t="s">
        <v>199</v>
      </c>
      <c r="N50" s="5" t="s">
        <v>26</v>
      </c>
      <c r="O50" s="5" t="s">
        <v>193</v>
      </c>
      <c r="P50" s="5" t="str">
        <f>IF(Clean_Data!$G50&gt;Clean_Data!$J50,Clean_Data!$F50,Clean_Data!$I50)</f>
        <v>Dhaka Dynamites</v>
      </c>
      <c r="Q50" s="5" t="s">
        <v>28</v>
      </c>
      <c r="R50" s="5" t="s">
        <v>29</v>
      </c>
      <c r="S50" s="5">
        <v>0</v>
      </c>
      <c r="T50" s="5">
        <v>56</v>
      </c>
      <c r="U50" s="5" t="s">
        <v>201</v>
      </c>
      <c r="V50" s="5" t="str">
        <f>IF(Clean_Data!$T50&gt;0,"Runs","Wickets")</f>
        <v>Runs</v>
      </c>
      <c r="W50" s="5">
        <f>IF(Clean_Data!$T50&gt;0,Clean_Data!$T50,Clean_Data!$S50)</f>
        <v>56</v>
      </c>
      <c r="X50" s="5" t="str">
        <f>IF(Clean_Data!$W50&lt;=10,"Close Match","Normal")</f>
        <v>Normal</v>
      </c>
      <c r="Y50" s="5">
        <f>Clean_Data!$G50+Clean_Data!$J50</f>
        <v>262</v>
      </c>
      <c r="Z50" s="5" t="str">
        <f>IF(Clean_Data!$Y50&gt;=170,"170+ Match","Below 170")</f>
        <v>170+ Match</v>
      </c>
      <c r="AA50" s="5" t="s">
        <v>202</v>
      </c>
      <c r="AB50" s="17" t="s">
        <v>50</v>
      </c>
    </row>
    <row r="51" spans="1:28" x14ac:dyDescent="0.3">
      <c r="A51" s="18" t="s">
        <v>20</v>
      </c>
      <c r="B51" s="19" t="str">
        <f>LEFT(Clean_Data!$A51,4)</f>
        <v>2011</v>
      </c>
      <c r="C51" s="19" t="s">
        <v>33</v>
      </c>
      <c r="D51" s="19" t="str">
        <f>IF(ISNUMBER(SEARCH("Final",Clean_Data!$C51)),"Final",
IF(ISNUMBER(SEARCH("Semi",Clean_Data!$C51)),"Semi-Final",
IF(ISNUMBER(SEARCH("Elimination",Clean_Data!$C51)),"Eliminator",
"League")))</f>
        <v>League</v>
      </c>
      <c r="E51" s="20" t="s">
        <v>203</v>
      </c>
      <c r="F51" s="19" t="s">
        <v>53</v>
      </c>
      <c r="G51" s="19">
        <v>206</v>
      </c>
      <c r="H51" s="19">
        <v>4</v>
      </c>
      <c r="I51" s="19" t="s">
        <v>41</v>
      </c>
      <c r="J51" s="19">
        <v>153</v>
      </c>
      <c r="K51" s="19">
        <v>10</v>
      </c>
      <c r="L51" s="19" t="s">
        <v>79</v>
      </c>
      <c r="M51" s="19" t="s">
        <v>53</v>
      </c>
      <c r="N51" s="19" t="s">
        <v>37</v>
      </c>
      <c r="O51" s="19" t="s">
        <v>80</v>
      </c>
      <c r="P51" s="19" t="str">
        <f>IF(Clean_Data!$G51&gt;Clean_Data!$J51,Clean_Data!$F51,Clean_Data!$I51)</f>
        <v>Chittagong Kings</v>
      </c>
      <c r="Q51" s="19" t="s">
        <v>28</v>
      </c>
      <c r="R51" s="19" t="s">
        <v>29</v>
      </c>
      <c r="S51" s="19">
        <v>0</v>
      </c>
      <c r="T51" s="19">
        <v>53</v>
      </c>
      <c r="U51" s="19" t="s">
        <v>204</v>
      </c>
      <c r="V51" s="19" t="str">
        <f>IF(Clean_Data!$T51&gt;0,"Runs","Wickets")</f>
        <v>Runs</v>
      </c>
      <c r="W51" s="19">
        <f>IF(Clean_Data!$T51&gt;0,Clean_Data!$T51,Clean_Data!$S51)</f>
        <v>53</v>
      </c>
      <c r="X51" s="19" t="str">
        <f>IF(Clean_Data!$W51&lt;=10,"Close Match","Normal")</f>
        <v>Normal</v>
      </c>
      <c r="Y51" s="19">
        <f>Clean_Data!$G51+Clean_Data!$J51</f>
        <v>359</v>
      </c>
      <c r="Z51" s="19" t="str">
        <f>IF(Clean_Data!$Y51&gt;=170,"170+ Match","Below 170")</f>
        <v>170+ Match</v>
      </c>
      <c r="AA51" s="19" t="s">
        <v>57</v>
      </c>
      <c r="AB51" s="21" t="s">
        <v>44</v>
      </c>
    </row>
    <row r="52" spans="1:28" x14ac:dyDescent="0.3">
      <c r="A52" s="16" t="s">
        <v>197</v>
      </c>
      <c r="B52" s="5" t="str">
        <f>LEFT(Clean_Data!$A52,4)</f>
        <v>2016</v>
      </c>
      <c r="C52" s="5" t="s">
        <v>152</v>
      </c>
      <c r="D52" s="5" t="str">
        <f>IF(ISNUMBER(SEARCH("Final",Clean_Data!$C52)),"Final",
IF(ISNUMBER(SEARCH("Semi",Clean_Data!$C52)),"Semi-Final",
IF(ISNUMBER(SEARCH("Elimination",Clean_Data!$C52)),"Eliminator",
"League")))</f>
        <v>League</v>
      </c>
      <c r="E52" s="6" t="s">
        <v>205</v>
      </c>
      <c r="F52" s="5" t="s">
        <v>206</v>
      </c>
      <c r="G52" s="5">
        <v>125</v>
      </c>
      <c r="H52" s="5">
        <v>9</v>
      </c>
      <c r="I52" s="5" t="s">
        <v>199</v>
      </c>
      <c r="J52" s="5">
        <v>129</v>
      </c>
      <c r="K52" s="5">
        <v>3</v>
      </c>
      <c r="L52" s="5" t="s">
        <v>207</v>
      </c>
      <c r="M52" s="5" t="s">
        <v>206</v>
      </c>
      <c r="N52" s="5" t="s">
        <v>37</v>
      </c>
      <c r="O52" s="5" t="s">
        <v>208</v>
      </c>
      <c r="P52" s="5" t="str">
        <f>IF(Clean_Data!$G52&gt;Clean_Data!$J52,Clean_Data!$F52,Clean_Data!$I52)</f>
        <v>Rajshahi Kings</v>
      </c>
      <c r="Q52" s="5" t="s">
        <v>28</v>
      </c>
      <c r="R52" s="5" t="s">
        <v>29</v>
      </c>
      <c r="S52" s="5">
        <v>7</v>
      </c>
      <c r="T52" s="5">
        <v>0</v>
      </c>
      <c r="U52" s="5" t="s">
        <v>118</v>
      </c>
      <c r="V52" s="5" t="str">
        <f>IF(Clean_Data!$T52&gt;0,"Runs","Wickets")</f>
        <v>Wickets</v>
      </c>
      <c r="W52" s="5">
        <f>IF(Clean_Data!$T52&gt;0,Clean_Data!$T52,Clean_Data!$S52)</f>
        <v>7</v>
      </c>
      <c r="X52" s="5" t="str">
        <f>IF(Clean_Data!$W52&lt;=10,"Close Match","Normal")</f>
        <v>Close Match</v>
      </c>
      <c r="Y52" s="5">
        <f>Clean_Data!$G52+Clean_Data!$J52</f>
        <v>254</v>
      </c>
      <c r="Z52" s="5" t="str">
        <f>IF(Clean_Data!$Y52&gt;=170,"170+ Match","Below 170")</f>
        <v>170+ Match</v>
      </c>
      <c r="AA52" s="5" t="s">
        <v>66</v>
      </c>
      <c r="AB52" s="17" t="s">
        <v>147</v>
      </c>
    </row>
    <row r="53" spans="1:28" x14ac:dyDescent="0.3">
      <c r="A53" s="18" t="s">
        <v>20</v>
      </c>
      <c r="B53" s="19" t="str">
        <f>LEFT(Clean_Data!$A53,4)</f>
        <v>2011</v>
      </c>
      <c r="C53" s="19" t="s">
        <v>40</v>
      </c>
      <c r="D53" s="19" t="str">
        <f>IF(ISNUMBER(SEARCH("Final",Clean_Data!$C53)),"Final",
IF(ISNUMBER(SEARCH("Semi",Clean_Data!$C53)),"Semi-Final",
IF(ISNUMBER(SEARCH("Elimination",Clean_Data!$C53)),"Eliminator",
"League")))</f>
        <v>League</v>
      </c>
      <c r="E53" s="20" t="s">
        <v>203</v>
      </c>
      <c r="F53" s="19" t="s">
        <v>62</v>
      </c>
      <c r="G53" s="19">
        <v>165</v>
      </c>
      <c r="H53" s="19">
        <v>4</v>
      </c>
      <c r="I53" s="19" t="s">
        <v>23</v>
      </c>
      <c r="J53" s="19">
        <v>167</v>
      </c>
      <c r="K53" s="19">
        <v>0</v>
      </c>
      <c r="L53" s="19" t="s">
        <v>102</v>
      </c>
      <c r="M53" s="19" t="s">
        <v>23</v>
      </c>
      <c r="N53" s="19" t="s">
        <v>26</v>
      </c>
      <c r="O53" s="19" t="s">
        <v>43</v>
      </c>
      <c r="P53" s="19" t="str">
        <f>IF(Clean_Data!$G53&gt;Clean_Data!$J53,Clean_Data!$F53,Clean_Data!$I53)</f>
        <v>Barisal Burners</v>
      </c>
      <c r="Q53" s="19" t="s">
        <v>28</v>
      </c>
      <c r="R53" s="19" t="s">
        <v>29</v>
      </c>
      <c r="S53" s="19">
        <v>10</v>
      </c>
      <c r="T53" s="19">
        <v>0</v>
      </c>
      <c r="U53" s="19" t="s">
        <v>209</v>
      </c>
      <c r="V53" s="19" t="str">
        <f>IF(Clean_Data!$T53&gt;0,"Runs","Wickets")</f>
        <v>Wickets</v>
      </c>
      <c r="W53" s="19">
        <f>IF(Clean_Data!$T53&gt;0,Clean_Data!$T53,Clean_Data!$S53)</f>
        <v>10</v>
      </c>
      <c r="X53" s="19" t="str">
        <f>IF(Clean_Data!$W53&lt;=10,"Close Match","Normal")</f>
        <v>Close Match</v>
      </c>
      <c r="Y53" s="19">
        <f>Clean_Data!$G53+Clean_Data!$J53</f>
        <v>332</v>
      </c>
      <c r="Z53" s="19" t="str">
        <f>IF(Clean_Data!$Y53&gt;=170,"170+ Match","Below 170")</f>
        <v>170+ Match</v>
      </c>
      <c r="AA53" s="19" t="s">
        <v>72</v>
      </c>
      <c r="AB53" s="21" t="s">
        <v>31</v>
      </c>
    </row>
    <row r="54" spans="1:28" x14ac:dyDescent="0.3">
      <c r="A54" s="16" t="s">
        <v>197</v>
      </c>
      <c r="B54" s="5" t="str">
        <f>LEFT(Clean_Data!$A54,4)</f>
        <v>2016</v>
      </c>
      <c r="C54" s="5" t="s">
        <v>152</v>
      </c>
      <c r="D54" s="5" t="str">
        <f>IF(ISNUMBER(SEARCH("Final",Clean_Data!$C54)),"Final",
IF(ISNUMBER(SEARCH("Semi",Clean_Data!$C54)),"Semi-Final",
IF(ISNUMBER(SEARCH("Elimination",Clean_Data!$C54)),"Eliminator",
"League")))</f>
        <v>League</v>
      </c>
      <c r="E54" s="6" t="s">
        <v>210</v>
      </c>
      <c r="F54" s="5" t="s">
        <v>160</v>
      </c>
      <c r="G54" s="5">
        <v>140</v>
      </c>
      <c r="H54" s="5">
        <v>8</v>
      </c>
      <c r="I54" s="5" t="s">
        <v>206</v>
      </c>
      <c r="J54" s="5">
        <v>86</v>
      </c>
      <c r="K54" s="5">
        <v>10</v>
      </c>
      <c r="L54" s="5" t="s">
        <v>127</v>
      </c>
      <c r="M54" s="5" t="s">
        <v>206</v>
      </c>
      <c r="N54" s="5" t="s">
        <v>26</v>
      </c>
      <c r="O54" s="5" t="s">
        <v>193</v>
      </c>
      <c r="P54" s="5" t="str">
        <f>IF(Clean_Data!$G54&gt;Clean_Data!$J54,Clean_Data!$F54,Clean_Data!$I54)</f>
        <v>Dhaka Dynamites</v>
      </c>
      <c r="Q54" s="5" t="s">
        <v>28</v>
      </c>
      <c r="R54" s="5" t="s">
        <v>29</v>
      </c>
      <c r="S54" s="5">
        <v>0</v>
      </c>
      <c r="T54" s="5">
        <v>54</v>
      </c>
      <c r="U54" s="5" t="s">
        <v>211</v>
      </c>
      <c r="V54" s="5" t="str">
        <f>IF(Clean_Data!$T54&gt;0,"Runs","Wickets")</f>
        <v>Runs</v>
      </c>
      <c r="W54" s="5">
        <f>IF(Clean_Data!$T54&gt;0,Clean_Data!$T54,Clean_Data!$S54)</f>
        <v>54</v>
      </c>
      <c r="X54" s="5" t="str">
        <f>IF(Clean_Data!$W54&lt;=10,"Close Match","Normal")</f>
        <v>Normal</v>
      </c>
      <c r="Y54" s="5">
        <f>Clean_Data!$G54+Clean_Data!$J54</f>
        <v>226</v>
      </c>
      <c r="Z54" s="5" t="str">
        <f>IF(Clean_Data!$Y54&gt;=170,"170+ Match","Below 170")</f>
        <v>170+ Match</v>
      </c>
      <c r="AA54" s="5" t="s">
        <v>202</v>
      </c>
      <c r="AB54" s="17" t="s">
        <v>39</v>
      </c>
    </row>
    <row r="55" spans="1:28" x14ac:dyDescent="0.3">
      <c r="A55" s="18" t="s">
        <v>197</v>
      </c>
      <c r="B55" s="19" t="str">
        <f>LEFT(Clean_Data!$A55,4)</f>
        <v>2016</v>
      </c>
      <c r="C55" s="19" t="s">
        <v>212</v>
      </c>
      <c r="D55" s="19" t="str">
        <f>IF(ISNUMBER(SEARCH("Final",Clean_Data!$C55)),"Final",
IF(ISNUMBER(SEARCH("Semi",Clean_Data!$C55)),"Semi-Final",
IF(ISNUMBER(SEARCH("Elimination",Clean_Data!$C55)),"Eliminator",
"League")))</f>
        <v>League</v>
      </c>
      <c r="E55" s="20" t="s">
        <v>210</v>
      </c>
      <c r="F55" s="19" t="s">
        <v>179</v>
      </c>
      <c r="G55" s="19">
        <v>142</v>
      </c>
      <c r="H55" s="19">
        <v>8</v>
      </c>
      <c r="I55" s="19" t="s">
        <v>199</v>
      </c>
      <c r="J55" s="19">
        <v>143</v>
      </c>
      <c r="K55" s="19">
        <v>7</v>
      </c>
      <c r="L55" s="19" t="s">
        <v>213</v>
      </c>
      <c r="M55" s="19" t="s">
        <v>199</v>
      </c>
      <c r="N55" s="19" t="s">
        <v>26</v>
      </c>
      <c r="O55" s="19" t="s">
        <v>208</v>
      </c>
      <c r="P55" s="19" t="str">
        <f>IF(Clean_Data!$G55&gt;Clean_Data!$J55,Clean_Data!$F55,Clean_Data!$I55)</f>
        <v>Rajshahi Kings</v>
      </c>
      <c r="Q55" s="19" t="s">
        <v>28</v>
      </c>
      <c r="R55" s="19" t="s">
        <v>29</v>
      </c>
      <c r="S55" s="19">
        <v>3</v>
      </c>
      <c r="T55" s="19">
        <v>0</v>
      </c>
      <c r="U55" s="19" t="s">
        <v>49</v>
      </c>
      <c r="V55" s="19" t="str">
        <f>IF(Clean_Data!$T55&gt;0,"Runs","Wickets")</f>
        <v>Wickets</v>
      </c>
      <c r="W55" s="19">
        <f>IF(Clean_Data!$T55&gt;0,Clean_Data!$T55,Clean_Data!$S55)</f>
        <v>3</v>
      </c>
      <c r="X55" s="19" t="str">
        <f>IF(Clean_Data!$W55&lt;=10,"Close Match","Normal")</f>
        <v>Close Match</v>
      </c>
      <c r="Y55" s="19">
        <f>Clean_Data!$G55+Clean_Data!$J55</f>
        <v>285</v>
      </c>
      <c r="Z55" s="19" t="str">
        <f>IF(Clean_Data!$Y55&gt;=170,"170+ Match","Below 170")</f>
        <v>170+ Match</v>
      </c>
      <c r="AA55" s="19" t="s">
        <v>66</v>
      </c>
      <c r="AB55" s="21" t="s">
        <v>147</v>
      </c>
    </row>
    <row r="56" spans="1:28" x14ac:dyDescent="0.3">
      <c r="A56" s="16" t="s">
        <v>197</v>
      </c>
      <c r="B56" s="5" t="str">
        <f>LEFT(Clean_Data!$A56,4)</f>
        <v>2016</v>
      </c>
      <c r="C56" s="5" t="s">
        <v>106</v>
      </c>
      <c r="D56" s="5" t="str">
        <f>IF(ISNUMBER(SEARCH("Final",Clean_Data!$C56)),"Final",
IF(ISNUMBER(SEARCH("Semi",Clean_Data!$C56)),"Semi-Final",
IF(ISNUMBER(SEARCH("Elimination",Clean_Data!$C56)),"Eliminator",
"League")))</f>
        <v>League</v>
      </c>
      <c r="E56" s="6" t="s">
        <v>214</v>
      </c>
      <c r="F56" s="5" t="s">
        <v>160</v>
      </c>
      <c r="G56" s="5">
        <v>158</v>
      </c>
      <c r="H56" s="5">
        <v>7</v>
      </c>
      <c r="I56" s="5" t="s">
        <v>206</v>
      </c>
      <c r="J56" s="5">
        <v>159</v>
      </c>
      <c r="K56" s="5">
        <v>4</v>
      </c>
      <c r="L56" s="5" t="s">
        <v>157</v>
      </c>
      <c r="M56" s="5" t="s">
        <v>206</v>
      </c>
      <c r="N56" s="5" t="s">
        <v>26</v>
      </c>
      <c r="O56" s="5" t="s">
        <v>215</v>
      </c>
      <c r="P56" s="5" t="str">
        <f>IF(Clean_Data!$G56&gt;Clean_Data!$J56,Clean_Data!$F56,Clean_Data!$I56)</f>
        <v>Khulna Titans</v>
      </c>
      <c r="Q56" s="5" t="s">
        <v>28</v>
      </c>
      <c r="R56" s="5" t="s">
        <v>29</v>
      </c>
      <c r="S56" s="5">
        <v>6</v>
      </c>
      <c r="T56" s="5">
        <v>0</v>
      </c>
      <c r="U56" s="5" t="s">
        <v>151</v>
      </c>
      <c r="V56" s="5" t="str">
        <f>IF(Clean_Data!$T56&gt;0,"Runs","Wickets")</f>
        <v>Wickets</v>
      </c>
      <c r="W56" s="5">
        <f>IF(Clean_Data!$T56&gt;0,Clean_Data!$T56,Clean_Data!$S56)</f>
        <v>6</v>
      </c>
      <c r="X56" s="5" t="str">
        <f>IF(Clean_Data!$W56&lt;=10,"Close Match","Normal")</f>
        <v>Close Match</v>
      </c>
      <c r="Y56" s="5">
        <f>Clean_Data!$G56+Clean_Data!$J56</f>
        <v>317</v>
      </c>
      <c r="Z56" s="5" t="str">
        <f>IF(Clean_Data!$Y56&gt;=170,"170+ Match","Below 170")</f>
        <v>170+ Match</v>
      </c>
      <c r="AA56" s="5" t="s">
        <v>216</v>
      </c>
      <c r="AB56" s="17" t="s">
        <v>147</v>
      </c>
    </row>
    <row r="57" spans="1:28" x14ac:dyDescent="0.3">
      <c r="A57" s="18" t="s">
        <v>197</v>
      </c>
      <c r="B57" s="19" t="str">
        <f>LEFT(Clean_Data!$A57,4)</f>
        <v>2016</v>
      </c>
      <c r="C57" s="19" t="s">
        <v>112</v>
      </c>
      <c r="D57" s="19" t="str">
        <f>IF(ISNUMBER(SEARCH("Final",Clean_Data!$C57)),"Final",
IF(ISNUMBER(SEARCH("Semi",Clean_Data!$C57)),"Semi-Final",
IF(ISNUMBER(SEARCH("Elimination",Clean_Data!$C57)),"Eliminator",
"League")))</f>
        <v>League</v>
      </c>
      <c r="E57" s="20" t="s">
        <v>214</v>
      </c>
      <c r="F57" s="19" t="s">
        <v>143</v>
      </c>
      <c r="G57" s="19">
        <v>170</v>
      </c>
      <c r="H57" s="19">
        <v>6</v>
      </c>
      <c r="I57" s="19" t="s">
        <v>113</v>
      </c>
      <c r="J57" s="19">
        <v>162</v>
      </c>
      <c r="K57" s="19">
        <v>8</v>
      </c>
      <c r="L57" s="19" t="s">
        <v>217</v>
      </c>
      <c r="M57" s="19" t="s">
        <v>113</v>
      </c>
      <c r="N57" s="19" t="s">
        <v>26</v>
      </c>
      <c r="O57" s="19" t="s">
        <v>145</v>
      </c>
      <c r="P57" s="19" t="str">
        <f>IF(Clean_Data!$G57&gt;Clean_Data!$J57,Clean_Data!$F57,Clean_Data!$I57)</f>
        <v>Comilla Victorians</v>
      </c>
      <c r="Q57" s="19" t="s">
        <v>28</v>
      </c>
      <c r="R57" s="19" t="s">
        <v>29</v>
      </c>
      <c r="S57" s="19">
        <v>0</v>
      </c>
      <c r="T57" s="19">
        <v>8</v>
      </c>
      <c r="U57" s="19" t="s">
        <v>218</v>
      </c>
      <c r="V57" s="19" t="str">
        <f>IF(Clean_Data!$T57&gt;0,"Runs","Wickets")</f>
        <v>Runs</v>
      </c>
      <c r="W57" s="19">
        <f>IF(Clean_Data!$T57&gt;0,Clean_Data!$T57,Clean_Data!$S57)</f>
        <v>8</v>
      </c>
      <c r="X57" s="19" t="str">
        <f>IF(Clean_Data!$W57&lt;=10,"Close Match","Normal")</f>
        <v>Close Match</v>
      </c>
      <c r="Y57" s="19">
        <f>Clean_Data!$G57+Clean_Data!$J57</f>
        <v>332</v>
      </c>
      <c r="Z57" s="19" t="str">
        <f>IF(Clean_Data!$Y57&gt;=170,"170+ Match","Below 170")</f>
        <v>170+ Match</v>
      </c>
      <c r="AA57" s="19" t="s">
        <v>202</v>
      </c>
      <c r="AB57" s="21" t="s">
        <v>39</v>
      </c>
    </row>
    <row r="58" spans="1:28" x14ac:dyDescent="0.3">
      <c r="A58" s="16" t="s">
        <v>197</v>
      </c>
      <c r="B58" s="5" t="str">
        <f>LEFT(Clean_Data!$A58,4)</f>
        <v>2016</v>
      </c>
      <c r="C58" s="5" t="s">
        <v>119</v>
      </c>
      <c r="D58" s="5" t="str">
        <f>IF(ISNUMBER(SEARCH("Final",Clean_Data!$C58)),"Final",
IF(ISNUMBER(SEARCH("Semi",Clean_Data!$C58)),"Semi-Final",
IF(ISNUMBER(SEARCH("Elimination",Clean_Data!$C58)),"Eliminator",
"League")))</f>
        <v>League</v>
      </c>
      <c r="E58" s="6" t="s">
        <v>219</v>
      </c>
      <c r="F58" s="5" t="s">
        <v>179</v>
      </c>
      <c r="G58" s="5">
        <v>111</v>
      </c>
      <c r="H58" s="5">
        <v>9</v>
      </c>
      <c r="I58" s="5" t="s">
        <v>199</v>
      </c>
      <c r="J58" s="5">
        <v>112</v>
      </c>
      <c r="K58" s="5">
        <v>4</v>
      </c>
      <c r="L58" s="5" t="s">
        <v>220</v>
      </c>
      <c r="M58" s="5" t="s">
        <v>199</v>
      </c>
      <c r="N58" s="5" t="s">
        <v>26</v>
      </c>
      <c r="O58" s="5" t="s">
        <v>208</v>
      </c>
      <c r="P58" s="5" t="str">
        <f>IF(Clean_Data!$G58&gt;Clean_Data!$J58,Clean_Data!$F58,Clean_Data!$I58)</f>
        <v>Rajshahi Kings</v>
      </c>
      <c r="Q58" s="5" t="s">
        <v>28</v>
      </c>
      <c r="R58" s="5" t="s">
        <v>29</v>
      </c>
      <c r="S58" s="5">
        <v>6</v>
      </c>
      <c r="T58" s="5">
        <v>0</v>
      </c>
      <c r="U58" s="5" t="s">
        <v>151</v>
      </c>
      <c r="V58" s="5" t="str">
        <f>IF(Clean_Data!$T58&gt;0,"Runs","Wickets")</f>
        <v>Wickets</v>
      </c>
      <c r="W58" s="5">
        <f>IF(Clean_Data!$T58&gt;0,Clean_Data!$T58,Clean_Data!$S58)</f>
        <v>6</v>
      </c>
      <c r="X58" s="5" t="str">
        <f>IF(Clean_Data!$W58&lt;=10,"Close Match","Normal")</f>
        <v>Close Match</v>
      </c>
      <c r="Y58" s="5">
        <f>Clean_Data!$G58+Clean_Data!$J58</f>
        <v>223</v>
      </c>
      <c r="Z58" s="5" t="str">
        <f>IF(Clean_Data!$Y58&gt;=170,"170+ Match","Below 170")</f>
        <v>170+ Match</v>
      </c>
      <c r="AA58" s="5" t="s">
        <v>39</v>
      </c>
      <c r="AB58" s="17" t="s">
        <v>147</v>
      </c>
    </row>
    <row r="59" spans="1:28" x14ac:dyDescent="0.3">
      <c r="A59" s="18" t="s">
        <v>197</v>
      </c>
      <c r="B59" s="19" t="str">
        <f>LEFT(Clean_Data!$A59,4)</f>
        <v>2016</v>
      </c>
      <c r="C59" s="19" t="s">
        <v>129</v>
      </c>
      <c r="D59" s="19" t="str">
        <f>IF(ISNUMBER(SEARCH("Final",Clean_Data!$C59)),"Final",
IF(ISNUMBER(SEARCH("Semi",Clean_Data!$C59)),"Semi-Final",
IF(ISNUMBER(SEARCH("Elimination",Clean_Data!$C59)),"Eliminator",
"League")))</f>
        <v>League</v>
      </c>
      <c r="E59" s="20" t="s">
        <v>219</v>
      </c>
      <c r="F59" s="19" t="s">
        <v>113</v>
      </c>
      <c r="G59" s="19">
        <v>154</v>
      </c>
      <c r="H59" s="19">
        <v>5</v>
      </c>
      <c r="I59" s="19" t="s">
        <v>142</v>
      </c>
      <c r="J59" s="19">
        <v>125</v>
      </c>
      <c r="K59" s="19">
        <v>10</v>
      </c>
      <c r="L59" s="19" t="s">
        <v>221</v>
      </c>
      <c r="M59" s="19" t="s">
        <v>113</v>
      </c>
      <c r="N59" s="19" t="s">
        <v>37</v>
      </c>
      <c r="O59" s="19" t="s">
        <v>189</v>
      </c>
      <c r="P59" s="19" t="str">
        <f>IF(Clean_Data!$G59&gt;Clean_Data!$J59,Clean_Data!$F59,Clean_Data!$I59)</f>
        <v>Rangpur Riders</v>
      </c>
      <c r="Q59" s="19" t="s">
        <v>28</v>
      </c>
      <c r="R59" s="19" t="s">
        <v>29</v>
      </c>
      <c r="S59" s="19">
        <v>0</v>
      </c>
      <c r="T59" s="19">
        <v>29</v>
      </c>
      <c r="U59" s="19" t="s">
        <v>109</v>
      </c>
      <c r="V59" s="19" t="str">
        <f>IF(Clean_Data!$T59&gt;0,"Runs","Wickets")</f>
        <v>Runs</v>
      </c>
      <c r="W59" s="19">
        <f>IF(Clean_Data!$T59&gt;0,Clean_Data!$T59,Clean_Data!$S59)</f>
        <v>29</v>
      </c>
      <c r="X59" s="19" t="str">
        <f>IF(Clean_Data!$W59&lt;=10,"Close Match","Normal")</f>
        <v>Normal</v>
      </c>
      <c r="Y59" s="19">
        <f>Clean_Data!$G59+Clean_Data!$J59</f>
        <v>279</v>
      </c>
      <c r="Z59" s="19" t="str">
        <f>IF(Clean_Data!$Y59&gt;=170,"170+ Match","Below 170")</f>
        <v>170+ Match</v>
      </c>
      <c r="AA59" s="19" t="s">
        <v>222</v>
      </c>
      <c r="AB59" s="21" t="s">
        <v>50</v>
      </c>
    </row>
    <row r="60" spans="1:28" x14ac:dyDescent="0.3">
      <c r="A60" s="16" t="s">
        <v>197</v>
      </c>
      <c r="B60" s="5" t="str">
        <f>LEFT(Clean_Data!$A60,4)</f>
        <v>2016</v>
      </c>
      <c r="C60" s="5" t="s">
        <v>136</v>
      </c>
      <c r="D60" s="5" t="str">
        <f>IF(ISNUMBER(SEARCH("Final",Clean_Data!$C60)),"Final",
IF(ISNUMBER(SEARCH("Semi",Clean_Data!$C60)),"Semi-Final",
IF(ISNUMBER(SEARCH("Elimination",Clean_Data!$C60)),"Eliminator",
"League")))</f>
        <v>League</v>
      </c>
      <c r="E60" s="6" t="s">
        <v>223</v>
      </c>
      <c r="F60" s="5" t="s">
        <v>179</v>
      </c>
      <c r="G60" s="5">
        <v>134</v>
      </c>
      <c r="H60" s="5">
        <v>6</v>
      </c>
      <c r="I60" s="5" t="s">
        <v>160</v>
      </c>
      <c r="J60" s="5">
        <v>135</v>
      </c>
      <c r="K60" s="5">
        <v>4</v>
      </c>
      <c r="L60" s="5" t="s">
        <v>79</v>
      </c>
      <c r="M60" s="5" t="s">
        <v>160</v>
      </c>
      <c r="N60" s="5" t="s">
        <v>26</v>
      </c>
      <c r="O60" s="5" t="s">
        <v>193</v>
      </c>
      <c r="P60" s="5" t="str">
        <f>IF(Clean_Data!$G60&gt;Clean_Data!$J60,Clean_Data!$F60,Clean_Data!$I60)</f>
        <v>Dhaka Dynamites</v>
      </c>
      <c r="Q60" s="5" t="s">
        <v>28</v>
      </c>
      <c r="R60" s="5" t="s">
        <v>29</v>
      </c>
      <c r="S60" s="5">
        <v>6</v>
      </c>
      <c r="T60" s="5">
        <v>0</v>
      </c>
      <c r="U60" s="5" t="s">
        <v>151</v>
      </c>
      <c r="V60" s="5" t="str">
        <f>IF(Clean_Data!$T60&gt;0,"Runs","Wickets")</f>
        <v>Wickets</v>
      </c>
      <c r="W60" s="5">
        <f>IF(Clean_Data!$T60&gt;0,Clean_Data!$T60,Clean_Data!$S60)</f>
        <v>6</v>
      </c>
      <c r="X60" s="5" t="str">
        <f>IF(Clean_Data!$W60&lt;=10,"Close Match","Normal")</f>
        <v>Close Match</v>
      </c>
      <c r="Y60" s="5">
        <f>Clean_Data!$G60+Clean_Data!$J60</f>
        <v>269</v>
      </c>
      <c r="Z60" s="5" t="str">
        <f>IF(Clean_Data!$Y60&gt;=170,"170+ Match","Below 170")</f>
        <v>170+ Match</v>
      </c>
      <c r="AA60" s="5" t="s">
        <v>222</v>
      </c>
      <c r="AB60" s="17" t="s">
        <v>66</v>
      </c>
    </row>
    <row r="61" spans="1:28" x14ac:dyDescent="0.3">
      <c r="A61" s="18" t="s">
        <v>197</v>
      </c>
      <c r="B61" s="19" t="str">
        <f>LEFT(Clean_Data!$A61,4)</f>
        <v>2016</v>
      </c>
      <c r="C61" s="19" t="s">
        <v>224</v>
      </c>
      <c r="D61" s="19" t="str">
        <f>IF(ISNUMBER(SEARCH("Final",Clean_Data!$C61)),"Final",
IF(ISNUMBER(SEARCH("Semi",Clean_Data!$C61)),"Semi-Final",
IF(ISNUMBER(SEARCH("Elimination",Clean_Data!$C61)),"Eliminator",
"League")))</f>
        <v>League</v>
      </c>
      <c r="E61" s="20" t="s">
        <v>223</v>
      </c>
      <c r="F61" s="19" t="s">
        <v>206</v>
      </c>
      <c r="G61" s="19">
        <v>141</v>
      </c>
      <c r="H61" s="19">
        <v>6</v>
      </c>
      <c r="I61" s="19" t="s">
        <v>143</v>
      </c>
      <c r="J61" s="19">
        <v>142</v>
      </c>
      <c r="K61" s="19">
        <v>5</v>
      </c>
      <c r="L61" s="19" t="s">
        <v>134</v>
      </c>
      <c r="M61" s="19" t="s">
        <v>143</v>
      </c>
      <c r="N61" s="19" t="s">
        <v>26</v>
      </c>
      <c r="O61" s="19" t="s">
        <v>145</v>
      </c>
      <c r="P61" s="19" t="str">
        <f>IF(Clean_Data!$G61&gt;Clean_Data!$J61,Clean_Data!$F61,Clean_Data!$I61)</f>
        <v>Comilla Victorians</v>
      </c>
      <c r="Q61" s="19" t="s">
        <v>28</v>
      </c>
      <c r="R61" s="19" t="s">
        <v>29</v>
      </c>
      <c r="S61" s="19">
        <v>5</v>
      </c>
      <c r="T61" s="19">
        <v>0</v>
      </c>
      <c r="U61" s="19" t="s">
        <v>55</v>
      </c>
      <c r="V61" s="19" t="str">
        <f>IF(Clean_Data!$T61&gt;0,"Runs","Wickets")</f>
        <v>Wickets</v>
      </c>
      <c r="W61" s="19">
        <f>IF(Clean_Data!$T61&gt;0,Clean_Data!$T61,Clean_Data!$S61)</f>
        <v>5</v>
      </c>
      <c r="X61" s="19" t="str">
        <f>IF(Clean_Data!$W61&lt;=10,"Close Match","Normal")</f>
        <v>Close Match</v>
      </c>
      <c r="Y61" s="19">
        <f>Clean_Data!$G61+Clean_Data!$J61</f>
        <v>283</v>
      </c>
      <c r="Z61" s="19" t="str">
        <f>IF(Clean_Data!$Y61&gt;=170,"170+ Match","Below 170")</f>
        <v>170+ Match</v>
      </c>
      <c r="AA61" s="19" t="s">
        <v>147</v>
      </c>
      <c r="AB61" s="21" t="s">
        <v>225</v>
      </c>
    </row>
    <row r="62" spans="1:28" x14ac:dyDescent="0.3">
      <c r="A62" s="16" t="s">
        <v>226</v>
      </c>
      <c r="B62" s="5" t="str">
        <f>LEFT(Clean_Data!$A62,4)</f>
        <v>2017</v>
      </c>
      <c r="C62" s="5" t="s">
        <v>21</v>
      </c>
      <c r="D62" s="5" t="str">
        <f>IF(ISNUMBER(SEARCH("Final",Clean_Data!$C62)),"Final",
IF(ISNUMBER(SEARCH("Semi",Clean_Data!$C62)),"Semi-Final",
IF(ISNUMBER(SEARCH("Elimination",Clean_Data!$C62)),"Eliminator",
"League")))</f>
        <v>Final</v>
      </c>
      <c r="E62" s="6" t="s">
        <v>227</v>
      </c>
      <c r="F62" s="5" t="s">
        <v>113</v>
      </c>
      <c r="G62" s="5">
        <v>206</v>
      </c>
      <c r="H62" s="5">
        <v>1</v>
      </c>
      <c r="I62" s="5" t="s">
        <v>160</v>
      </c>
      <c r="J62" s="5">
        <v>149</v>
      </c>
      <c r="K62" s="5">
        <v>9</v>
      </c>
      <c r="L62" s="5" t="s">
        <v>102</v>
      </c>
      <c r="M62" s="5" t="s">
        <v>160</v>
      </c>
      <c r="N62" s="5" t="s">
        <v>26</v>
      </c>
      <c r="O62" s="5" t="s">
        <v>189</v>
      </c>
      <c r="P62" s="5" t="str">
        <f>IF(Clean_Data!$G62&gt;Clean_Data!$J62,Clean_Data!$F62,Clean_Data!$I62)</f>
        <v>Rangpur Riders</v>
      </c>
      <c r="Q62" s="5" t="s">
        <v>28</v>
      </c>
      <c r="R62" s="5" t="s">
        <v>29</v>
      </c>
      <c r="S62" s="5">
        <v>0</v>
      </c>
      <c r="T62" s="5">
        <v>57</v>
      </c>
      <c r="U62" s="5" t="s">
        <v>228</v>
      </c>
      <c r="V62" s="5" t="str">
        <f>IF(Clean_Data!$T62&gt;0,"Runs","Wickets")</f>
        <v>Runs</v>
      </c>
      <c r="W62" s="5">
        <f>IF(Clean_Data!$T62&gt;0,Clean_Data!$T62,Clean_Data!$S62)</f>
        <v>57</v>
      </c>
      <c r="X62" s="5" t="str">
        <f>IF(Clean_Data!$W62&lt;=10,"Close Match","Normal")</f>
        <v>Normal</v>
      </c>
      <c r="Y62" s="5">
        <f>Clean_Data!$G62+Clean_Data!$J62</f>
        <v>355</v>
      </c>
      <c r="Z62" s="5" t="str">
        <f>IF(Clean_Data!$Y62&gt;=170,"170+ Match","Below 170")</f>
        <v>170+ Match</v>
      </c>
      <c r="AA62" s="5" t="s">
        <v>50</v>
      </c>
      <c r="AB62" s="17" t="s">
        <v>229</v>
      </c>
    </row>
    <row r="63" spans="1:28" x14ac:dyDescent="0.3">
      <c r="A63" s="18" t="s">
        <v>226</v>
      </c>
      <c r="B63" s="19" t="str">
        <f>LEFT(Clean_Data!$A63,4)</f>
        <v>2017</v>
      </c>
      <c r="C63" s="19" t="s">
        <v>152</v>
      </c>
      <c r="D63" s="19" t="str">
        <f>IF(ISNUMBER(SEARCH("Final",Clean_Data!$C63)),"Final",
IF(ISNUMBER(SEARCH("Semi",Clean_Data!$C63)),"Semi-Final",
IF(ISNUMBER(SEARCH("Elimination",Clean_Data!$C63)),"Eliminator",
"League")))</f>
        <v>League</v>
      </c>
      <c r="E63" s="20" t="s">
        <v>230</v>
      </c>
      <c r="F63" s="19" t="s">
        <v>113</v>
      </c>
      <c r="G63" s="19">
        <v>192</v>
      </c>
      <c r="H63" s="19">
        <v>3</v>
      </c>
      <c r="I63" s="19" t="s">
        <v>143</v>
      </c>
      <c r="J63" s="19">
        <v>156</v>
      </c>
      <c r="K63" s="19">
        <v>10</v>
      </c>
      <c r="L63" s="19" t="s">
        <v>231</v>
      </c>
      <c r="M63" s="19" t="s">
        <v>143</v>
      </c>
      <c r="N63" s="19" t="s">
        <v>26</v>
      </c>
      <c r="O63" s="19" t="s">
        <v>189</v>
      </c>
      <c r="P63" s="19" t="str">
        <f>IF(Clean_Data!$G63&gt;Clean_Data!$J63,Clean_Data!$F63,Clean_Data!$I63)</f>
        <v>Rangpur Riders</v>
      </c>
      <c r="Q63" s="19" t="s">
        <v>28</v>
      </c>
      <c r="R63" s="19" t="s">
        <v>29</v>
      </c>
      <c r="S63" s="19">
        <v>0</v>
      </c>
      <c r="T63" s="19">
        <v>36</v>
      </c>
      <c r="U63" s="19" t="s">
        <v>232</v>
      </c>
      <c r="V63" s="19" t="str">
        <f>IF(Clean_Data!$T63&gt;0,"Runs","Wickets")</f>
        <v>Runs</v>
      </c>
      <c r="W63" s="19">
        <f>IF(Clean_Data!$T63&gt;0,Clean_Data!$T63,Clean_Data!$S63)</f>
        <v>36</v>
      </c>
      <c r="X63" s="19" t="str">
        <f>IF(Clean_Data!$W63&lt;=10,"Close Match","Normal")</f>
        <v>Normal</v>
      </c>
      <c r="Y63" s="19">
        <f>Clean_Data!$G63+Clean_Data!$J63</f>
        <v>348</v>
      </c>
      <c r="Z63" s="19" t="str">
        <f>IF(Clean_Data!$Y63&gt;=170,"170+ Match","Below 170")</f>
        <v>170+ Match</v>
      </c>
      <c r="AA63" s="19" t="s">
        <v>56</v>
      </c>
      <c r="AB63" s="21" t="s">
        <v>233</v>
      </c>
    </row>
    <row r="64" spans="1:28" x14ac:dyDescent="0.3">
      <c r="A64" s="16" t="s">
        <v>226</v>
      </c>
      <c r="B64" s="5" t="str">
        <f>LEFT(Clean_Data!$A64,4)</f>
        <v>2017</v>
      </c>
      <c r="C64" s="5" t="s">
        <v>152</v>
      </c>
      <c r="D64" s="5" t="str">
        <f>IF(ISNUMBER(SEARCH("Final",Clean_Data!$C64)),"Final",
IF(ISNUMBER(SEARCH("Semi",Clean_Data!$C64)),"Semi-Final",
IF(ISNUMBER(SEARCH("Elimination",Clean_Data!$C64)),"Eliminator",
"League")))</f>
        <v>League</v>
      </c>
      <c r="E64" s="6" t="s">
        <v>234</v>
      </c>
      <c r="F64" s="5" t="s">
        <v>160</v>
      </c>
      <c r="G64" s="5">
        <v>191</v>
      </c>
      <c r="H64" s="5">
        <v>7</v>
      </c>
      <c r="I64" s="5" t="s">
        <v>143</v>
      </c>
      <c r="J64" s="5">
        <v>96</v>
      </c>
      <c r="K64" s="5">
        <v>10</v>
      </c>
      <c r="L64" s="5" t="s">
        <v>235</v>
      </c>
      <c r="M64" s="5" t="s">
        <v>160</v>
      </c>
      <c r="N64" s="5" t="s">
        <v>37</v>
      </c>
      <c r="O64" s="5" t="s">
        <v>193</v>
      </c>
      <c r="P64" s="5" t="str">
        <f>IF(Clean_Data!$G64&gt;Clean_Data!$J64,Clean_Data!$F64,Clean_Data!$I64)</f>
        <v>Dhaka Dynamites</v>
      </c>
      <c r="Q64" s="5" t="s">
        <v>28</v>
      </c>
      <c r="R64" s="5" t="s">
        <v>29</v>
      </c>
      <c r="S64" s="5">
        <v>0</v>
      </c>
      <c r="T64" s="5">
        <v>95</v>
      </c>
      <c r="U64" s="5" t="s">
        <v>236</v>
      </c>
      <c r="V64" s="5" t="str">
        <f>IF(Clean_Data!$T64&gt;0,"Runs","Wickets")</f>
        <v>Runs</v>
      </c>
      <c r="W64" s="5">
        <f>IF(Clean_Data!$T64&gt;0,Clean_Data!$T64,Clean_Data!$S64)</f>
        <v>95</v>
      </c>
      <c r="X64" s="5" t="str">
        <f>IF(Clean_Data!$W64&lt;=10,"Close Match","Normal")</f>
        <v>Normal</v>
      </c>
      <c r="Y64" s="5">
        <f>Clean_Data!$G64+Clean_Data!$J64</f>
        <v>287</v>
      </c>
      <c r="Z64" s="5" t="str">
        <f>IF(Clean_Data!$Y64&gt;=170,"170+ Match","Below 170")</f>
        <v>170+ Match</v>
      </c>
      <c r="AA64" s="5" t="s">
        <v>50</v>
      </c>
      <c r="AB64" s="17" t="s">
        <v>66</v>
      </c>
    </row>
    <row r="65" spans="1:28" x14ac:dyDescent="0.3">
      <c r="A65" s="18" t="s">
        <v>226</v>
      </c>
      <c r="B65" s="19" t="str">
        <f>LEFT(Clean_Data!$A65,4)</f>
        <v>2017</v>
      </c>
      <c r="C65" s="19" t="s">
        <v>212</v>
      </c>
      <c r="D65" s="19" t="str">
        <f>IF(ISNUMBER(SEARCH("Final",Clean_Data!$C65)),"Final",
IF(ISNUMBER(SEARCH("Semi",Clean_Data!$C65)),"Semi-Final",
IF(ISNUMBER(SEARCH("Elimination",Clean_Data!$C65)),"Eliminator",
"League")))</f>
        <v>League</v>
      </c>
      <c r="E65" s="20" t="s">
        <v>234</v>
      </c>
      <c r="F65" s="19" t="s">
        <v>206</v>
      </c>
      <c r="G65" s="19">
        <v>167</v>
      </c>
      <c r="H65" s="19">
        <v>6</v>
      </c>
      <c r="I65" s="19" t="s">
        <v>113</v>
      </c>
      <c r="J65" s="19">
        <v>171</v>
      </c>
      <c r="K65" s="19">
        <v>2</v>
      </c>
      <c r="L65" s="19" t="s">
        <v>102</v>
      </c>
      <c r="M65" s="19" t="s">
        <v>113</v>
      </c>
      <c r="N65" s="19" t="s">
        <v>26</v>
      </c>
      <c r="O65" s="19" t="s">
        <v>189</v>
      </c>
      <c r="P65" s="19" t="str">
        <f>IF(Clean_Data!$G65&gt;Clean_Data!$J65,Clean_Data!$F65,Clean_Data!$I65)</f>
        <v>Rangpur Riders</v>
      </c>
      <c r="Q65" s="19" t="s">
        <v>28</v>
      </c>
      <c r="R65" s="19" t="s">
        <v>29</v>
      </c>
      <c r="S65" s="19">
        <v>8</v>
      </c>
      <c r="T65" s="19">
        <v>0</v>
      </c>
      <c r="U65" s="19" t="s">
        <v>30</v>
      </c>
      <c r="V65" s="19" t="str">
        <f>IF(Clean_Data!$T65&gt;0,"Runs","Wickets")</f>
        <v>Wickets</v>
      </c>
      <c r="W65" s="19">
        <f>IF(Clean_Data!$T65&gt;0,Clean_Data!$T65,Clean_Data!$S65)</f>
        <v>8</v>
      </c>
      <c r="X65" s="19" t="str">
        <f>IF(Clean_Data!$W65&lt;=10,"Close Match","Normal")</f>
        <v>Close Match</v>
      </c>
      <c r="Y65" s="19">
        <f>Clean_Data!$G65+Clean_Data!$J65</f>
        <v>338</v>
      </c>
      <c r="Z65" s="19" t="str">
        <f>IF(Clean_Data!$Y65&gt;=170,"170+ Match","Below 170")</f>
        <v>170+ Match</v>
      </c>
      <c r="AA65" s="19" t="s">
        <v>72</v>
      </c>
      <c r="AB65" s="21" t="s">
        <v>66</v>
      </c>
    </row>
    <row r="66" spans="1:28" x14ac:dyDescent="0.3">
      <c r="A66" s="16" t="s">
        <v>226</v>
      </c>
      <c r="B66" s="5" t="str">
        <f>LEFT(Clean_Data!$A66,4)</f>
        <v>2017</v>
      </c>
      <c r="C66" s="5" t="s">
        <v>106</v>
      </c>
      <c r="D66" s="5" t="str">
        <f>IF(ISNUMBER(SEARCH("Final",Clean_Data!$C66)),"Final",
IF(ISNUMBER(SEARCH("Semi",Clean_Data!$C66)),"Semi-Final",
IF(ISNUMBER(SEARCH("Elimination",Clean_Data!$C66)),"Eliminator",
"League")))</f>
        <v>League</v>
      </c>
      <c r="E66" s="6" t="s">
        <v>237</v>
      </c>
      <c r="F66" s="5" t="s">
        <v>143</v>
      </c>
      <c r="G66" s="5">
        <v>170</v>
      </c>
      <c r="H66" s="5">
        <v>4</v>
      </c>
      <c r="I66" s="5" t="s">
        <v>238</v>
      </c>
      <c r="J66" s="5">
        <v>145</v>
      </c>
      <c r="K66" s="5">
        <v>7</v>
      </c>
      <c r="L66" s="5" t="s">
        <v>239</v>
      </c>
      <c r="M66" s="5" t="s">
        <v>238</v>
      </c>
      <c r="N66" s="5" t="s">
        <v>26</v>
      </c>
      <c r="O66" s="5" t="s">
        <v>145</v>
      </c>
      <c r="P66" s="5" t="str">
        <f>IF(Clean_Data!$G66&gt;Clean_Data!$J66,Clean_Data!$F66,Clean_Data!$I66)</f>
        <v>Comilla Victorians</v>
      </c>
      <c r="Q66" s="5" t="s">
        <v>28</v>
      </c>
      <c r="R66" s="5" t="s">
        <v>29</v>
      </c>
      <c r="S66" s="5">
        <v>0</v>
      </c>
      <c r="T66" s="5">
        <v>25</v>
      </c>
      <c r="U66" s="5" t="s">
        <v>240</v>
      </c>
      <c r="V66" s="5" t="str">
        <f>IF(Clean_Data!$T66&gt;0,"Runs","Wickets")</f>
        <v>Runs</v>
      </c>
      <c r="W66" s="5">
        <f>IF(Clean_Data!$T66&gt;0,Clean_Data!$T66,Clean_Data!$S66)</f>
        <v>25</v>
      </c>
      <c r="X66" s="5" t="str">
        <f>IF(Clean_Data!$W66&lt;=10,"Close Match","Normal")</f>
        <v>Normal</v>
      </c>
      <c r="Y66" s="5">
        <f>Clean_Data!$G66+Clean_Data!$J66</f>
        <v>315</v>
      </c>
      <c r="Z66" s="5" t="str">
        <f>IF(Clean_Data!$Y66&gt;=170,"170+ Match","Below 170")</f>
        <v>170+ Match</v>
      </c>
      <c r="AA66" s="5" t="s">
        <v>241</v>
      </c>
      <c r="AB66" s="17" t="s">
        <v>242</v>
      </c>
    </row>
    <row r="67" spans="1:28" x14ac:dyDescent="0.3">
      <c r="A67" s="18" t="s">
        <v>226</v>
      </c>
      <c r="B67" s="19" t="str">
        <f>LEFT(Clean_Data!$A67,4)</f>
        <v>2017</v>
      </c>
      <c r="C67" s="19" t="s">
        <v>112</v>
      </c>
      <c r="D67" s="19" t="str">
        <f>IF(ISNUMBER(SEARCH("Final",Clean_Data!$C67)),"Final",
IF(ISNUMBER(SEARCH("Semi",Clean_Data!$C67)),"Semi-Final",
IF(ISNUMBER(SEARCH("Elimination",Clean_Data!$C67)),"Eliminator",
"League")))</f>
        <v>League</v>
      </c>
      <c r="E67" s="20" t="s">
        <v>237</v>
      </c>
      <c r="F67" s="19" t="s">
        <v>160</v>
      </c>
      <c r="G67" s="19">
        <v>137</v>
      </c>
      <c r="H67" s="19">
        <v>7</v>
      </c>
      <c r="I67" s="19" t="s">
        <v>113</v>
      </c>
      <c r="J67" s="19">
        <v>94</v>
      </c>
      <c r="K67" s="19">
        <v>7</v>
      </c>
      <c r="L67" s="19" t="s">
        <v>108</v>
      </c>
      <c r="M67" s="19" t="s">
        <v>160</v>
      </c>
      <c r="N67" s="19" t="s">
        <v>37</v>
      </c>
      <c r="O67" s="19" t="s">
        <v>193</v>
      </c>
      <c r="P67" s="19" t="str">
        <f>IF(Clean_Data!$G67&gt;Clean_Data!$J67,Clean_Data!$F67,Clean_Data!$I67)</f>
        <v>Dhaka Dynamites</v>
      </c>
      <c r="Q67" s="19" t="s">
        <v>28</v>
      </c>
      <c r="R67" s="19" t="s">
        <v>29</v>
      </c>
      <c r="S67" s="19">
        <v>0</v>
      </c>
      <c r="T67" s="19">
        <v>43</v>
      </c>
      <c r="U67" s="19" t="s">
        <v>76</v>
      </c>
      <c r="V67" s="19" t="str">
        <f>IF(Clean_Data!$T67&gt;0,"Runs","Wickets")</f>
        <v>Runs</v>
      </c>
      <c r="W67" s="19">
        <f>IF(Clean_Data!$T67&gt;0,Clean_Data!$T67,Clean_Data!$S67)</f>
        <v>43</v>
      </c>
      <c r="X67" s="19" t="str">
        <f>IF(Clean_Data!$W67&lt;=10,"Close Match","Normal")</f>
        <v>Normal</v>
      </c>
      <c r="Y67" s="19">
        <f>Clean_Data!$G67+Clean_Data!$J67</f>
        <v>231</v>
      </c>
      <c r="Z67" s="19" t="str">
        <f>IF(Clean_Data!$Y67&gt;=170,"170+ Match","Below 170")</f>
        <v>170+ Match</v>
      </c>
      <c r="AA67" s="19" t="s">
        <v>39</v>
      </c>
      <c r="AB67" s="21" t="s">
        <v>229</v>
      </c>
    </row>
    <row r="68" spans="1:28" x14ac:dyDescent="0.3">
      <c r="A68" s="16" t="s">
        <v>226</v>
      </c>
      <c r="B68" s="5" t="str">
        <f>LEFT(Clean_Data!$A68,4)</f>
        <v>2017</v>
      </c>
      <c r="C68" s="5" t="s">
        <v>119</v>
      </c>
      <c r="D68" s="5" t="str">
        <f>IF(ISNUMBER(SEARCH("Final",Clean_Data!$C68)),"Final",
IF(ISNUMBER(SEARCH("Semi",Clean_Data!$C68)),"Semi-Final",
IF(ISNUMBER(SEARCH("Elimination",Clean_Data!$C68)),"Eliminator",
"League")))</f>
        <v>League</v>
      </c>
      <c r="E68" s="6" t="s">
        <v>243</v>
      </c>
      <c r="F68" s="5" t="s">
        <v>179</v>
      </c>
      <c r="G68" s="5">
        <v>194</v>
      </c>
      <c r="H68" s="5">
        <v>2</v>
      </c>
      <c r="I68" s="5" t="s">
        <v>199</v>
      </c>
      <c r="J68" s="5">
        <v>149</v>
      </c>
      <c r="K68" s="5">
        <v>9</v>
      </c>
      <c r="L68" s="5" t="s">
        <v>244</v>
      </c>
      <c r="M68" s="5" t="s">
        <v>199</v>
      </c>
      <c r="N68" s="5" t="s">
        <v>26</v>
      </c>
      <c r="O68" s="5" t="s">
        <v>245</v>
      </c>
      <c r="P68" s="5" t="str">
        <f>IF(Clean_Data!$G68&gt;Clean_Data!$J68,Clean_Data!$F68,Clean_Data!$I68)</f>
        <v>Chittagong Vikings</v>
      </c>
      <c r="Q68" s="5" t="s">
        <v>28</v>
      </c>
      <c r="R68" s="5" t="s">
        <v>29</v>
      </c>
      <c r="S68" s="5">
        <v>0</v>
      </c>
      <c r="T68" s="5">
        <v>45</v>
      </c>
      <c r="U68" s="5" t="s">
        <v>194</v>
      </c>
      <c r="V68" s="5" t="str">
        <f>IF(Clean_Data!$T68&gt;0,"Runs","Wickets")</f>
        <v>Runs</v>
      </c>
      <c r="W68" s="5">
        <f>IF(Clean_Data!$T68&gt;0,Clean_Data!$T68,Clean_Data!$S68)</f>
        <v>45</v>
      </c>
      <c r="X68" s="5" t="str">
        <f>IF(Clean_Data!$W68&lt;=10,"Close Match","Normal")</f>
        <v>Normal</v>
      </c>
      <c r="Y68" s="5">
        <f>Clean_Data!$G68+Clean_Data!$J68</f>
        <v>343</v>
      </c>
      <c r="Z68" s="5" t="str">
        <f>IF(Clean_Data!$Y68&gt;=170,"170+ Match","Below 170")</f>
        <v>170+ Match</v>
      </c>
      <c r="AA68" s="5" t="s">
        <v>50</v>
      </c>
      <c r="AB68" s="17" t="s">
        <v>246</v>
      </c>
    </row>
    <row r="69" spans="1:28" x14ac:dyDescent="0.3">
      <c r="A69" s="18" t="s">
        <v>226</v>
      </c>
      <c r="B69" s="19" t="str">
        <f>LEFT(Clean_Data!$A69,4)</f>
        <v>2017</v>
      </c>
      <c r="C69" s="19" t="s">
        <v>129</v>
      </c>
      <c r="D69" s="19" t="str">
        <f>IF(ISNUMBER(SEARCH("Final",Clean_Data!$C69)),"Final",
IF(ISNUMBER(SEARCH("Semi",Clean_Data!$C69)),"Semi-Final",
IF(ISNUMBER(SEARCH("Elimination",Clean_Data!$C69)),"Eliminator",
"League")))</f>
        <v>League</v>
      </c>
      <c r="E69" s="20" t="s">
        <v>243</v>
      </c>
      <c r="F69" s="19" t="s">
        <v>206</v>
      </c>
      <c r="G69" s="19">
        <v>174</v>
      </c>
      <c r="H69" s="19">
        <v>6</v>
      </c>
      <c r="I69" s="19" t="s">
        <v>143</v>
      </c>
      <c r="J69" s="19">
        <v>160</v>
      </c>
      <c r="K69" s="19">
        <v>7</v>
      </c>
      <c r="L69" s="19" t="s">
        <v>247</v>
      </c>
      <c r="M69" s="19" t="s">
        <v>206</v>
      </c>
      <c r="N69" s="19" t="s">
        <v>37</v>
      </c>
      <c r="O69" s="19" t="s">
        <v>215</v>
      </c>
      <c r="P69" s="19" t="str">
        <f>IF(Clean_Data!$G69&gt;Clean_Data!$J69,Clean_Data!$F69,Clean_Data!$I69)</f>
        <v>Khulna Titans</v>
      </c>
      <c r="Q69" s="19" t="s">
        <v>28</v>
      </c>
      <c r="R69" s="19" t="s">
        <v>29</v>
      </c>
      <c r="S69" s="19">
        <v>0</v>
      </c>
      <c r="T69" s="19">
        <v>14</v>
      </c>
      <c r="U69" s="19" t="s">
        <v>135</v>
      </c>
      <c r="V69" s="19" t="str">
        <f>IF(Clean_Data!$T69&gt;0,"Runs","Wickets")</f>
        <v>Runs</v>
      </c>
      <c r="W69" s="19">
        <f>IF(Clean_Data!$T69&gt;0,Clean_Data!$T69,Clean_Data!$S69)</f>
        <v>14</v>
      </c>
      <c r="X69" s="19" t="str">
        <f>IF(Clean_Data!$W69&lt;=10,"Close Match","Normal")</f>
        <v>Normal</v>
      </c>
      <c r="Y69" s="19">
        <f>Clean_Data!$G69+Clean_Data!$J69</f>
        <v>334</v>
      </c>
      <c r="Z69" s="19" t="str">
        <f>IF(Clean_Data!$Y69&gt;=170,"170+ Match","Below 170")</f>
        <v>170+ Match</v>
      </c>
      <c r="AA69" s="19" t="s">
        <v>216</v>
      </c>
      <c r="AB69" s="21" t="s">
        <v>229</v>
      </c>
    </row>
    <row r="70" spans="1:28" x14ac:dyDescent="0.3">
      <c r="A70" s="16" t="s">
        <v>226</v>
      </c>
      <c r="B70" s="5" t="str">
        <f>LEFT(Clean_Data!$A70,4)</f>
        <v>2017</v>
      </c>
      <c r="C70" s="5" t="s">
        <v>136</v>
      </c>
      <c r="D70" s="5" t="str">
        <f>IF(ISNUMBER(SEARCH("Final",Clean_Data!$C70)),"Final",
IF(ISNUMBER(SEARCH("Semi",Clean_Data!$C70)),"Semi-Final",
IF(ISNUMBER(SEARCH("Elimination",Clean_Data!$C70)),"Eliminator",
"League")))</f>
        <v>League</v>
      </c>
      <c r="E70" s="6" t="s">
        <v>248</v>
      </c>
      <c r="F70" s="5" t="s">
        <v>113</v>
      </c>
      <c r="G70" s="5">
        <v>147</v>
      </c>
      <c r="H70" s="5">
        <v>6</v>
      </c>
      <c r="I70" s="5" t="s">
        <v>206</v>
      </c>
      <c r="J70" s="5">
        <v>128</v>
      </c>
      <c r="K70" s="5">
        <v>8</v>
      </c>
      <c r="L70" s="5" t="s">
        <v>249</v>
      </c>
      <c r="M70" s="5" t="s">
        <v>206</v>
      </c>
      <c r="N70" s="5" t="s">
        <v>26</v>
      </c>
      <c r="O70" s="5" t="s">
        <v>189</v>
      </c>
      <c r="P70" s="5" t="str">
        <f>IF(Clean_Data!$G70&gt;Clean_Data!$J70,Clean_Data!$F70,Clean_Data!$I70)</f>
        <v>Rangpur Riders</v>
      </c>
      <c r="Q70" s="5" t="s">
        <v>28</v>
      </c>
      <c r="R70" s="5" t="s">
        <v>29</v>
      </c>
      <c r="S70" s="5">
        <v>0</v>
      </c>
      <c r="T70" s="5">
        <v>19</v>
      </c>
      <c r="U70" s="5" t="s">
        <v>196</v>
      </c>
      <c r="V70" s="5" t="str">
        <f>IF(Clean_Data!$T70&gt;0,"Runs","Wickets")</f>
        <v>Runs</v>
      </c>
      <c r="W70" s="5">
        <f>IF(Clean_Data!$T70&gt;0,Clean_Data!$T70,Clean_Data!$S70)</f>
        <v>19</v>
      </c>
      <c r="X70" s="5" t="str">
        <f>IF(Clean_Data!$W70&lt;=10,"Close Match","Normal")</f>
        <v>Normal</v>
      </c>
      <c r="Y70" s="5">
        <f>Clean_Data!$G70+Clean_Data!$J70</f>
        <v>275</v>
      </c>
      <c r="Z70" s="5" t="str">
        <f>IF(Clean_Data!$Y70&gt;=170,"170+ Match","Below 170")</f>
        <v>170+ Match</v>
      </c>
      <c r="AA70" s="5" t="s">
        <v>66</v>
      </c>
      <c r="AB70" s="17" t="s">
        <v>229</v>
      </c>
    </row>
    <row r="71" spans="1:28" x14ac:dyDescent="0.3">
      <c r="A71" s="18" t="s">
        <v>226</v>
      </c>
      <c r="B71" s="19" t="str">
        <f>LEFT(Clean_Data!$A71,4)</f>
        <v>2017</v>
      </c>
      <c r="C71" s="19" t="s">
        <v>224</v>
      </c>
      <c r="D71" s="19" t="str">
        <f>IF(ISNUMBER(SEARCH("Final",Clean_Data!$C71)),"Final",
IF(ISNUMBER(SEARCH("Semi",Clean_Data!$C71)),"Semi-Final",
IF(ISNUMBER(SEARCH("Elimination",Clean_Data!$C71)),"Eliminator",
"League")))</f>
        <v>League</v>
      </c>
      <c r="E71" s="20" t="s">
        <v>248</v>
      </c>
      <c r="F71" s="19" t="s">
        <v>179</v>
      </c>
      <c r="G71" s="19">
        <v>67</v>
      </c>
      <c r="H71" s="19">
        <v>10</v>
      </c>
      <c r="I71" s="19" t="s">
        <v>238</v>
      </c>
      <c r="J71" s="19">
        <v>68</v>
      </c>
      <c r="K71" s="19">
        <v>0</v>
      </c>
      <c r="L71" s="19" t="s">
        <v>97</v>
      </c>
      <c r="M71" s="19" t="s">
        <v>238</v>
      </c>
      <c r="N71" s="19" t="s">
        <v>26</v>
      </c>
      <c r="O71" s="19" t="s">
        <v>250</v>
      </c>
      <c r="P71" s="19" t="str">
        <f>IF(Clean_Data!$G71&gt;Clean_Data!$J71,Clean_Data!$F71,Clean_Data!$I71)</f>
        <v>Sylhet Sixers</v>
      </c>
      <c r="Q71" s="19" t="s">
        <v>28</v>
      </c>
      <c r="R71" s="19" t="s">
        <v>29</v>
      </c>
      <c r="S71" s="19">
        <v>10</v>
      </c>
      <c r="T71" s="19">
        <v>0</v>
      </c>
      <c r="U71" s="19" t="s">
        <v>209</v>
      </c>
      <c r="V71" s="19" t="str">
        <f>IF(Clean_Data!$T71&gt;0,"Runs","Wickets")</f>
        <v>Wickets</v>
      </c>
      <c r="W71" s="19">
        <f>IF(Clean_Data!$T71&gt;0,Clean_Data!$T71,Clean_Data!$S71)</f>
        <v>10</v>
      </c>
      <c r="X71" s="19" t="str">
        <f>IF(Clean_Data!$W71&lt;=10,"Close Match","Normal")</f>
        <v>Close Match</v>
      </c>
      <c r="Y71" s="19">
        <f>Clean_Data!$G71+Clean_Data!$J71</f>
        <v>135</v>
      </c>
      <c r="Z71" s="19" t="str">
        <f>IF(Clean_Data!$Y71&gt;=170,"170+ Match","Below 170")</f>
        <v>Below 170</v>
      </c>
      <c r="AA71" s="19" t="s">
        <v>39</v>
      </c>
      <c r="AB71" s="21" t="s">
        <v>225</v>
      </c>
    </row>
    <row r="72" spans="1:28" x14ac:dyDescent="0.3">
      <c r="A72" s="16" t="s">
        <v>251</v>
      </c>
      <c r="B72" s="5" t="str">
        <f>LEFT(Clean_Data!$A72,4)</f>
        <v>2018</v>
      </c>
      <c r="C72" s="5" t="s">
        <v>21</v>
      </c>
      <c r="D72" s="5" t="str">
        <f>IF(ISNUMBER(SEARCH("Final",Clean_Data!$C72)),"Final",
IF(ISNUMBER(SEARCH("Semi",Clean_Data!$C72)),"Semi-Final",
IF(ISNUMBER(SEARCH("Elimination",Clean_Data!$C72)),"Eliminator",
"League")))</f>
        <v>Final</v>
      </c>
      <c r="E72" s="6" t="s">
        <v>252</v>
      </c>
      <c r="F72" s="5" t="s">
        <v>143</v>
      </c>
      <c r="G72" s="5">
        <v>199</v>
      </c>
      <c r="H72" s="5">
        <v>3</v>
      </c>
      <c r="I72" s="5" t="s">
        <v>160</v>
      </c>
      <c r="J72" s="5">
        <v>182</v>
      </c>
      <c r="K72" s="5">
        <v>9</v>
      </c>
      <c r="L72" s="5" t="s">
        <v>253</v>
      </c>
      <c r="M72" s="5" t="s">
        <v>160</v>
      </c>
      <c r="N72" s="5" t="s">
        <v>26</v>
      </c>
      <c r="O72" s="5" t="s">
        <v>145</v>
      </c>
      <c r="P72" s="5" t="str">
        <f>IF(Clean_Data!$G72&gt;Clean_Data!$J72,Clean_Data!$F72,Clean_Data!$I72)</f>
        <v>Comilla Victorians</v>
      </c>
      <c r="Q72" s="5" t="s">
        <v>28</v>
      </c>
      <c r="R72" s="5" t="s">
        <v>29</v>
      </c>
      <c r="S72" s="5">
        <v>0</v>
      </c>
      <c r="T72" s="5">
        <v>17</v>
      </c>
      <c r="U72" s="5" t="s">
        <v>254</v>
      </c>
      <c r="V72" s="5" t="str">
        <f>IF(Clean_Data!$T72&gt;0,"Runs","Wickets")</f>
        <v>Runs</v>
      </c>
      <c r="W72" s="5">
        <f>IF(Clean_Data!$T72&gt;0,Clean_Data!$T72,Clean_Data!$S72)</f>
        <v>17</v>
      </c>
      <c r="X72" s="5" t="str">
        <f>IF(Clean_Data!$W72&lt;=10,"Close Match","Normal")</f>
        <v>Normal</v>
      </c>
      <c r="Y72" s="5">
        <f>Clean_Data!$G72+Clean_Data!$J72</f>
        <v>381</v>
      </c>
      <c r="Z72" s="5" t="str">
        <f>IF(Clean_Data!$Y72&gt;=170,"170+ Match","Below 170")</f>
        <v>170+ Match</v>
      </c>
      <c r="AA72" s="5" t="s">
        <v>255</v>
      </c>
      <c r="AB72" s="17" t="s">
        <v>147</v>
      </c>
    </row>
    <row r="73" spans="1:28" x14ac:dyDescent="0.3">
      <c r="A73" s="18" t="s">
        <v>251</v>
      </c>
      <c r="B73" s="19" t="str">
        <f>LEFT(Clean_Data!$A73,4)</f>
        <v>2018</v>
      </c>
      <c r="C73" s="19" t="s">
        <v>33</v>
      </c>
      <c r="D73" s="19" t="str">
        <f>IF(ISNUMBER(SEARCH("Final",Clean_Data!$C73)),"Final",
IF(ISNUMBER(SEARCH("Semi",Clean_Data!$C73)),"Semi-Final",
IF(ISNUMBER(SEARCH("Elimination",Clean_Data!$C73)),"Eliminator",
"League")))</f>
        <v>League</v>
      </c>
      <c r="E73" s="20" t="s">
        <v>256</v>
      </c>
      <c r="F73" s="19" t="s">
        <v>113</v>
      </c>
      <c r="G73" s="19">
        <v>142</v>
      </c>
      <c r="H73" s="19">
        <v>10</v>
      </c>
      <c r="I73" s="19" t="s">
        <v>160</v>
      </c>
      <c r="J73" s="19">
        <v>147</v>
      </c>
      <c r="K73" s="19">
        <v>5</v>
      </c>
      <c r="L73" s="19" t="s">
        <v>257</v>
      </c>
      <c r="M73" s="19" t="s">
        <v>160</v>
      </c>
      <c r="N73" s="19" t="s">
        <v>26</v>
      </c>
      <c r="O73" s="19" t="s">
        <v>193</v>
      </c>
      <c r="P73" s="19" t="str">
        <f>IF(Clean_Data!$G73&gt;Clean_Data!$J73,Clean_Data!$F73,Clean_Data!$I73)</f>
        <v>Dhaka Dynamites</v>
      </c>
      <c r="Q73" s="19" t="s">
        <v>28</v>
      </c>
      <c r="R73" s="19" t="s">
        <v>29</v>
      </c>
      <c r="S73" s="19">
        <v>5</v>
      </c>
      <c r="T73" s="19">
        <v>0</v>
      </c>
      <c r="U73" s="19" t="s">
        <v>55</v>
      </c>
      <c r="V73" s="19" t="str">
        <f>IF(Clean_Data!$T73&gt;0,"Runs","Wickets")</f>
        <v>Wickets</v>
      </c>
      <c r="W73" s="19">
        <f>IF(Clean_Data!$T73&gt;0,Clean_Data!$T73,Clean_Data!$S73)</f>
        <v>5</v>
      </c>
      <c r="X73" s="19" t="str">
        <f>IF(Clean_Data!$W73&lt;=10,"Close Match","Normal")</f>
        <v>Close Match</v>
      </c>
      <c r="Y73" s="19">
        <f>Clean_Data!$G73+Clean_Data!$J73</f>
        <v>289</v>
      </c>
      <c r="Z73" s="19" t="str">
        <f>IF(Clean_Data!$Y73&gt;=170,"170+ Match","Below 170")</f>
        <v>170+ Match</v>
      </c>
      <c r="AA73" s="19" t="s">
        <v>255</v>
      </c>
      <c r="AB73" s="21" t="s">
        <v>66</v>
      </c>
    </row>
    <row r="74" spans="1:28" x14ac:dyDescent="0.3">
      <c r="A74" s="16" t="s">
        <v>251</v>
      </c>
      <c r="B74" s="5" t="str">
        <f>LEFT(Clean_Data!$A74,4)</f>
        <v>2018</v>
      </c>
      <c r="C74" s="5" t="s">
        <v>40</v>
      </c>
      <c r="D74" s="5" t="str">
        <f>IF(ISNUMBER(SEARCH("Final",Clean_Data!$C74)),"Final",
IF(ISNUMBER(SEARCH("Semi",Clean_Data!$C74)),"Semi-Final",
IF(ISNUMBER(SEARCH("Elimination",Clean_Data!$C74)),"Eliminator",
"League")))</f>
        <v>League</v>
      </c>
      <c r="E74" s="6" t="s">
        <v>258</v>
      </c>
      <c r="F74" s="5" t="s">
        <v>113</v>
      </c>
      <c r="G74" s="5">
        <v>165</v>
      </c>
      <c r="H74" s="5">
        <v>5</v>
      </c>
      <c r="I74" s="5" t="s">
        <v>143</v>
      </c>
      <c r="J74" s="5">
        <v>166</v>
      </c>
      <c r="K74" s="5">
        <v>2</v>
      </c>
      <c r="L74" s="5" t="s">
        <v>259</v>
      </c>
      <c r="M74" s="5" t="s">
        <v>113</v>
      </c>
      <c r="N74" s="5" t="s">
        <v>37</v>
      </c>
      <c r="O74" s="5" t="s">
        <v>145</v>
      </c>
      <c r="P74" s="5" t="str">
        <f>IF(Clean_Data!$G74&gt;Clean_Data!$J74,Clean_Data!$F74,Clean_Data!$I74)</f>
        <v>Comilla Victorians</v>
      </c>
      <c r="Q74" s="5" t="s">
        <v>28</v>
      </c>
      <c r="R74" s="5" t="s">
        <v>29</v>
      </c>
      <c r="S74" s="5">
        <v>8</v>
      </c>
      <c r="T74" s="5">
        <v>0</v>
      </c>
      <c r="U74" s="5" t="s">
        <v>30</v>
      </c>
      <c r="V74" s="5" t="str">
        <f>IF(Clean_Data!$T74&gt;0,"Runs","Wickets")</f>
        <v>Wickets</v>
      </c>
      <c r="W74" s="5">
        <f>IF(Clean_Data!$T74&gt;0,Clean_Data!$T74,Clean_Data!$S74)</f>
        <v>8</v>
      </c>
      <c r="X74" s="5" t="str">
        <f>IF(Clean_Data!$W74&lt;=10,"Close Match","Normal")</f>
        <v>Close Match</v>
      </c>
      <c r="Y74" s="5">
        <f>Clean_Data!$G74+Clean_Data!$J74</f>
        <v>331</v>
      </c>
      <c r="Z74" s="5" t="str">
        <f>IF(Clean_Data!$Y74&gt;=170,"170+ Match","Below 170")</f>
        <v>170+ Match</v>
      </c>
      <c r="AA74" s="5" t="s">
        <v>255</v>
      </c>
      <c r="AB74" s="17" t="s">
        <v>44</v>
      </c>
    </row>
    <row r="75" spans="1:28" x14ac:dyDescent="0.3">
      <c r="A75" s="18" t="s">
        <v>251</v>
      </c>
      <c r="B75" s="19" t="str">
        <f>LEFT(Clean_Data!$A75,4)</f>
        <v>2018</v>
      </c>
      <c r="C75" s="19" t="s">
        <v>212</v>
      </c>
      <c r="D75" s="19" t="str">
        <f>IF(ISNUMBER(SEARCH("Final",Clean_Data!$C75)),"Final",
IF(ISNUMBER(SEARCH("Semi",Clean_Data!$C75)),"Semi-Final",
IF(ISNUMBER(SEARCH("Elimination",Clean_Data!$C75)),"Eliminator",
"League")))</f>
        <v>League</v>
      </c>
      <c r="E75" s="20" t="s">
        <v>258</v>
      </c>
      <c r="F75" s="19" t="s">
        <v>179</v>
      </c>
      <c r="G75" s="19">
        <v>135</v>
      </c>
      <c r="H75" s="19">
        <v>8</v>
      </c>
      <c r="I75" s="19" t="s">
        <v>160</v>
      </c>
      <c r="J75" s="19">
        <v>136</v>
      </c>
      <c r="K75" s="19">
        <v>4</v>
      </c>
      <c r="L75" s="19" t="s">
        <v>260</v>
      </c>
      <c r="M75" s="19" t="s">
        <v>179</v>
      </c>
      <c r="N75" s="19" t="s">
        <v>37</v>
      </c>
      <c r="O75" s="19" t="s">
        <v>193</v>
      </c>
      <c r="P75" s="19" t="str">
        <f>IF(Clean_Data!$G75&gt;Clean_Data!$J75,Clean_Data!$F75,Clean_Data!$I75)</f>
        <v>Dhaka Dynamites</v>
      </c>
      <c r="Q75" s="19" t="s">
        <v>28</v>
      </c>
      <c r="R75" s="19" t="s">
        <v>29</v>
      </c>
      <c r="S75" s="19">
        <v>6</v>
      </c>
      <c r="T75" s="19">
        <v>0</v>
      </c>
      <c r="U75" s="19" t="s">
        <v>151</v>
      </c>
      <c r="V75" s="19" t="str">
        <f>IF(Clean_Data!$T75&gt;0,"Runs","Wickets")</f>
        <v>Wickets</v>
      </c>
      <c r="W75" s="19">
        <f>IF(Clean_Data!$T75&gt;0,Clean_Data!$T75,Clean_Data!$S75)</f>
        <v>6</v>
      </c>
      <c r="X75" s="19" t="str">
        <f>IF(Clean_Data!$W75&lt;=10,"Close Match","Normal")</f>
        <v>Close Match</v>
      </c>
      <c r="Y75" s="19">
        <f>Clean_Data!$G75+Clean_Data!$J75</f>
        <v>271</v>
      </c>
      <c r="Z75" s="19" t="str">
        <f>IF(Clean_Data!$Y75&gt;=170,"170+ Match","Below 170")</f>
        <v>170+ Match</v>
      </c>
      <c r="AA75" s="19" t="s">
        <v>50</v>
      </c>
      <c r="AB75" s="21" t="s">
        <v>147</v>
      </c>
    </row>
    <row r="76" spans="1:28" x14ac:dyDescent="0.3">
      <c r="A76" s="16" t="s">
        <v>251</v>
      </c>
      <c r="B76" s="5" t="str">
        <f>LEFT(Clean_Data!$A76,4)</f>
        <v>2018</v>
      </c>
      <c r="C76" s="5" t="s">
        <v>106</v>
      </c>
      <c r="D76" s="5" t="str">
        <f>IF(ISNUMBER(SEARCH("Final",Clean_Data!$C76)),"Final",
IF(ISNUMBER(SEARCH("Semi",Clean_Data!$C76)),"Semi-Final",
IF(ISNUMBER(SEARCH("Elimination",Clean_Data!$C76)),"Eliminator",
"League")))</f>
        <v>League</v>
      </c>
      <c r="E76" s="6" t="s">
        <v>261</v>
      </c>
      <c r="F76" s="5" t="s">
        <v>206</v>
      </c>
      <c r="G76" s="5">
        <v>123</v>
      </c>
      <c r="H76" s="5">
        <v>9</v>
      </c>
      <c r="I76" s="5" t="s">
        <v>160</v>
      </c>
      <c r="J76" s="5">
        <v>124</v>
      </c>
      <c r="K76" s="5">
        <v>4</v>
      </c>
      <c r="L76" s="5" t="s">
        <v>262</v>
      </c>
      <c r="M76" s="5" t="s">
        <v>206</v>
      </c>
      <c r="N76" s="5" t="s">
        <v>37</v>
      </c>
      <c r="O76" s="5" t="s">
        <v>193</v>
      </c>
      <c r="P76" s="5" t="str">
        <f>IF(Clean_Data!$G76&gt;Clean_Data!$J76,Clean_Data!$F76,Clean_Data!$I76)</f>
        <v>Dhaka Dynamites</v>
      </c>
      <c r="Q76" s="5" t="s">
        <v>28</v>
      </c>
      <c r="R76" s="5" t="s">
        <v>29</v>
      </c>
      <c r="S76" s="5">
        <v>6</v>
      </c>
      <c r="T76" s="5">
        <v>0</v>
      </c>
      <c r="U76" s="5" t="s">
        <v>151</v>
      </c>
      <c r="V76" s="5" t="str">
        <f>IF(Clean_Data!$T76&gt;0,"Runs","Wickets")</f>
        <v>Wickets</v>
      </c>
      <c r="W76" s="5">
        <f>IF(Clean_Data!$T76&gt;0,Clean_Data!$T76,Clean_Data!$S76)</f>
        <v>6</v>
      </c>
      <c r="X76" s="5" t="str">
        <f>IF(Clean_Data!$W76&lt;=10,"Close Match","Normal")</f>
        <v>Close Match</v>
      </c>
      <c r="Y76" s="5">
        <f>Clean_Data!$G76+Clean_Data!$J76</f>
        <v>247</v>
      </c>
      <c r="Z76" s="5" t="str">
        <f>IF(Clean_Data!$Y76&gt;=170,"170+ Match","Below 170")</f>
        <v>170+ Match</v>
      </c>
      <c r="AA76" s="5" t="s">
        <v>39</v>
      </c>
      <c r="AB76" s="17" t="s">
        <v>147</v>
      </c>
    </row>
    <row r="77" spans="1:28" x14ac:dyDescent="0.3">
      <c r="A77" s="18" t="s">
        <v>251</v>
      </c>
      <c r="B77" s="19" t="str">
        <f>LEFT(Clean_Data!$A77,4)</f>
        <v>2018</v>
      </c>
      <c r="C77" s="19" t="s">
        <v>112</v>
      </c>
      <c r="D77" s="19" t="str">
        <f>IF(ISNUMBER(SEARCH("Final",Clean_Data!$C77)),"Final",
IF(ISNUMBER(SEARCH("Semi",Clean_Data!$C77)),"Semi-Final",
IF(ISNUMBER(SEARCH("Elimination",Clean_Data!$C77)),"Eliminator",
"League")))</f>
        <v>League</v>
      </c>
      <c r="E77" s="20" t="s">
        <v>261</v>
      </c>
      <c r="F77" s="19" t="s">
        <v>143</v>
      </c>
      <c r="G77" s="19">
        <v>72</v>
      </c>
      <c r="H77" s="19">
        <v>10</v>
      </c>
      <c r="I77" s="19" t="s">
        <v>113</v>
      </c>
      <c r="J77" s="19">
        <v>76</v>
      </c>
      <c r="K77" s="19">
        <v>1</v>
      </c>
      <c r="L77" s="19" t="s">
        <v>183</v>
      </c>
      <c r="M77" s="19" t="s">
        <v>143</v>
      </c>
      <c r="N77" s="19" t="s">
        <v>37</v>
      </c>
      <c r="O77" s="19" t="s">
        <v>189</v>
      </c>
      <c r="P77" s="19" t="str">
        <f>IF(Clean_Data!$G77&gt;Clean_Data!$J77,Clean_Data!$F77,Clean_Data!$I77)</f>
        <v>Rangpur Riders</v>
      </c>
      <c r="Q77" s="19" t="s">
        <v>28</v>
      </c>
      <c r="R77" s="19" t="s">
        <v>29</v>
      </c>
      <c r="S77" s="19">
        <v>9</v>
      </c>
      <c r="T77" s="19">
        <v>0</v>
      </c>
      <c r="U77" s="19" t="s">
        <v>71</v>
      </c>
      <c r="V77" s="19" t="str">
        <f>IF(Clean_Data!$T77&gt;0,"Runs","Wickets")</f>
        <v>Wickets</v>
      </c>
      <c r="W77" s="19">
        <f>IF(Clean_Data!$T77&gt;0,Clean_Data!$T77,Clean_Data!$S77)</f>
        <v>9</v>
      </c>
      <c r="X77" s="19" t="str">
        <f>IF(Clean_Data!$W77&lt;=10,"Close Match","Normal")</f>
        <v>Close Match</v>
      </c>
      <c r="Y77" s="19">
        <f>Clean_Data!$G77+Clean_Data!$J77</f>
        <v>148</v>
      </c>
      <c r="Z77" s="19" t="str">
        <f>IF(Clean_Data!$Y77&gt;=170,"170+ Match","Below 170")</f>
        <v>Below 170</v>
      </c>
      <c r="AA77" s="19" t="s">
        <v>263</v>
      </c>
      <c r="AB77" s="21" t="s">
        <v>264</v>
      </c>
    </row>
    <row r="78" spans="1:28" x14ac:dyDescent="0.3">
      <c r="A78" s="16" t="s">
        <v>251</v>
      </c>
      <c r="B78" s="5" t="str">
        <f>LEFT(Clean_Data!$A78,4)</f>
        <v>2018</v>
      </c>
      <c r="C78" s="5" t="s">
        <v>119</v>
      </c>
      <c r="D78" s="5" t="str">
        <f>IF(ISNUMBER(SEARCH("Final",Clean_Data!$C78)),"Final",
IF(ISNUMBER(SEARCH("Semi",Clean_Data!$C78)),"Semi-Final",
IF(ISNUMBER(SEARCH("Elimination",Clean_Data!$C78)),"Eliminator",
"League")))</f>
        <v>League</v>
      </c>
      <c r="E78" s="6" t="s">
        <v>265</v>
      </c>
      <c r="F78" s="5" t="s">
        <v>238</v>
      </c>
      <c r="G78" s="5">
        <v>165</v>
      </c>
      <c r="H78" s="5">
        <v>5</v>
      </c>
      <c r="I78" s="5" t="s">
        <v>179</v>
      </c>
      <c r="J78" s="5">
        <v>136</v>
      </c>
      <c r="K78" s="5">
        <v>10</v>
      </c>
      <c r="L78" s="5" t="s">
        <v>266</v>
      </c>
      <c r="M78" s="5" t="s">
        <v>179</v>
      </c>
      <c r="N78" s="5" t="s">
        <v>26</v>
      </c>
      <c r="O78" s="5" t="s">
        <v>250</v>
      </c>
      <c r="P78" s="5" t="str">
        <f>IF(Clean_Data!$G78&gt;Clean_Data!$J78,Clean_Data!$F78,Clean_Data!$I78)</f>
        <v>Sylhet Sixers</v>
      </c>
      <c r="Q78" s="5" t="s">
        <v>28</v>
      </c>
      <c r="R78" s="5" t="s">
        <v>29</v>
      </c>
      <c r="S78" s="5">
        <v>0</v>
      </c>
      <c r="T78" s="5">
        <v>29</v>
      </c>
      <c r="U78" s="5" t="s">
        <v>109</v>
      </c>
      <c r="V78" s="5" t="str">
        <f>IF(Clean_Data!$T78&gt;0,"Runs","Wickets")</f>
        <v>Runs</v>
      </c>
      <c r="W78" s="5">
        <f>IF(Clean_Data!$T78&gt;0,Clean_Data!$T78,Clean_Data!$S78)</f>
        <v>29</v>
      </c>
      <c r="X78" s="5" t="str">
        <f>IF(Clean_Data!$W78&lt;=10,"Close Match","Normal")</f>
        <v>Normal</v>
      </c>
      <c r="Y78" s="5">
        <f>Clean_Data!$G78+Clean_Data!$J78</f>
        <v>301</v>
      </c>
      <c r="Z78" s="5" t="str">
        <f>IF(Clean_Data!$Y78&gt;=170,"170+ Match","Below 170")</f>
        <v>170+ Match</v>
      </c>
      <c r="AA78" s="5" t="s">
        <v>39</v>
      </c>
      <c r="AB78" s="17" t="s">
        <v>267</v>
      </c>
    </row>
    <row r="79" spans="1:28" x14ac:dyDescent="0.3">
      <c r="A79" s="18" t="s">
        <v>251</v>
      </c>
      <c r="B79" s="19" t="str">
        <f>LEFT(Clean_Data!$A79,4)</f>
        <v>2018</v>
      </c>
      <c r="C79" s="19" t="s">
        <v>129</v>
      </c>
      <c r="D79" s="19" t="str">
        <f>IF(ISNUMBER(SEARCH("Final",Clean_Data!$C79)),"Final",
IF(ISNUMBER(SEARCH("Semi",Clean_Data!$C79)),"Semi-Final",
IF(ISNUMBER(SEARCH("Elimination",Clean_Data!$C79)),"Eliminator",
"League")))</f>
        <v>League</v>
      </c>
      <c r="E79" s="20" t="s">
        <v>265</v>
      </c>
      <c r="F79" s="19" t="s">
        <v>143</v>
      </c>
      <c r="G79" s="19">
        <v>127</v>
      </c>
      <c r="H79" s="19">
        <v>10</v>
      </c>
      <c r="I79" s="19" t="s">
        <v>160</v>
      </c>
      <c r="J79" s="19">
        <v>126</v>
      </c>
      <c r="K79" s="19">
        <v>9</v>
      </c>
      <c r="L79" s="19" t="s">
        <v>268</v>
      </c>
      <c r="M79" s="19" t="s">
        <v>160</v>
      </c>
      <c r="N79" s="19" t="s">
        <v>26</v>
      </c>
      <c r="O79" s="19" t="s">
        <v>145</v>
      </c>
      <c r="P79" s="19" t="str">
        <f>IF(Clean_Data!$G79&gt;Clean_Data!$J79,Clean_Data!$F79,Clean_Data!$I79)</f>
        <v>Comilla Victorians</v>
      </c>
      <c r="Q79" s="19" t="s">
        <v>28</v>
      </c>
      <c r="R79" s="19" t="s">
        <v>29</v>
      </c>
      <c r="S79" s="19">
        <v>0</v>
      </c>
      <c r="T79" s="19">
        <v>0</v>
      </c>
      <c r="U79" s="19" t="s">
        <v>269</v>
      </c>
      <c r="V79" s="19" t="str">
        <f>IF(Clean_Data!$T79&gt;0,"Runs","Wickets")</f>
        <v>Wickets</v>
      </c>
      <c r="W79" s="19">
        <f>IF(Clean_Data!$T79&gt;0,Clean_Data!$T79,Clean_Data!$S79)</f>
        <v>0</v>
      </c>
      <c r="X79" s="19" t="str">
        <f>IF(Clean_Data!$W79&lt;=10,"Close Match","Normal")</f>
        <v>Close Match</v>
      </c>
      <c r="Y79" s="19">
        <f>Clean_Data!$G79+Clean_Data!$J79</f>
        <v>253</v>
      </c>
      <c r="Z79" s="19" t="str">
        <f>IF(Clean_Data!$Y79&gt;=170,"170+ Match","Below 170")</f>
        <v>170+ Match</v>
      </c>
      <c r="AA79" s="19" t="s">
        <v>255</v>
      </c>
      <c r="AB79" s="21" t="s">
        <v>66</v>
      </c>
    </row>
    <row r="80" spans="1:28" x14ac:dyDescent="0.3">
      <c r="A80" s="16" t="s">
        <v>251</v>
      </c>
      <c r="B80" s="5" t="str">
        <f>LEFT(Clean_Data!$A80,4)</f>
        <v>2018</v>
      </c>
      <c r="C80" s="5" t="s">
        <v>136</v>
      </c>
      <c r="D80" s="5" t="str">
        <f>IF(ISNUMBER(SEARCH("Final",Clean_Data!$C80)),"Final",
IF(ISNUMBER(SEARCH("Semi",Clean_Data!$C80)),"Semi-Final",
IF(ISNUMBER(SEARCH("Elimination",Clean_Data!$C80)),"Eliminator",
"League")))</f>
        <v>League</v>
      </c>
      <c r="E80" s="6" t="s">
        <v>270</v>
      </c>
      <c r="F80" s="5" t="s">
        <v>238</v>
      </c>
      <c r="G80" s="5">
        <v>189</v>
      </c>
      <c r="H80" s="5">
        <v>5</v>
      </c>
      <c r="I80" s="5" t="s">
        <v>199</v>
      </c>
      <c r="J80" s="5">
        <v>190</v>
      </c>
      <c r="K80" s="5">
        <v>5</v>
      </c>
      <c r="L80" s="5" t="s">
        <v>271</v>
      </c>
      <c r="M80" s="5" t="s">
        <v>238</v>
      </c>
      <c r="N80" s="5" t="s">
        <v>37</v>
      </c>
      <c r="O80" s="5" t="s">
        <v>208</v>
      </c>
      <c r="P80" s="5" t="str">
        <f>IF(Clean_Data!$G80&gt;Clean_Data!$J80,Clean_Data!$F80,Clean_Data!$I80)</f>
        <v>Rajshahi Kings</v>
      </c>
      <c r="Q80" s="5" t="s">
        <v>88</v>
      </c>
      <c r="R80" s="5" t="s">
        <v>89</v>
      </c>
      <c r="S80" s="5">
        <v>5</v>
      </c>
      <c r="T80" s="5">
        <v>0</v>
      </c>
      <c r="U80" s="5" t="s">
        <v>55</v>
      </c>
      <c r="V80" s="5" t="str">
        <f>IF(Clean_Data!$T80&gt;0,"Runs","Wickets")</f>
        <v>Wickets</v>
      </c>
      <c r="W80" s="5">
        <f>IF(Clean_Data!$T80&gt;0,Clean_Data!$T80,Clean_Data!$S80)</f>
        <v>5</v>
      </c>
      <c r="X80" s="5" t="str">
        <f>IF(Clean_Data!$W80&lt;=10,"Close Match","Normal")</f>
        <v>Close Match</v>
      </c>
      <c r="Y80" s="5">
        <f>Clean_Data!$G80+Clean_Data!$J80</f>
        <v>379</v>
      </c>
      <c r="Z80" s="5" t="str">
        <f>IF(Clean_Data!$Y80&gt;=170,"170+ Match","Below 170")</f>
        <v>170+ Match</v>
      </c>
      <c r="AA80" s="5" t="s">
        <v>147</v>
      </c>
      <c r="AB80" s="17" t="s">
        <v>225</v>
      </c>
    </row>
    <row r="81" spans="1:28" x14ac:dyDescent="0.3">
      <c r="A81" s="18" t="s">
        <v>251</v>
      </c>
      <c r="B81" s="19" t="str">
        <f>LEFT(Clean_Data!$A81,4)</f>
        <v>2018</v>
      </c>
      <c r="C81" s="19" t="s">
        <v>224</v>
      </c>
      <c r="D81" s="19" t="str">
        <f>IF(ISNUMBER(SEARCH("Final",Clean_Data!$C81)),"Final",
IF(ISNUMBER(SEARCH("Semi",Clean_Data!$C81)),"Semi-Final",
IF(ISNUMBER(SEARCH("Elimination",Clean_Data!$C81)),"Eliminator",
"League")))</f>
        <v>League</v>
      </c>
      <c r="E81" s="20" t="s">
        <v>270</v>
      </c>
      <c r="F81" s="19" t="s">
        <v>179</v>
      </c>
      <c r="G81" s="19">
        <v>174</v>
      </c>
      <c r="H81" s="19">
        <v>5</v>
      </c>
      <c r="I81" s="19" t="s">
        <v>160</v>
      </c>
      <c r="J81" s="19">
        <v>163</v>
      </c>
      <c r="K81" s="19">
        <v>9</v>
      </c>
      <c r="L81" s="19" t="s">
        <v>272</v>
      </c>
      <c r="M81" s="19" t="s">
        <v>179</v>
      </c>
      <c r="N81" s="19" t="s">
        <v>37</v>
      </c>
      <c r="O81" s="19" t="s">
        <v>245</v>
      </c>
      <c r="P81" s="19" t="str">
        <f>IF(Clean_Data!$G81&gt;Clean_Data!$J81,Clean_Data!$F81,Clean_Data!$I81)</f>
        <v>Chittagong Vikings</v>
      </c>
      <c r="Q81" s="19" t="s">
        <v>88</v>
      </c>
      <c r="R81" s="19" t="s">
        <v>89</v>
      </c>
      <c r="S81" s="19">
        <v>0</v>
      </c>
      <c r="T81" s="19">
        <v>11</v>
      </c>
      <c r="U81" s="19" t="s">
        <v>273</v>
      </c>
      <c r="V81" s="19" t="str">
        <f>IF(Clean_Data!$T81&gt;0,"Runs","Wickets")</f>
        <v>Runs</v>
      </c>
      <c r="W81" s="19">
        <f>IF(Clean_Data!$T81&gt;0,Clean_Data!$T81,Clean_Data!$S81)</f>
        <v>11</v>
      </c>
      <c r="X81" s="19" t="str">
        <f>IF(Clean_Data!$W81&lt;=10,"Close Match","Normal")</f>
        <v>Normal</v>
      </c>
      <c r="Y81" s="19">
        <f>Clean_Data!$G81+Clean_Data!$J81</f>
        <v>337</v>
      </c>
      <c r="Z81" s="19" t="str">
        <f>IF(Clean_Data!$Y81&gt;=170,"170+ Match","Below 170")</f>
        <v>170+ Match</v>
      </c>
      <c r="AA81" s="19" t="s">
        <v>50</v>
      </c>
      <c r="AB81" s="21" t="s">
        <v>267</v>
      </c>
    </row>
    <row r="82" spans="1:28" x14ac:dyDescent="0.3">
      <c r="A82" s="16" t="s">
        <v>274</v>
      </c>
      <c r="B82" s="5" t="str">
        <f>LEFT(Clean_Data!$A82,4)</f>
        <v>2019</v>
      </c>
      <c r="C82" s="5" t="s">
        <v>21</v>
      </c>
      <c r="D82" s="5" t="str">
        <f>IF(ISNUMBER(SEARCH("Final",Clean_Data!$C82)),"Final",
IF(ISNUMBER(SEARCH("Semi",Clean_Data!$C82)),"Semi-Final",
IF(ISNUMBER(SEARCH("Elimination",Clean_Data!$C82)),"Eliminator",
"League")))</f>
        <v>Final</v>
      </c>
      <c r="E82" s="6" t="s">
        <v>275</v>
      </c>
      <c r="F82" s="5" t="s">
        <v>276</v>
      </c>
      <c r="G82" s="5">
        <v>170</v>
      </c>
      <c r="H82" s="5">
        <v>4</v>
      </c>
      <c r="I82" s="5" t="s">
        <v>277</v>
      </c>
      <c r="J82" s="5">
        <v>149</v>
      </c>
      <c r="K82" s="5">
        <v>8</v>
      </c>
      <c r="L82" s="5" t="s">
        <v>127</v>
      </c>
      <c r="M82" s="5" t="s">
        <v>277</v>
      </c>
      <c r="N82" s="5" t="s">
        <v>26</v>
      </c>
      <c r="O82" s="5" t="s">
        <v>64</v>
      </c>
      <c r="P82" s="5" t="str">
        <f>IF(Clean_Data!$G82&gt;Clean_Data!$J82,Clean_Data!$F82,Clean_Data!$I82)</f>
        <v>Rajshahi Royals</v>
      </c>
      <c r="Q82" s="5" t="s">
        <v>28</v>
      </c>
      <c r="R82" s="5" t="s">
        <v>29</v>
      </c>
      <c r="S82" s="5">
        <v>0</v>
      </c>
      <c r="T82" s="5">
        <v>21</v>
      </c>
      <c r="U82" s="5" t="s">
        <v>165</v>
      </c>
      <c r="V82" s="5" t="str">
        <f>IF(Clean_Data!$T82&gt;0,"Runs","Wickets")</f>
        <v>Runs</v>
      </c>
      <c r="W82" s="5">
        <f>IF(Clean_Data!$T82&gt;0,Clean_Data!$T82,Clean_Data!$S82)</f>
        <v>21</v>
      </c>
      <c r="X82" s="5" t="str">
        <f>IF(Clean_Data!$W82&lt;=10,"Close Match","Normal")</f>
        <v>Normal</v>
      </c>
      <c r="Y82" s="5">
        <f>Clean_Data!$G82+Clean_Data!$J82</f>
        <v>319</v>
      </c>
      <c r="Z82" s="5" t="str">
        <f>IF(Clean_Data!$Y82&gt;=170,"170+ Match","Below 170")</f>
        <v>170+ Match</v>
      </c>
      <c r="AA82" s="5" t="s">
        <v>278</v>
      </c>
      <c r="AB82" s="17" t="s">
        <v>56</v>
      </c>
    </row>
    <row r="83" spans="1:28" x14ac:dyDescent="0.3">
      <c r="A83" s="18" t="s">
        <v>274</v>
      </c>
      <c r="B83" s="19" t="str">
        <f>LEFT(Clean_Data!$A83,4)</f>
        <v>2019</v>
      </c>
      <c r="C83" s="19" t="s">
        <v>33</v>
      </c>
      <c r="D83" s="19" t="str">
        <f>IF(ISNUMBER(SEARCH("Final",Clean_Data!$C83)),"Final",
IF(ISNUMBER(SEARCH("Semi",Clean_Data!$C83)),"Semi-Final",
IF(ISNUMBER(SEARCH("Elimination",Clean_Data!$C83)),"Eliminator",
"League")))</f>
        <v>League</v>
      </c>
      <c r="E83" s="20" t="s">
        <v>279</v>
      </c>
      <c r="F83" s="19" t="s">
        <v>280</v>
      </c>
      <c r="G83" s="19">
        <v>164</v>
      </c>
      <c r="H83" s="19">
        <v>9</v>
      </c>
      <c r="I83" s="19" t="s">
        <v>276</v>
      </c>
      <c r="J83" s="19">
        <v>165</v>
      </c>
      <c r="K83" s="19">
        <v>8</v>
      </c>
      <c r="L83" s="19" t="s">
        <v>127</v>
      </c>
      <c r="M83" s="19" t="s">
        <v>276</v>
      </c>
      <c r="N83" s="19" t="s">
        <v>26</v>
      </c>
      <c r="O83" s="19" t="s">
        <v>64</v>
      </c>
      <c r="P83" s="19" t="str">
        <f>IF(Clean_Data!$G83&gt;Clean_Data!$J83,Clean_Data!$F83,Clean_Data!$I83)</f>
        <v>Rajshahi Royals</v>
      </c>
      <c r="Q83" s="19" t="s">
        <v>28</v>
      </c>
      <c r="R83" s="19" t="s">
        <v>29</v>
      </c>
      <c r="S83" s="19">
        <v>2</v>
      </c>
      <c r="T83" s="19">
        <v>0</v>
      </c>
      <c r="U83" s="19" t="s">
        <v>281</v>
      </c>
      <c r="V83" s="19" t="str">
        <f>IF(Clean_Data!$T83&gt;0,"Runs","Wickets")</f>
        <v>Wickets</v>
      </c>
      <c r="W83" s="19">
        <f>IF(Clean_Data!$T83&gt;0,Clean_Data!$T83,Clean_Data!$S83)</f>
        <v>2</v>
      </c>
      <c r="X83" s="19" t="str">
        <f>IF(Clean_Data!$W83&lt;=10,"Close Match","Normal")</f>
        <v>Close Match</v>
      </c>
      <c r="Y83" s="19">
        <f>Clean_Data!$G83+Clean_Data!$J83</f>
        <v>329</v>
      </c>
      <c r="Z83" s="19" t="str">
        <f>IF(Clean_Data!$Y83&gt;=170,"170+ Match","Below 170")</f>
        <v>170+ Match</v>
      </c>
      <c r="AA83" s="19" t="s">
        <v>278</v>
      </c>
      <c r="AB83" s="21" t="s">
        <v>50</v>
      </c>
    </row>
    <row r="84" spans="1:28" x14ac:dyDescent="0.3">
      <c r="A84" s="16" t="s">
        <v>274</v>
      </c>
      <c r="B84" s="5" t="str">
        <f>LEFT(Clean_Data!$A84,4)</f>
        <v>2019</v>
      </c>
      <c r="C84" s="5" t="s">
        <v>40</v>
      </c>
      <c r="D84" s="5" t="str">
        <f>IF(ISNUMBER(SEARCH("Final",Clean_Data!$C84)),"Final",
IF(ISNUMBER(SEARCH("Semi",Clean_Data!$C84)),"Semi-Final",
IF(ISNUMBER(SEARCH("Elimination",Clean_Data!$C84)),"Eliminator",
"League")))</f>
        <v>League</v>
      </c>
      <c r="E84" s="6" t="s">
        <v>282</v>
      </c>
      <c r="F84" s="5" t="s">
        <v>277</v>
      </c>
      <c r="G84" s="5">
        <v>158</v>
      </c>
      <c r="H84" s="5">
        <v>3</v>
      </c>
      <c r="I84" s="5" t="s">
        <v>276</v>
      </c>
      <c r="J84" s="5">
        <v>131</v>
      </c>
      <c r="K84" s="5">
        <v>10</v>
      </c>
      <c r="L84" s="5" t="s">
        <v>283</v>
      </c>
      <c r="M84" s="5" t="s">
        <v>276</v>
      </c>
      <c r="N84" s="5" t="s">
        <v>26</v>
      </c>
      <c r="O84" s="5" t="s">
        <v>284</v>
      </c>
      <c r="P84" s="5" t="str">
        <f>IF(Clean_Data!$G84&gt;Clean_Data!$J84,Clean_Data!$F84,Clean_Data!$I84)</f>
        <v>Khulna Tigers</v>
      </c>
      <c r="Q84" s="5" t="s">
        <v>28</v>
      </c>
      <c r="R84" s="5" t="s">
        <v>29</v>
      </c>
      <c r="S84" s="5">
        <v>0</v>
      </c>
      <c r="T84" s="5">
        <v>27</v>
      </c>
      <c r="U84" s="5" t="s">
        <v>285</v>
      </c>
      <c r="V84" s="5" t="str">
        <f>IF(Clean_Data!$T84&gt;0,"Runs","Wickets")</f>
        <v>Runs</v>
      </c>
      <c r="W84" s="5">
        <f>IF(Clean_Data!$T84&gt;0,Clean_Data!$T84,Clean_Data!$S84)</f>
        <v>27</v>
      </c>
      <c r="X84" s="5" t="str">
        <f>IF(Clean_Data!$W84&lt;=10,"Close Match","Normal")</f>
        <v>Normal</v>
      </c>
      <c r="Y84" s="5">
        <f>Clean_Data!$G84+Clean_Data!$J84</f>
        <v>289</v>
      </c>
      <c r="Z84" s="5" t="str">
        <f>IF(Clean_Data!$Y84&gt;=170,"170+ Match","Below 170")</f>
        <v>170+ Match</v>
      </c>
      <c r="AA84" s="5" t="s">
        <v>56</v>
      </c>
      <c r="AB84" s="17" t="s">
        <v>286</v>
      </c>
    </row>
    <row r="85" spans="1:28" x14ac:dyDescent="0.3">
      <c r="A85" s="18" t="s">
        <v>274</v>
      </c>
      <c r="B85" s="19" t="str">
        <f>LEFT(Clean_Data!$A85,4)</f>
        <v>2019</v>
      </c>
      <c r="C85" s="19" t="s">
        <v>212</v>
      </c>
      <c r="D85" s="19" t="str">
        <f>IF(ISNUMBER(SEARCH("Final",Clean_Data!$C85)),"Final",
IF(ISNUMBER(SEARCH("Semi",Clean_Data!$C85)),"Semi-Final",
IF(ISNUMBER(SEARCH("Elimination",Clean_Data!$C85)),"Eliminator",
"League")))</f>
        <v>League</v>
      </c>
      <c r="E85" s="20" t="s">
        <v>282</v>
      </c>
      <c r="F85" s="19" t="s">
        <v>287</v>
      </c>
      <c r="G85" s="19">
        <v>144</v>
      </c>
      <c r="H85" s="19">
        <v>8</v>
      </c>
      <c r="I85" s="19" t="s">
        <v>280</v>
      </c>
      <c r="J85" s="19">
        <v>147</v>
      </c>
      <c r="K85" s="19">
        <v>3</v>
      </c>
      <c r="L85" s="19" t="s">
        <v>288</v>
      </c>
      <c r="M85" s="19" t="s">
        <v>280</v>
      </c>
      <c r="N85" s="19" t="s">
        <v>26</v>
      </c>
      <c r="O85" s="19" t="s">
        <v>289</v>
      </c>
      <c r="P85" s="19" t="str">
        <f>IF(Clean_Data!$G85&gt;Clean_Data!$J85,Clean_Data!$F85,Clean_Data!$I85)</f>
        <v>Chattogram Challengers</v>
      </c>
      <c r="Q85" s="19" t="s">
        <v>28</v>
      </c>
      <c r="R85" s="19" t="s">
        <v>29</v>
      </c>
      <c r="S85" s="19">
        <v>7</v>
      </c>
      <c r="T85" s="19">
        <v>0</v>
      </c>
      <c r="U85" s="19" t="s">
        <v>118</v>
      </c>
      <c r="V85" s="19" t="str">
        <f>IF(Clean_Data!$T85&gt;0,"Runs","Wickets")</f>
        <v>Wickets</v>
      </c>
      <c r="W85" s="19">
        <f>IF(Clean_Data!$T85&gt;0,Clean_Data!$T85,Clean_Data!$S85)</f>
        <v>7</v>
      </c>
      <c r="X85" s="19" t="str">
        <f>IF(Clean_Data!$W85&lt;=10,"Close Match","Normal")</f>
        <v>Close Match</v>
      </c>
      <c r="Y85" s="19">
        <f>Clean_Data!$G85+Clean_Data!$J85</f>
        <v>291</v>
      </c>
      <c r="Z85" s="19" t="str">
        <f>IF(Clean_Data!$Y85&gt;=170,"170+ Match","Below 170")</f>
        <v>170+ Match</v>
      </c>
      <c r="AA85" s="19" t="s">
        <v>278</v>
      </c>
      <c r="AB85" s="21" t="s">
        <v>50</v>
      </c>
    </row>
    <row r="86" spans="1:28" x14ac:dyDescent="0.3">
      <c r="A86" s="16" t="s">
        <v>274</v>
      </c>
      <c r="B86" s="5" t="str">
        <f>LEFT(Clean_Data!$A86,4)</f>
        <v>2019</v>
      </c>
      <c r="C86" s="5" t="s">
        <v>106</v>
      </c>
      <c r="D86" s="5" t="str">
        <f>IF(ISNUMBER(SEARCH("Final",Clean_Data!$C86)),"Final",
IF(ISNUMBER(SEARCH("Semi",Clean_Data!$C86)),"Semi-Final",
IF(ISNUMBER(SEARCH("Elimination",Clean_Data!$C86)),"Eliminator",
"League")))</f>
        <v>League</v>
      </c>
      <c r="E86" s="6" t="s">
        <v>290</v>
      </c>
      <c r="F86" s="5" t="s">
        <v>287</v>
      </c>
      <c r="G86" s="5">
        <v>205</v>
      </c>
      <c r="H86" s="5">
        <v>4</v>
      </c>
      <c r="I86" s="5" t="s">
        <v>277</v>
      </c>
      <c r="J86" s="5">
        <v>207</v>
      </c>
      <c r="K86" s="5">
        <v>2</v>
      </c>
      <c r="L86" s="5" t="s">
        <v>291</v>
      </c>
      <c r="M86" s="5" t="s">
        <v>277</v>
      </c>
      <c r="N86" s="5" t="s">
        <v>26</v>
      </c>
      <c r="O86" s="5" t="s">
        <v>284</v>
      </c>
      <c r="P86" s="5" t="str">
        <f>IF(Clean_Data!$G86&gt;Clean_Data!$J86,Clean_Data!$F86,Clean_Data!$I86)</f>
        <v>Khulna Tigers</v>
      </c>
      <c r="Q86" s="5" t="s">
        <v>28</v>
      </c>
      <c r="R86" s="5" t="s">
        <v>29</v>
      </c>
      <c r="S86" s="5">
        <v>8</v>
      </c>
      <c r="T86" s="5">
        <v>0</v>
      </c>
      <c r="U86" s="5" t="s">
        <v>30</v>
      </c>
      <c r="V86" s="5" t="str">
        <f>IF(Clean_Data!$T86&gt;0,"Runs","Wickets")</f>
        <v>Wickets</v>
      </c>
      <c r="W86" s="5">
        <f>IF(Clean_Data!$T86&gt;0,Clean_Data!$T86,Clean_Data!$S86)</f>
        <v>8</v>
      </c>
      <c r="X86" s="5" t="str">
        <f>IF(Clean_Data!$W86&lt;=10,"Close Match","Normal")</f>
        <v>Close Match</v>
      </c>
      <c r="Y86" s="5">
        <f>Clean_Data!$G86+Clean_Data!$J86</f>
        <v>412</v>
      </c>
      <c r="Z86" s="5" t="str">
        <f>IF(Clean_Data!$Y86&gt;=170,"170+ Match","Below 170")</f>
        <v>170+ Match</v>
      </c>
      <c r="AA86" s="5" t="s">
        <v>278</v>
      </c>
      <c r="AB86" s="17" t="s">
        <v>50</v>
      </c>
    </row>
    <row r="87" spans="1:28" x14ac:dyDescent="0.3">
      <c r="A87" s="18" t="s">
        <v>274</v>
      </c>
      <c r="B87" s="19" t="str">
        <f>LEFT(Clean_Data!$A87,4)</f>
        <v>2019</v>
      </c>
      <c r="C87" s="19" t="s">
        <v>112</v>
      </c>
      <c r="D87" s="19" t="str">
        <f>IF(ISNUMBER(SEARCH("Final",Clean_Data!$C87)),"Final",
IF(ISNUMBER(SEARCH("Semi",Clean_Data!$C87)),"Semi-Final",
IF(ISNUMBER(SEARCH("Elimination",Clean_Data!$C87)),"Eliminator",
"League")))</f>
        <v>League</v>
      </c>
      <c r="E87" s="20" t="s">
        <v>290</v>
      </c>
      <c r="F87" s="19" t="s">
        <v>280</v>
      </c>
      <c r="G87" s="19">
        <v>155</v>
      </c>
      <c r="H87" s="19">
        <v>5</v>
      </c>
      <c r="I87" s="19" t="s">
        <v>276</v>
      </c>
      <c r="J87" s="19">
        <v>156</v>
      </c>
      <c r="K87" s="19">
        <v>2</v>
      </c>
      <c r="L87" s="19" t="s">
        <v>239</v>
      </c>
      <c r="M87" s="19" t="s">
        <v>276</v>
      </c>
      <c r="N87" s="19" t="s">
        <v>26</v>
      </c>
      <c r="O87" s="19" t="s">
        <v>64</v>
      </c>
      <c r="P87" s="19" t="str">
        <f>IF(Clean_Data!$G87&gt;Clean_Data!$J87,Clean_Data!$F87,Clean_Data!$I87)</f>
        <v>Rajshahi Royals</v>
      </c>
      <c r="Q87" s="19" t="s">
        <v>28</v>
      </c>
      <c r="R87" s="19" t="s">
        <v>29</v>
      </c>
      <c r="S87" s="19">
        <v>8</v>
      </c>
      <c r="T87" s="19">
        <v>0</v>
      </c>
      <c r="U87" s="19" t="s">
        <v>30</v>
      </c>
      <c r="V87" s="19" t="str">
        <f>IF(Clean_Data!$T87&gt;0,"Runs","Wickets")</f>
        <v>Wickets</v>
      </c>
      <c r="W87" s="19">
        <f>IF(Clean_Data!$T87&gt;0,Clean_Data!$T87,Clean_Data!$S87)</f>
        <v>8</v>
      </c>
      <c r="X87" s="19" t="str">
        <f>IF(Clean_Data!$W87&lt;=10,"Close Match","Normal")</f>
        <v>Close Match</v>
      </c>
      <c r="Y87" s="19">
        <f>Clean_Data!$G87+Clean_Data!$J87</f>
        <v>311</v>
      </c>
      <c r="Z87" s="19" t="str">
        <f>IF(Clean_Data!$Y87&gt;=170,"170+ Match","Below 170")</f>
        <v>170+ Match</v>
      </c>
      <c r="AA87" s="19" t="s">
        <v>286</v>
      </c>
      <c r="AB87" s="21" t="s">
        <v>225</v>
      </c>
    </row>
    <row r="88" spans="1:28" x14ac:dyDescent="0.3">
      <c r="A88" s="16" t="s">
        <v>274</v>
      </c>
      <c r="B88" s="5" t="str">
        <f>LEFT(Clean_Data!$A88,4)</f>
        <v>2019</v>
      </c>
      <c r="C88" s="5" t="s">
        <v>119</v>
      </c>
      <c r="D88" s="5" t="str">
        <f>IF(ISNUMBER(SEARCH("Final",Clean_Data!$C88)),"Final",
IF(ISNUMBER(SEARCH("Semi",Clean_Data!$C88)),"Semi-Final",
IF(ISNUMBER(SEARCH("Elimination",Clean_Data!$C88)),"Eliminator",
"League")))</f>
        <v>League</v>
      </c>
      <c r="E88" s="6" t="s">
        <v>292</v>
      </c>
      <c r="F88" s="5" t="s">
        <v>277</v>
      </c>
      <c r="G88" s="5">
        <v>218</v>
      </c>
      <c r="H88" s="5">
        <v>2</v>
      </c>
      <c r="I88" s="5" t="s">
        <v>293</v>
      </c>
      <c r="J88" s="5">
        <v>126</v>
      </c>
      <c r="K88" s="5">
        <v>9</v>
      </c>
      <c r="L88" s="5" t="s">
        <v>150</v>
      </c>
      <c r="M88" s="5" t="s">
        <v>293</v>
      </c>
      <c r="N88" s="5" t="s">
        <v>26</v>
      </c>
      <c r="O88" s="5" t="s">
        <v>284</v>
      </c>
      <c r="P88" s="5" t="str">
        <f>IF(Clean_Data!$G88&gt;Clean_Data!$J88,Clean_Data!$F88,Clean_Data!$I88)</f>
        <v>Khulna Tigers</v>
      </c>
      <c r="Q88" s="5" t="s">
        <v>28</v>
      </c>
      <c r="R88" s="5" t="s">
        <v>29</v>
      </c>
      <c r="S88" s="5">
        <v>0</v>
      </c>
      <c r="T88" s="5">
        <v>92</v>
      </c>
      <c r="U88" s="5" t="s">
        <v>294</v>
      </c>
      <c r="V88" s="5" t="str">
        <f>IF(Clean_Data!$T88&gt;0,"Runs","Wickets")</f>
        <v>Runs</v>
      </c>
      <c r="W88" s="5">
        <f>IF(Clean_Data!$T88&gt;0,Clean_Data!$T88,Clean_Data!$S88)</f>
        <v>92</v>
      </c>
      <c r="X88" s="5" t="str">
        <f>IF(Clean_Data!$W88&lt;=10,"Close Match","Normal")</f>
        <v>Normal</v>
      </c>
      <c r="Y88" s="5">
        <f>Clean_Data!$G88+Clean_Data!$J88</f>
        <v>344</v>
      </c>
      <c r="Z88" s="5" t="str">
        <f>IF(Clean_Data!$Y88&gt;=170,"170+ Match","Below 170")</f>
        <v>170+ Match</v>
      </c>
      <c r="AA88" s="5" t="s">
        <v>56</v>
      </c>
      <c r="AB88" s="17" t="s">
        <v>286</v>
      </c>
    </row>
    <row r="89" spans="1:28" x14ac:dyDescent="0.3">
      <c r="A89" s="18" t="s">
        <v>274</v>
      </c>
      <c r="B89" s="19" t="str">
        <f>LEFT(Clean_Data!$A89,4)</f>
        <v>2019</v>
      </c>
      <c r="C89" s="19" t="s">
        <v>129</v>
      </c>
      <c r="D89" s="19" t="str">
        <f>IF(ISNUMBER(SEARCH("Final",Clean_Data!$C89)),"Final",
IF(ISNUMBER(SEARCH("Semi",Clean_Data!$C89)),"Semi-Final",
IF(ISNUMBER(SEARCH("Elimination",Clean_Data!$C89)),"Eliminator",
"League")))</f>
        <v>League</v>
      </c>
      <c r="E89" s="20" t="s">
        <v>292</v>
      </c>
      <c r="F89" s="19" t="s">
        <v>295</v>
      </c>
      <c r="G89" s="19">
        <v>149</v>
      </c>
      <c r="H89" s="19">
        <v>9</v>
      </c>
      <c r="I89" s="19" t="s">
        <v>287</v>
      </c>
      <c r="J89" s="19">
        <v>138</v>
      </c>
      <c r="K89" s="19">
        <v>9</v>
      </c>
      <c r="L89" s="19" t="s">
        <v>296</v>
      </c>
      <c r="M89" s="19" t="s">
        <v>287</v>
      </c>
      <c r="N89" s="19" t="s">
        <v>26</v>
      </c>
      <c r="O89" s="19" t="s">
        <v>297</v>
      </c>
      <c r="P89" s="19" t="str">
        <f>IF(Clean_Data!$G89&gt;Clean_Data!$J89,Clean_Data!$F89,Clean_Data!$I89)</f>
        <v>Rangpur Rangers</v>
      </c>
      <c r="Q89" s="19" t="s">
        <v>28</v>
      </c>
      <c r="R89" s="19" t="s">
        <v>29</v>
      </c>
      <c r="S89" s="19">
        <v>0</v>
      </c>
      <c r="T89" s="19">
        <v>11</v>
      </c>
      <c r="U89" s="19" t="s">
        <v>273</v>
      </c>
      <c r="V89" s="19" t="str">
        <f>IF(Clean_Data!$T89&gt;0,"Runs","Wickets")</f>
        <v>Runs</v>
      </c>
      <c r="W89" s="19">
        <f>IF(Clean_Data!$T89&gt;0,Clean_Data!$T89,Clean_Data!$S89)</f>
        <v>11</v>
      </c>
      <c r="X89" s="19" t="str">
        <f>IF(Clean_Data!$W89&lt;=10,"Close Match","Normal")</f>
        <v>Normal</v>
      </c>
      <c r="Y89" s="19">
        <f>Clean_Data!$G89+Clean_Data!$J89</f>
        <v>287</v>
      </c>
      <c r="Z89" s="19" t="str">
        <f>IF(Clean_Data!$Y89&gt;=170,"170+ Match","Below 170")</f>
        <v>170+ Match</v>
      </c>
      <c r="AA89" s="19" t="s">
        <v>278</v>
      </c>
      <c r="AB89" s="21" t="s">
        <v>225</v>
      </c>
    </row>
    <row r="90" spans="1:28" x14ac:dyDescent="0.3">
      <c r="A90" s="16" t="s">
        <v>274</v>
      </c>
      <c r="B90" s="5" t="str">
        <f>LEFT(Clean_Data!$A90,4)</f>
        <v>2019</v>
      </c>
      <c r="C90" s="5" t="s">
        <v>136</v>
      </c>
      <c r="D90" s="5" t="str">
        <f>IF(ISNUMBER(SEARCH("Final",Clean_Data!$C90)),"Final",
IF(ISNUMBER(SEARCH("Semi",Clean_Data!$C90)),"Semi-Final",
IF(ISNUMBER(SEARCH("Elimination",Clean_Data!$C90)),"Eliminator",
"League")))</f>
        <v>League</v>
      </c>
      <c r="E90" s="6" t="s">
        <v>298</v>
      </c>
      <c r="F90" s="5" t="s">
        <v>287</v>
      </c>
      <c r="G90" s="5">
        <v>145</v>
      </c>
      <c r="H90" s="5">
        <v>9</v>
      </c>
      <c r="I90" s="5" t="s">
        <v>295</v>
      </c>
      <c r="J90" s="5">
        <v>84</v>
      </c>
      <c r="K90" s="5">
        <v>10</v>
      </c>
      <c r="L90" s="5" t="s">
        <v>299</v>
      </c>
      <c r="M90" s="5" t="s">
        <v>295</v>
      </c>
      <c r="N90" s="5" t="s">
        <v>26</v>
      </c>
      <c r="O90" s="5" t="s">
        <v>300</v>
      </c>
      <c r="P90" s="5" t="str">
        <f>IF(Clean_Data!$G90&gt;Clean_Data!$J90,Clean_Data!$F90,Clean_Data!$I90)</f>
        <v>Dhaka Platoon</v>
      </c>
      <c r="Q90" s="5" t="s">
        <v>28</v>
      </c>
      <c r="R90" s="5" t="s">
        <v>29</v>
      </c>
      <c r="S90" s="5">
        <v>0</v>
      </c>
      <c r="T90" s="5">
        <v>61</v>
      </c>
      <c r="U90" s="5" t="s">
        <v>301</v>
      </c>
      <c r="V90" s="5" t="str">
        <f>IF(Clean_Data!$T90&gt;0,"Runs","Wickets")</f>
        <v>Runs</v>
      </c>
      <c r="W90" s="5">
        <f>IF(Clean_Data!$T90&gt;0,Clean_Data!$T90,Clean_Data!$S90)</f>
        <v>61</v>
      </c>
      <c r="X90" s="5" t="str">
        <f>IF(Clean_Data!$W90&lt;=10,"Close Match","Normal")</f>
        <v>Normal</v>
      </c>
      <c r="Y90" s="5">
        <f>Clean_Data!$G90+Clean_Data!$J90</f>
        <v>229</v>
      </c>
      <c r="Z90" s="5" t="str">
        <f>IF(Clean_Data!$Y90&gt;=170,"170+ Match","Below 170")</f>
        <v>170+ Match</v>
      </c>
      <c r="AA90" s="5" t="s">
        <v>50</v>
      </c>
      <c r="AB90" s="17" t="s">
        <v>286</v>
      </c>
    </row>
    <row r="91" spans="1:28" x14ac:dyDescent="0.3">
      <c r="A91" s="18" t="s">
        <v>274</v>
      </c>
      <c r="B91" s="19" t="str">
        <f>LEFT(Clean_Data!$A91,4)</f>
        <v>2019</v>
      </c>
      <c r="C91" s="19" t="s">
        <v>224</v>
      </c>
      <c r="D91" s="19" t="str">
        <f>IF(ISNUMBER(SEARCH("Final",Clean_Data!$C91)),"Final",
IF(ISNUMBER(SEARCH("Semi",Clean_Data!$C91)),"Semi-Final",
IF(ISNUMBER(SEARCH("Elimination",Clean_Data!$C91)),"Eliminator",
"League")))</f>
        <v>League</v>
      </c>
      <c r="E91" s="20" t="s">
        <v>298</v>
      </c>
      <c r="F91" s="19" t="s">
        <v>277</v>
      </c>
      <c r="G91" s="19">
        <v>179</v>
      </c>
      <c r="H91" s="19">
        <v>2</v>
      </c>
      <c r="I91" s="19" t="s">
        <v>293</v>
      </c>
      <c r="J91" s="19">
        <v>145</v>
      </c>
      <c r="K91" s="19">
        <v>10</v>
      </c>
      <c r="L91" s="19" t="s">
        <v>302</v>
      </c>
      <c r="M91" s="19" t="s">
        <v>293</v>
      </c>
      <c r="N91" s="19" t="s">
        <v>26</v>
      </c>
      <c r="O91" s="19" t="s">
        <v>284</v>
      </c>
      <c r="P91" s="19" t="str">
        <f>IF(Clean_Data!$G91&gt;Clean_Data!$J91,Clean_Data!$F91,Clean_Data!$I91)</f>
        <v>Khulna Tigers</v>
      </c>
      <c r="Q91" s="19" t="s">
        <v>28</v>
      </c>
      <c r="R91" s="19" t="s">
        <v>29</v>
      </c>
      <c r="S91" s="19">
        <v>0</v>
      </c>
      <c r="T91" s="19">
        <v>34</v>
      </c>
      <c r="U91" s="19" t="s">
        <v>303</v>
      </c>
      <c r="V91" s="19" t="str">
        <f>IF(Clean_Data!$T91&gt;0,"Runs","Wickets")</f>
        <v>Runs</v>
      </c>
      <c r="W91" s="19">
        <f>IF(Clean_Data!$T91&gt;0,Clean_Data!$T91,Clean_Data!$S91)</f>
        <v>34</v>
      </c>
      <c r="X91" s="19" t="str">
        <f>IF(Clean_Data!$W91&lt;=10,"Close Match","Normal")</f>
        <v>Normal</v>
      </c>
      <c r="Y91" s="19">
        <f>Clean_Data!$G91+Clean_Data!$J91</f>
        <v>324</v>
      </c>
      <c r="Z91" s="19" t="str">
        <f>IF(Clean_Data!$Y91&gt;=170,"170+ Match","Below 170")</f>
        <v>170+ Match</v>
      </c>
      <c r="AA91" s="19" t="s">
        <v>278</v>
      </c>
      <c r="AB91" s="21" t="s">
        <v>56</v>
      </c>
    </row>
    <row r="92" spans="1:28" x14ac:dyDescent="0.3">
      <c r="A92" s="16" t="s">
        <v>304</v>
      </c>
      <c r="B92" s="5" t="str">
        <f>LEFT(Clean_Data!$A92,4)</f>
        <v>2021</v>
      </c>
      <c r="C92" s="5" t="s">
        <v>110</v>
      </c>
      <c r="D92" s="5" t="str">
        <f>IF(ISNUMBER(SEARCH("Final",Clean_Data!$C92)),"Final",
IF(ISNUMBER(SEARCH("Semi",Clean_Data!$C92)),"Semi-Final",
IF(ISNUMBER(SEARCH("Elimination",Clean_Data!$C92)),"Eliminator",
"League")))</f>
        <v>League</v>
      </c>
      <c r="E92" s="6" t="s">
        <v>305</v>
      </c>
      <c r="F92" s="5" t="s">
        <v>280</v>
      </c>
      <c r="G92" s="5">
        <v>138</v>
      </c>
      <c r="H92" s="5">
        <v>8</v>
      </c>
      <c r="I92" s="5" t="s">
        <v>143</v>
      </c>
      <c r="J92" s="5">
        <v>148</v>
      </c>
      <c r="K92" s="5">
        <v>1</v>
      </c>
      <c r="L92" s="5" t="s">
        <v>306</v>
      </c>
      <c r="M92" s="5" t="s">
        <v>143</v>
      </c>
      <c r="N92" s="5" t="s">
        <v>26</v>
      </c>
      <c r="O92" s="5" t="s">
        <v>145</v>
      </c>
      <c r="P92" s="5" t="str">
        <f>IF(Clean_Data!$G92&gt;Clean_Data!$J92,Clean_Data!$F92,Clean_Data!$I92)</f>
        <v>Comilla Victorians</v>
      </c>
      <c r="Q92" s="5" t="s">
        <v>28</v>
      </c>
      <c r="R92" s="5" t="s">
        <v>29</v>
      </c>
      <c r="S92" s="5">
        <v>9</v>
      </c>
      <c r="T92" s="5">
        <v>0</v>
      </c>
      <c r="U92" s="5" t="s">
        <v>71</v>
      </c>
      <c r="V92" s="5" t="str">
        <f>IF(Clean_Data!$T92&gt;0,"Runs","Wickets")</f>
        <v>Wickets</v>
      </c>
      <c r="W92" s="5">
        <f>IF(Clean_Data!$T92&gt;0,Clean_Data!$T92,Clean_Data!$S92)</f>
        <v>9</v>
      </c>
      <c r="X92" s="5" t="str">
        <f>IF(Clean_Data!$W92&lt;=10,"Close Match","Normal")</f>
        <v>Close Match</v>
      </c>
      <c r="Y92" s="5">
        <f>Clean_Data!$G92+Clean_Data!$J92</f>
        <v>286</v>
      </c>
      <c r="Z92" s="5" t="str">
        <f>IF(Clean_Data!$Y92&gt;=170,"170+ Match","Below 170")</f>
        <v>170+ Match</v>
      </c>
      <c r="AA92" s="5" t="s">
        <v>50</v>
      </c>
      <c r="AB92" s="17" t="s">
        <v>286</v>
      </c>
    </row>
    <row r="93" spans="1:28" x14ac:dyDescent="0.3">
      <c r="A93" s="18" t="s">
        <v>304</v>
      </c>
      <c r="B93" s="19" t="str">
        <f>LEFT(Clean_Data!$A93,4)</f>
        <v>2021</v>
      </c>
      <c r="C93" s="19" t="s">
        <v>116</v>
      </c>
      <c r="D93" s="19" t="str">
        <f>IF(ISNUMBER(SEARCH("Final",Clean_Data!$C93)),"Final",
IF(ISNUMBER(SEARCH("Semi",Clean_Data!$C93)),"Semi-Final",
IF(ISNUMBER(SEARCH("Elimination",Clean_Data!$C93)),"Eliminator",
"League")))</f>
        <v>League</v>
      </c>
      <c r="E93" s="20" t="s">
        <v>305</v>
      </c>
      <c r="F93" s="19" t="s">
        <v>307</v>
      </c>
      <c r="G93" s="19">
        <v>142</v>
      </c>
      <c r="H93" s="19">
        <v>5</v>
      </c>
      <c r="I93" s="19" t="s">
        <v>277</v>
      </c>
      <c r="J93" s="19">
        <v>144</v>
      </c>
      <c r="K93" s="19">
        <v>1</v>
      </c>
      <c r="L93" s="19" t="s">
        <v>308</v>
      </c>
      <c r="M93" s="19" t="s">
        <v>277</v>
      </c>
      <c r="N93" s="19" t="s">
        <v>26</v>
      </c>
      <c r="O93" s="19" t="s">
        <v>284</v>
      </c>
      <c r="P93" s="19" t="str">
        <f>IF(Clean_Data!$G93&gt;Clean_Data!$J93,Clean_Data!$F93,Clean_Data!$I93)</f>
        <v>Khulna Tigers</v>
      </c>
      <c r="Q93" s="19" t="s">
        <v>28</v>
      </c>
      <c r="R93" s="19" t="s">
        <v>29</v>
      </c>
      <c r="S93" s="19">
        <v>9</v>
      </c>
      <c r="T93" s="19">
        <v>0</v>
      </c>
      <c r="U93" s="19" t="s">
        <v>71</v>
      </c>
      <c r="V93" s="19" t="str">
        <f>IF(Clean_Data!$T93&gt;0,"Runs","Wickets")</f>
        <v>Wickets</v>
      </c>
      <c r="W93" s="19">
        <f>IF(Clean_Data!$T93&gt;0,Clean_Data!$T93,Clean_Data!$S93)</f>
        <v>9</v>
      </c>
      <c r="X93" s="19" t="str">
        <f>IF(Clean_Data!$W93&lt;=10,"Close Match","Normal")</f>
        <v>Close Match</v>
      </c>
      <c r="Y93" s="19">
        <f>Clean_Data!$G93+Clean_Data!$J93</f>
        <v>286</v>
      </c>
      <c r="Z93" s="19" t="str">
        <f>IF(Clean_Data!$Y93&gt;=170,"170+ Match","Below 170")</f>
        <v>170+ Match</v>
      </c>
      <c r="AA93" s="19" t="s">
        <v>66</v>
      </c>
      <c r="AB93" s="21" t="s">
        <v>216</v>
      </c>
    </row>
    <row r="94" spans="1:28" x14ac:dyDescent="0.3">
      <c r="A94" s="16" t="s">
        <v>304</v>
      </c>
      <c r="B94" s="5" t="str">
        <f>LEFT(Clean_Data!$A94,4)</f>
        <v>2021</v>
      </c>
      <c r="C94" s="5" t="s">
        <v>123</v>
      </c>
      <c r="D94" s="5" t="str">
        <f>IF(ISNUMBER(SEARCH("Final",Clean_Data!$C94)),"Final",
IF(ISNUMBER(SEARCH("Semi",Clean_Data!$C94)),"Semi-Final",
IF(ISNUMBER(SEARCH("Elimination",Clean_Data!$C94)),"Eliminator",
"League")))</f>
        <v>League</v>
      </c>
      <c r="E94" s="6" t="s">
        <v>309</v>
      </c>
      <c r="F94" s="5" t="s">
        <v>310</v>
      </c>
      <c r="G94" s="5">
        <v>149</v>
      </c>
      <c r="H94" s="5">
        <v>10</v>
      </c>
      <c r="I94" s="5" t="s">
        <v>280</v>
      </c>
      <c r="J94" s="5">
        <v>135</v>
      </c>
      <c r="K94" s="5">
        <v>10</v>
      </c>
      <c r="L94" s="5" t="s">
        <v>108</v>
      </c>
      <c r="M94" s="5" t="s">
        <v>310</v>
      </c>
      <c r="N94" s="5" t="s">
        <v>37</v>
      </c>
      <c r="O94" s="5" t="s">
        <v>311</v>
      </c>
      <c r="P94" s="5" t="str">
        <f>IF(Clean_Data!$G94&gt;Clean_Data!$J94,Clean_Data!$F94,Clean_Data!$I94)</f>
        <v>Fortune Barishal</v>
      </c>
      <c r="Q94" s="5" t="s">
        <v>88</v>
      </c>
      <c r="R94" s="5" t="s">
        <v>89</v>
      </c>
      <c r="S94" s="5">
        <v>0</v>
      </c>
      <c r="T94" s="5">
        <v>14</v>
      </c>
      <c r="U94" s="5" t="s">
        <v>135</v>
      </c>
      <c r="V94" s="5" t="str">
        <f>IF(Clean_Data!$T94&gt;0,"Runs","Wickets")</f>
        <v>Runs</v>
      </c>
      <c r="W94" s="5">
        <f>IF(Clean_Data!$T94&gt;0,Clean_Data!$T94,Clean_Data!$S94)</f>
        <v>14</v>
      </c>
      <c r="X94" s="5" t="str">
        <f>IF(Clean_Data!$W94&lt;=10,"Close Match","Normal")</f>
        <v>Normal</v>
      </c>
      <c r="Y94" s="5">
        <f>Clean_Data!$G94+Clean_Data!$J94</f>
        <v>284</v>
      </c>
      <c r="Z94" s="5" t="str">
        <f>IF(Clean_Data!$Y94&gt;=170,"170+ Match","Below 170")</f>
        <v>170+ Match</v>
      </c>
      <c r="AA94" s="5" t="s">
        <v>50</v>
      </c>
      <c r="AB94" s="17" t="s">
        <v>66</v>
      </c>
    </row>
    <row r="95" spans="1:28" x14ac:dyDescent="0.3">
      <c r="A95" s="18" t="s">
        <v>304</v>
      </c>
      <c r="B95" s="19" t="str">
        <f>LEFT(Clean_Data!$A95,4)</f>
        <v>2021</v>
      </c>
      <c r="C95" s="19" t="s">
        <v>126</v>
      </c>
      <c r="D95" s="19" t="str">
        <f>IF(ISNUMBER(SEARCH("Final",Clean_Data!$C95)),"Final",
IF(ISNUMBER(SEARCH("Semi",Clean_Data!$C95)),"Semi-Final",
IF(ISNUMBER(SEARCH("Elimination",Clean_Data!$C95)),"Eliminator",
"League")))</f>
        <v>League</v>
      </c>
      <c r="E95" s="20" t="s">
        <v>309</v>
      </c>
      <c r="F95" s="19" t="s">
        <v>312</v>
      </c>
      <c r="G95" s="19">
        <v>181</v>
      </c>
      <c r="H95" s="19">
        <v>6</v>
      </c>
      <c r="I95" s="19" t="s">
        <v>143</v>
      </c>
      <c r="J95" s="19">
        <v>131</v>
      </c>
      <c r="K95" s="19">
        <v>10</v>
      </c>
      <c r="L95" s="19" t="s">
        <v>157</v>
      </c>
      <c r="M95" s="19" t="s">
        <v>143</v>
      </c>
      <c r="N95" s="19" t="s">
        <v>26</v>
      </c>
      <c r="O95" s="19" t="s">
        <v>27</v>
      </c>
      <c r="P95" s="19" t="str">
        <f>IF(Clean_Data!$G95&gt;Clean_Data!$J95,Clean_Data!$F95,Clean_Data!$I95)</f>
        <v>Minister Group Dhaka</v>
      </c>
      <c r="Q95" s="19" t="s">
        <v>88</v>
      </c>
      <c r="R95" s="19" t="s">
        <v>89</v>
      </c>
      <c r="S95" s="19">
        <v>0</v>
      </c>
      <c r="T95" s="19">
        <v>50</v>
      </c>
      <c r="U95" s="19" t="s">
        <v>313</v>
      </c>
      <c r="V95" s="19" t="str">
        <f>IF(Clean_Data!$T95&gt;0,"Runs","Wickets")</f>
        <v>Runs</v>
      </c>
      <c r="W95" s="19">
        <f>IF(Clean_Data!$T95&gt;0,Clean_Data!$T95,Clean_Data!$S95)</f>
        <v>50</v>
      </c>
      <c r="X95" s="19" t="str">
        <f>IF(Clean_Data!$W95&lt;=10,"Close Match","Normal")</f>
        <v>Normal</v>
      </c>
      <c r="Y95" s="19">
        <f>Clean_Data!$G95+Clean_Data!$J95</f>
        <v>312</v>
      </c>
      <c r="Z95" s="19" t="str">
        <f>IF(Clean_Data!$Y95&gt;=170,"170+ Match","Below 170")</f>
        <v>170+ Match</v>
      </c>
      <c r="AA95" s="19" t="s">
        <v>286</v>
      </c>
      <c r="AB95" s="21" t="s">
        <v>225</v>
      </c>
    </row>
    <row r="96" spans="1:28" x14ac:dyDescent="0.3">
      <c r="A96" s="16" t="s">
        <v>304</v>
      </c>
      <c r="B96" s="5" t="str">
        <f>LEFT(Clean_Data!$A96,4)</f>
        <v>2021</v>
      </c>
      <c r="C96" s="5" t="s">
        <v>132</v>
      </c>
      <c r="D96" s="5" t="str">
        <f>IF(ISNUMBER(SEARCH("Final",Clean_Data!$C96)),"Final",
IF(ISNUMBER(SEARCH("Semi",Clean_Data!$C96)),"Semi-Final",
IF(ISNUMBER(SEARCH("Elimination",Clean_Data!$C96)),"Eliminator",
"League")))</f>
        <v>League</v>
      </c>
      <c r="E96" s="6" t="s">
        <v>314</v>
      </c>
      <c r="F96" s="5" t="s">
        <v>310</v>
      </c>
      <c r="G96" s="5">
        <v>145</v>
      </c>
      <c r="H96" s="5">
        <v>10</v>
      </c>
      <c r="I96" s="5" t="s">
        <v>277</v>
      </c>
      <c r="J96" s="5">
        <v>139</v>
      </c>
      <c r="K96" s="5">
        <v>6</v>
      </c>
      <c r="L96" s="5" t="s">
        <v>108</v>
      </c>
      <c r="M96" s="5" t="s">
        <v>310</v>
      </c>
      <c r="N96" s="5" t="s">
        <v>37</v>
      </c>
      <c r="O96" s="5" t="s">
        <v>311</v>
      </c>
      <c r="P96" s="5" t="str">
        <f>IF(Clean_Data!$G96&gt;Clean_Data!$J96,Clean_Data!$F96,Clean_Data!$I96)</f>
        <v>Fortune Barishal</v>
      </c>
      <c r="Q96" s="5" t="s">
        <v>88</v>
      </c>
      <c r="R96" s="5" t="s">
        <v>89</v>
      </c>
      <c r="S96" s="5">
        <v>0</v>
      </c>
      <c r="T96" s="5">
        <v>6</v>
      </c>
      <c r="U96" s="5" t="s">
        <v>315</v>
      </c>
      <c r="V96" s="5" t="str">
        <f>IF(Clean_Data!$T96&gt;0,"Runs","Wickets")</f>
        <v>Runs</v>
      </c>
      <c r="W96" s="5">
        <f>IF(Clean_Data!$T96&gt;0,Clean_Data!$T96,Clean_Data!$S96)</f>
        <v>6</v>
      </c>
      <c r="X96" s="5" t="str">
        <f>IF(Clean_Data!$W96&lt;=10,"Close Match","Normal")</f>
        <v>Close Match</v>
      </c>
      <c r="Y96" s="5">
        <f>Clean_Data!$G96+Clean_Data!$J96</f>
        <v>284</v>
      </c>
      <c r="Z96" s="5" t="str">
        <f>IF(Clean_Data!$Y96&gt;=170,"170+ Match","Below 170")</f>
        <v>170+ Match</v>
      </c>
      <c r="AA96" s="5" t="s">
        <v>50</v>
      </c>
      <c r="AB96" s="17" t="s">
        <v>286</v>
      </c>
    </row>
    <row r="97" spans="1:28" x14ac:dyDescent="0.3">
      <c r="A97" s="18" t="s">
        <v>304</v>
      </c>
      <c r="B97" s="19" t="str">
        <f>LEFT(Clean_Data!$A97,4)</f>
        <v>2021</v>
      </c>
      <c r="C97" s="19" t="s">
        <v>138</v>
      </c>
      <c r="D97" s="19" t="str">
        <f>IF(ISNUMBER(SEARCH("Final",Clean_Data!$C97)),"Final",
IF(ISNUMBER(SEARCH("Semi",Clean_Data!$C97)),"Semi-Final",
IF(ISNUMBER(SEARCH("Elimination",Clean_Data!$C97)),"Eliminator",
"League")))</f>
        <v>League</v>
      </c>
      <c r="E97" s="20" t="s">
        <v>314</v>
      </c>
      <c r="F97" s="19" t="s">
        <v>143</v>
      </c>
      <c r="G97" s="19">
        <v>183</v>
      </c>
      <c r="H97" s="19">
        <v>3</v>
      </c>
      <c r="I97" s="19" t="s">
        <v>280</v>
      </c>
      <c r="J97" s="19">
        <v>131</v>
      </c>
      <c r="K97" s="19">
        <v>10</v>
      </c>
      <c r="L97" s="19" t="s">
        <v>316</v>
      </c>
      <c r="M97" s="19" t="s">
        <v>280</v>
      </c>
      <c r="N97" s="19" t="s">
        <v>26</v>
      </c>
      <c r="O97" s="19" t="s">
        <v>145</v>
      </c>
      <c r="P97" s="19" t="str">
        <f>IF(Clean_Data!$G97&gt;Clean_Data!$J97,Clean_Data!$F97,Clean_Data!$I97)</f>
        <v>Comilla Victorians</v>
      </c>
      <c r="Q97" s="19" t="s">
        <v>88</v>
      </c>
      <c r="R97" s="19" t="s">
        <v>89</v>
      </c>
      <c r="S97" s="19">
        <v>0</v>
      </c>
      <c r="T97" s="19">
        <v>52</v>
      </c>
      <c r="U97" s="19" t="s">
        <v>317</v>
      </c>
      <c r="V97" s="19" t="str">
        <f>IF(Clean_Data!$T97&gt;0,"Runs","Wickets")</f>
        <v>Runs</v>
      </c>
      <c r="W97" s="19">
        <f>IF(Clean_Data!$T97&gt;0,Clean_Data!$T97,Clean_Data!$S97)</f>
        <v>52</v>
      </c>
      <c r="X97" s="19" t="str">
        <f>IF(Clean_Data!$W97&lt;=10,"Close Match","Normal")</f>
        <v>Normal</v>
      </c>
      <c r="Y97" s="19">
        <f>Clean_Data!$G97+Clean_Data!$J97</f>
        <v>314</v>
      </c>
      <c r="Z97" s="19" t="str">
        <f>IF(Clean_Data!$Y97&gt;=170,"170+ Match","Below 170")</f>
        <v>170+ Match</v>
      </c>
      <c r="AA97" s="19" t="s">
        <v>216</v>
      </c>
      <c r="AB97" s="21" t="s">
        <v>44</v>
      </c>
    </row>
    <row r="98" spans="1:28" x14ac:dyDescent="0.3">
      <c r="A98" s="16" t="s">
        <v>304</v>
      </c>
      <c r="B98" s="5" t="str">
        <f>LEFT(Clean_Data!$A98,4)</f>
        <v>2021</v>
      </c>
      <c r="C98" s="5" t="s">
        <v>148</v>
      </c>
      <c r="D98" s="5" t="str">
        <f>IF(ISNUMBER(SEARCH("Final",Clean_Data!$C98)),"Final",
IF(ISNUMBER(SEARCH("Semi",Clean_Data!$C98)),"Semi-Final",
IF(ISNUMBER(SEARCH("Elimination",Clean_Data!$C98)),"Eliminator",
"League")))</f>
        <v>League</v>
      </c>
      <c r="E98" s="6" t="s">
        <v>318</v>
      </c>
      <c r="F98" s="5" t="s">
        <v>280</v>
      </c>
      <c r="G98" s="5">
        <v>202</v>
      </c>
      <c r="H98" s="5">
        <v>5</v>
      </c>
      <c r="I98" s="5" t="s">
        <v>307</v>
      </c>
      <c r="J98" s="5">
        <v>186</v>
      </c>
      <c r="K98" s="5">
        <v>6</v>
      </c>
      <c r="L98" s="5" t="s">
        <v>319</v>
      </c>
      <c r="M98" s="5" t="s">
        <v>307</v>
      </c>
      <c r="N98" s="5" t="s">
        <v>26</v>
      </c>
      <c r="O98" s="5" t="s">
        <v>289</v>
      </c>
      <c r="P98" s="5" t="str">
        <f>IF(Clean_Data!$G98&gt;Clean_Data!$J98,Clean_Data!$F98,Clean_Data!$I98)</f>
        <v>Chattogram Challengers</v>
      </c>
      <c r="Q98" s="5" t="s">
        <v>88</v>
      </c>
      <c r="R98" s="5" t="s">
        <v>89</v>
      </c>
      <c r="S98" s="5">
        <v>0</v>
      </c>
      <c r="T98" s="5">
        <v>16</v>
      </c>
      <c r="U98" s="5" t="s">
        <v>169</v>
      </c>
      <c r="V98" s="5" t="str">
        <f>IF(Clean_Data!$T98&gt;0,"Runs","Wickets")</f>
        <v>Runs</v>
      </c>
      <c r="W98" s="5">
        <f>IF(Clean_Data!$T98&gt;0,Clean_Data!$T98,Clean_Data!$S98)</f>
        <v>16</v>
      </c>
      <c r="X98" s="5" t="str">
        <f>IF(Clean_Data!$W98&lt;=10,"Close Match","Normal")</f>
        <v>Normal</v>
      </c>
      <c r="Y98" s="5">
        <f>Clean_Data!$G98+Clean_Data!$J98</f>
        <v>388</v>
      </c>
      <c r="Z98" s="5" t="str">
        <f>IF(Clean_Data!$Y98&gt;=170,"170+ Match","Below 170")</f>
        <v>170+ Match</v>
      </c>
      <c r="AA98" s="5" t="s">
        <v>50</v>
      </c>
      <c r="AB98" s="17" t="s">
        <v>44</v>
      </c>
    </row>
    <row r="99" spans="1:28" x14ac:dyDescent="0.3">
      <c r="A99" s="18" t="s">
        <v>304</v>
      </c>
      <c r="B99" s="19" t="str">
        <f>LEFT(Clean_Data!$A99,4)</f>
        <v>2021</v>
      </c>
      <c r="C99" s="19" t="s">
        <v>156</v>
      </c>
      <c r="D99" s="19" t="str">
        <f>IF(ISNUMBER(SEARCH("Final",Clean_Data!$C99)),"Final",
IF(ISNUMBER(SEARCH("Semi",Clean_Data!$C99)),"Semi-Final",
IF(ISNUMBER(SEARCH("Elimination",Clean_Data!$C99)),"Eliminator",
"League")))</f>
        <v>League</v>
      </c>
      <c r="E99" s="20" t="s">
        <v>318</v>
      </c>
      <c r="F99" s="19" t="s">
        <v>310</v>
      </c>
      <c r="G99" s="19">
        <v>141</v>
      </c>
      <c r="H99" s="19">
        <v>9</v>
      </c>
      <c r="I99" s="19" t="s">
        <v>277</v>
      </c>
      <c r="J99" s="19">
        <v>124</v>
      </c>
      <c r="K99" s="19">
        <v>10</v>
      </c>
      <c r="L99" s="19" t="s">
        <v>320</v>
      </c>
      <c r="M99" s="19" t="s">
        <v>277</v>
      </c>
      <c r="N99" s="19" t="s">
        <v>26</v>
      </c>
      <c r="O99" s="19" t="s">
        <v>311</v>
      </c>
      <c r="P99" s="19" t="str">
        <f>IF(Clean_Data!$G99&gt;Clean_Data!$J99,Clean_Data!$F99,Clean_Data!$I99)</f>
        <v>Fortune Barishal</v>
      </c>
      <c r="Q99" s="19" t="s">
        <v>88</v>
      </c>
      <c r="R99" s="19" t="s">
        <v>89</v>
      </c>
      <c r="S99" s="19">
        <v>0</v>
      </c>
      <c r="T99" s="19">
        <v>17</v>
      </c>
      <c r="U99" s="19" t="s">
        <v>254</v>
      </c>
      <c r="V99" s="19" t="str">
        <f>IF(Clean_Data!$T99&gt;0,"Runs","Wickets")</f>
        <v>Runs</v>
      </c>
      <c r="W99" s="19">
        <f>IF(Clean_Data!$T99&gt;0,Clean_Data!$T99,Clean_Data!$S99)</f>
        <v>17</v>
      </c>
      <c r="X99" s="19" t="str">
        <f>IF(Clean_Data!$W99&lt;=10,"Close Match","Normal")</f>
        <v>Normal</v>
      </c>
      <c r="Y99" s="19">
        <f>Clean_Data!$G99+Clean_Data!$J99</f>
        <v>265</v>
      </c>
      <c r="Z99" s="19" t="str">
        <f>IF(Clean_Data!$Y99&gt;=170,"170+ Match","Below 170")</f>
        <v>170+ Match</v>
      </c>
      <c r="AA99" s="19" t="s">
        <v>216</v>
      </c>
      <c r="AB99" s="21" t="s">
        <v>286</v>
      </c>
    </row>
    <row r="100" spans="1:28" x14ac:dyDescent="0.3">
      <c r="A100" s="16" t="s">
        <v>73</v>
      </c>
      <c r="B100" s="5" t="str">
        <f>LEFT(Clean_Data!$A100,4)</f>
        <v>2012</v>
      </c>
      <c r="C100" s="5" t="s">
        <v>224</v>
      </c>
      <c r="D100" s="5" t="str">
        <f>IF(ISNUMBER(SEARCH("Final",Clean_Data!$C100)),"Final",
IF(ISNUMBER(SEARCH("Semi",Clean_Data!$C100)),"Semi-Final",
IF(ISNUMBER(SEARCH("Elimination",Clean_Data!$C100)),"Eliminator",
"League")))</f>
        <v>League</v>
      </c>
      <c r="E100" s="6" t="s">
        <v>137</v>
      </c>
      <c r="F100" s="5" t="s">
        <v>62</v>
      </c>
      <c r="G100" s="5">
        <v>196</v>
      </c>
      <c r="H100" s="5">
        <v>3</v>
      </c>
      <c r="I100" s="5" t="s">
        <v>35</v>
      </c>
      <c r="J100" s="5">
        <v>135</v>
      </c>
      <c r="K100" s="5">
        <v>7</v>
      </c>
      <c r="L100" s="5" t="s">
        <v>121</v>
      </c>
      <c r="M100" s="5" t="s">
        <v>35</v>
      </c>
      <c r="N100" s="5" t="s">
        <v>26</v>
      </c>
      <c r="O100" s="5" t="s">
        <v>64</v>
      </c>
      <c r="P100" s="5" t="str">
        <f>IF(Clean_Data!$G100&gt;Clean_Data!$J100,Clean_Data!$F100,Clean_Data!$I100)</f>
        <v>Sylhet Royals</v>
      </c>
      <c r="Q100" s="5" t="s">
        <v>28</v>
      </c>
      <c r="R100" s="5" t="s">
        <v>29</v>
      </c>
      <c r="S100" s="5">
        <v>0</v>
      </c>
      <c r="T100" s="5">
        <v>61</v>
      </c>
      <c r="U100" s="5" t="s">
        <v>301</v>
      </c>
      <c r="V100" s="5" t="str">
        <f>IF(Clean_Data!$T100&gt;0,"Runs","Wickets")</f>
        <v>Runs</v>
      </c>
      <c r="W100" s="5">
        <f>IF(Clean_Data!$T100&gt;0,Clean_Data!$T100,Clean_Data!$S100)</f>
        <v>61</v>
      </c>
      <c r="X100" s="5" t="str">
        <f>IF(Clean_Data!$W100&lt;=10,"Close Match","Normal")</f>
        <v>Normal</v>
      </c>
      <c r="Y100" s="5">
        <f>Clean_Data!$G100+Clean_Data!$J100</f>
        <v>331</v>
      </c>
      <c r="Z100" s="5" t="str">
        <f>IF(Clean_Data!$Y100&gt;=170,"170+ Match","Below 170")</f>
        <v>170+ Match</v>
      </c>
      <c r="AA100" s="5" t="s">
        <v>57</v>
      </c>
      <c r="AB100" s="17" t="s">
        <v>225</v>
      </c>
    </row>
    <row r="101" spans="1:28" x14ac:dyDescent="0.3">
      <c r="A101" s="18" t="s">
        <v>73</v>
      </c>
      <c r="B101" s="19" t="str">
        <f>LEFT(Clean_Data!$A101,4)</f>
        <v>2012</v>
      </c>
      <c r="C101" s="19" t="s">
        <v>321</v>
      </c>
      <c r="D101" s="19" t="str">
        <f>IF(ISNUMBER(SEARCH("Final",Clean_Data!$C101)),"Final",
IF(ISNUMBER(SEARCH("Semi",Clean_Data!$C101)),"Semi-Final",
IF(ISNUMBER(SEARCH("Elimination",Clean_Data!$C101)),"Eliminator",
"League")))</f>
        <v>League</v>
      </c>
      <c r="E101" s="20" t="s">
        <v>322</v>
      </c>
      <c r="F101" s="19" t="s">
        <v>113</v>
      </c>
      <c r="G101" s="19">
        <v>179</v>
      </c>
      <c r="H101" s="19">
        <v>8</v>
      </c>
      <c r="I101" s="19" t="s">
        <v>41</v>
      </c>
      <c r="J101" s="19">
        <v>160</v>
      </c>
      <c r="K101" s="19">
        <v>10</v>
      </c>
      <c r="L101" s="19" t="s">
        <v>323</v>
      </c>
      <c r="M101" s="19" t="s">
        <v>41</v>
      </c>
      <c r="N101" s="19" t="s">
        <v>26</v>
      </c>
      <c r="O101" s="19" t="s">
        <v>189</v>
      </c>
      <c r="P101" s="19" t="str">
        <f>IF(Clean_Data!$G101&gt;Clean_Data!$J101,Clean_Data!$F101,Clean_Data!$I101)</f>
        <v>Rangpur Riders</v>
      </c>
      <c r="Q101" s="19" t="s">
        <v>28</v>
      </c>
      <c r="R101" s="19" t="s">
        <v>29</v>
      </c>
      <c r="S101" s="19">
        <v>0</v>
      </c>
      <c r="T101" s="19">
        <v>19</v>
      </c>
      <c r="U101" s="19" t="s">
        <v>196</v>
      </c>
      <c r="V101" s="19" t="str">
        <f>IF(Clean_Data!$T101&gt;0,"Runs","Wickets")</f>
        <v>Runs</v>
      </c>
      <c r="W101" s="19">
        <f>IF(Clean_Data!$T101&gt;0,Clean_Data!$T101,Clean_Data!$S101)</f>
        <v>19</v>
      </c>
      <c r="X101" s="19" t="str">
        <f>IF(Clean_Data!$W101&lt;=10,"Close Match","Normal")</f>
        <v>Normal</v>
      </c>
      <c r="Y101" s="19">
        <f>Clean_Data!$G101+Clean_Data!$J101</f>
        <v>339</v>
      </c>
      <c r="Z101" s="19" t="str">
        <f>IF(Clean_Data!$Y101&gt;=170,"170+ Match","Below 170")</f>
        <v>170+ Match</v>
      </c>
      <c r="AA101" s="19" t="s">
        <v>32</v>
      </c>
      <c r="AB101" s="21" t="s">
        <v>57</v>
      </c>
    </row>
    <row r="102" spans="1:28" x14ac:dyDescent="0.3">
      <c r="A102" s="16" t="s">
        <v>73</v>
      </c>
      <c r="B102" s="5" t="str">
        <f>LEFT(Clean_Data!$A102,4)</f>
        <v>2012</v>
      </c>
      <c r="C102" s="5" t="s">
        <v>324</v>
      </c>
      <c r="D102" s="5" t="str">
        <f>IF(ISNUMBER(SEARCH("Final",Clean_Data!$C102)),"Final",
IF(ISNUMBER(SEARCH("Semi",Clean_Data!$C102)),"Semi-Final",
IF(ISNUMBER(SEARCH("Elimination",Clean_Data!$C102)),"Eliminator",
"League")))</f>
        <v>League</v>
      </c>
      <c r="E102" s="6" t="s">
        <v>322</v>
      </c>
      <c r="F102" s="5" t="s">
        <v>35</v>
      </c>
      <c r="G102" s="5">
        <v>176</v>
      </c>
      <c r="H102" s="5">
        <v>6</v>
      </c>
      <c r="I102" s="5" t="s">
        <v>24</v>
      </c>
      <c r="J102" s="5">
        <v>180</v>
      </c>
      <c r="K102" s="5">
        <v>4</v>
      </c>
      <c r="L102" s="5" t="s">
        <v>325</v>
      </c>
      <c r="M102" s="5" t="s">
        <v>35</v>
      </c>
      <c r="N102" s="5" t="s">
        <v>37</v>
      </c>
      <c r="O102" s="5" t="s">
        <v>27</v>
      </c>
      <c r="P102" s="5" t="str">
        <f>IF(Clean_Data!$G102&gt;Clean_Data!$J102,Clean_Data!$F102,Clean_Data!$I102)</f>
        <v>Dhaka Gladiators</v>
      </c>
      <c r="Q102" s="5" t="s">
        <v>28</v>
      </c>
      <c r="R102" s="5" t="s">
        <v>29</v>
      </c>
      <c r="S102" s="5">
        <v>6</v>
      </c>
      <c r="T102" s="5">
        <v>0</v>
      </c>
      <c r="U102" s="5" t="s">
        <v>151</v>
      </c>
      <c r="V102" s="5" t="str">
        <f>IF(Clean_Data!$T102&gt;0,"Runs","Wickets")</f>
        <v>Wickets</v>
      </c>
      <c r="W102" s="5">
        <f>IF(Clean_Data!$T102&gt;0,Clean_Data!$T102,Clean_Data!$S102)</f>
        <v>6</v>
      </c>
      <c r="X102" s="5" t="str">
        <f>IF(Clean_Data!$W102&lt;=10,"Close Match","Normal")</f>
        <v>Close Match</v>
      </c>
      <c r="Y102" s="5">
        <f>Clean_Data!$G102+Clean_Data!$J102</f>
        <v>356</v>
      </c>
      <c r="Z102" s="5" t="str">
        <f>IF(Clean_Data!$Y102&gt;=170,"170+ Match","Below 170")</f>
        <v>170+ Match</v>
      </c>
      <c r="AA102" s="5" t="s">
        <v>56</v>
      </c>
      <c r="AB102" s="17" t="s">
        <v>57</v>
      </c>
    </row>
    <row r="103" spans="1:28" x14ac:dyDescent="0.3">
      <c r="A103" s="18" t="s">
        <v>73</v>
      </c>
      <c r="B103" s="19" t="str">
        <f>LEFT(Clean_Data!$A103,4)</f>
        <v>2012</v>
      </c>
      <c r="C103" s="19" t="s">
        <v>326</v>
      </c>
      <c r="D103" s="19" t="str">
        <f>IF(ISNUMBER(SEARCH("Final",Clean_Data!$C103)),"Final",
IF(ISNUMBER(SEARCH("Semi",Clean_Data!$C103)),"Semi-Final",
IF(ISNUMBER(SEARCH("Elimination",Clean_Data!$C103)),"Eliminator",
"League")))</f>
        <v>League</v>
      </c>
      <c r="E103" s="20" t="s">
        <v>327</v>
      </c>
      <c r="F103" s="19" t="s">
        <v>23</v>
      </c>
      <c r="G103" s="19">
        <v>114</v>
      </c>
      <c r="H103" s="19">
        <v>9</v>
      </c>
      <c r="I103" s="19" t="s">
        <v>24</v>
      </c>
      <c r="J103" s="19">
        <v>115</v>
      </c>
      <c r="K103" s="19">
        <v>2</v>
      </c>
      <c r="L103" s="19" t="s">
        <v>108</v>
      </c>
      <c r="M103" s="19" t="s">
        <v>23</v>
      </c>
      <c r="N103" s="19" t="s">
        <v>37</v>
      </c>
      <c r="O103" s="19" t="s">
        <v>27</v>
      </c>
      <c r="P103" s="19" t="str">
        <f>IF(Clean_Data!$G103&gt;Clean_Data!$J103,Clean_Data!$F103,Clean_Data!$I103)</f>
        <v>Dhaka Gladiators</v>
      </c>
      <c r="Q103" s="19" t="s">
        <v>28</v>
      </c>
      <c r="R103" s="19" t="s">
        <v>29</v>
      </c>
      <c r="S103" s="19">
        <v>8</v>
      </c>
      <c r="T103" s="19">
        <v>0</v>
      </c>
      <c r="U103" s="19" t="s">
        <v>30</v>
      </c>
      <c r="V103" s="19" t="str">
        <f>IF(Clean_Data!$T103&gt;0,"Runs","Wickets")</f>
        <v>Wickets</v>
      </c>
      <c r="W103" s="19">
        <f>IF(Clean_Data!$T103&gt;0,Clean_Data!$T103,Clean_Data!$S103)</f>
        <v>8</v>
      </c>
      <c r="X103" s="19" t="str">
        <f>IF(Clean_Data!$W103&lt;=10,"Close Match","Normal")</f>
        <v>Close Match</v>
      </c>
      <c r="Y103" s="19">
        <f>Clean_Data!$G103+Clean_Data!$J103</f>
        <v>229</v>
      </c>
      <c r="Z103" s="19" t="str">
        <f>IF(Clean_Data!$Y103&gt;=170,"170+ Match","Below 170")</f>
        <v>170+ Match</v>
      </c>
      <c r="AA103" s="19" t="s">
        <v>57</v>
      </c>
      <c r="AB103" s="21" t="s">
        <v>66</v>
      </c>
    </row>
    <row r="104" spans="1:28" x14ac:dyDescent="0.3">
      <c r="A104" s="16" t="s">
        <v>73</v>
      </c>
      <c r="B104" s="5" t="str">
        <f>LEFT(Clean_Data!$A104,4)</f>
        <v>2012</v>
      </c>
      <c r="C104" s="5" t="s">
        <v>328</v>
      </c>
      <c r="D104" s="5" t="str">
        <f>IF(ISNUMBER(SEARCH("Final",Clean_Data!$C104)),"Final",
IF(ISNUMBER(SEARCH("Semi",Clean_Data!$C104)),"Semi-Final",
IF(ISNUMBER(SEARCH("Elimination",Clean_Data!$C104)),"Eliminator",
"League")))</f>
        <v>League</v>
      </c>
      <c r="E104" s="6" t="s">
        <v>327</v>
      </c>
      <c r="F104" s="5" t="s">
        <v>53</v>
      </c>
      <c r="G104" s="5">
        <v>160</v>
      </c>
      <c r="H104" s="5">
        <v>6</v>
      </c>
      <c r="I104" s="5" t="s">
        <v>113</v>
      </c>
      <c r="J104" s="5">
        <v>161</v>
      </c>
      <c r="K104" s="5">
        <v>5</v>
      </c>
      <c r="L104" s="5" t="s">
        <v>329</v>
      </c>
      <c r="M104" s="5" t="s">
        <v>113</v>
      </c>
      <c r="N104" s="5" t="s">
        <v>26</v>
      </c>
      <c r="O104" s="5" t="s">
        <v>189</v>
      </c>
      <c r="P104" s="5" t="str">
        <f>IF(Clean_Data!$G104&gt;Clean_Data!$J104,Clean_Data!$F104,Clean_Data!$I104)</f>
        <v>Rangpur Riders</v>
      </c>
      <c r="Q104" s="5" t="s">
        <v>28</v>
      </c>
      <c r="R104" s="5" t="s">
        <v>29</v>
      </c>
      <c r="S104" s="5">
        <v>5</v>
      </c>
      <c r="T104" s="5">
        <v>0</v>
      </c>
      <c r="U104" s="5" t="s">
        <v>55</v>
      </c>
      <c r="V104" s="5" t="str">
        <f>IF(Clean_Data!$T104&gt;0,"Runs","Wickets")</f>
        <v>Wickets</v>
      </c>
      <c r="W104" s="5">
        <f>IF(Clean_Data!$T104&gt;0,Clean_Data!$T104,Clean_Data!$S104)</f>
        <v>5</v>
      </c>
      <c r="X104" s="5" t="str">
        <f>IF(Clean_Data!$W104&lt;=10,"Close Match","Normal")</f>
        <v>Close Match</v>
      </c>
      <c r="Y104" s="5">
        <f>Clean_Data!$G104+Clean_Data!$J104</f>
        <v>321</v>
      </c>
      <c r="Z104" s="5" t="str">
        <f>IF(Clean_Data!$Y104&gt;=170,"170+ Match","Below 170")</f>
        <v>170+ Match</v>
      </c>
      <c r="AA104" s="5" t="s">
        <v>32</v>
      </c>
      <c r="AB104" s="17" t="s">
        <v>77</v>
      </c>
    </row>
    <row r="105" spans="1:28" x14ac:dyDescent="0.3">
      <c r="A105" s="18" t="s">
        <v>73</v>
      </c>
      <c r="B105" s="19" t="str">
        <f>LEFT(Clean_Data!$A105,4)</f>
        <v>2012</v>
      </c>
      <c r="C105" s="19" t="s">
        <v>330</v>
      </c>
      <c r="D105" s="19" t="str">
        <f>IF(ISNUMBER(SEARCH("Final",Clean_Data!$C105)),"Final",
IF(ISNUMBER(SEARCH("Semi",Clean_Data!$C105)),"Semi-Final",
IF(ISNUMBER(SEARCH("Elimination",Clean_Data!$C105)),"Eliminator",
"League")))</f>
        <v>League</v>
      </c>
      <c r="E105" s="20" t="s">
        <v>331</v>
      </c>
      <c r="F105" s="19" t="s">
        <v>53</v>
      </c>
      <c r="G105" s="19">
        <v>193</v>
      </c>
      <c r="H105" s="19">
        <v>4</v>
      </c>
      <c r="I105" s="19" t="s">
        <v>62</v>
      </c>
      <c r="J105" s="19">
        <v>74</v>
      </c>
      <c r="K105" s="19">
        <v>10</v>
      </c>
      <c r="L105" s="19" t="s">
        <v>332</v>
      </c>
      <c r="M105" s="19" t="s">
        <v>62</v>
      </c>
      <c r="N105" s="19" t="s">
        <v>26</v>
      </c>
      <c r="O105" s="19" t="s">
        <v>80</v>
      </c>
      <c r="P105" s="19" t="str">
        <f>IF(Clean_Data!$G105&gt;Clean_Data!$J105,Clean_Data!$F105,Clean_Data!$I105)</f>
        <v>Chittagong Kings</v>
      </c>
      <c r="Q105" s="19" t="s">
        <v>28</v>
      </c>
      <c r="R105" s="19" t="s">
        <v>29</v>
      </c>
      <c r="S105" s="19">
        <v>0</v>
      </c>
      <c r="T105" s="19">
        <v>119</v>
      </c>
      <c r="U105" s="19" t="s">
        <v>333</v>
      </c>
      <c r="V105" s="19" t="str">
        <f>IF(Clean_Data!$T105&gt;0,"Runs","Wickets")</f>
        <v>Runs</v>
      </c>
      <c r="W105" s="19">
        <f>IF(Clean_Data!$T105&gt;0,Clean_Data!$T105,Clean_Data!$S105)</f>
        <v>119</v>
      </c>
      <c r="X105" s="19" t="str">
        <f>IF(Clean_Data!$W105&lt;=10,"Close Match","Normal")</f>
        <v>Normal</v>
      </c>
      <c r="Y105" s="19">
        <f>Clean_Data!$G105+Clean_Data!$J105</f>
        <v>267</v>
      </c>
      <c r="Z105" s="19" t="str">
        <f>IF(Clean_Data!$Y105&gt;=170,"170+ Match","Below 170")</f>
        <v>170+ Match</v>
      </c>
      <c r="AA105" s="19" t="s">
        <v>56</v>
      </c>
      <c r="AB105" s="21" t="s">
        <v>77</v>
      </c>
    </row>
    <row r="106" spans="1:28" x14ac:dyDescent="0.3">
      <c r="A106" s="16" t="s">
        <v>73</v>
      </c>
      <c r="B106" s="5" t="str">
        <f>LEFT(Clean_Data!$A106,4)</f>
        <v>2012</v>
      </c>
      <c r="C106" s="5" t="s">
        <v>334</v>
      </c>
      <c r="D106" s="5" t="str">
        <f>IF(ISNUMBER(SEARCH("Final",Clean_Data!$C106)),"Final",
IF(ISNUMBER(SEARCH("Semi",Clean_Data!$C106)),"Semi-Final",
IF(ISNUMBER(SEARCH("Elimination",Clean_Data!$C106)),"Eliminator",
"League")))</f>
        <v>League</v>
      </c>
      <c r="E106" s="6" t="s">
        <v>331</v>
      </c>
      <c r="F106" s="5" t="s">
        <v>41</v>
      </c>
      <c r="G106" s="5">
        <v>138</v>
      </c>
      <c r="H106" s="5">
        <v>9</v>
      </c>
      <c r="I106" s="5" t="s">
        <v>35</v>
      </c>
      <c r="J106" s="5">
        <v>140</v>
      </c>
      <c r="K106" s="5">
        <v>3</v>
      </c>
      <c r="L106" s="5" t="s">
        <v>335</v>
      </c>
      <c r="M106" s="5" t="s">
        <v>41</v>
      </c>
      <c r="N106" s="5" t="s">
        <v>37</v>
      </c>
      <c r="O106" s="5" t="s">
        <v>98</v>
      </c>
      <c r="P106" s="5" t="str">
        <f>IF(Clean_Data!$G106&gt;Clean_Data!$J106,Clean_Data!$F106,Clean_Data!$I106)</f>
        <v>Khulna Royal Bengals</v>
      </c>
      <c r="Q106" s="5" t="s">
        <v>28</v>
      </c>
      <c r="R106" s="5" t="s">
        <v>29</v>
      </c>
      <c r="S106" s="5">
        <v>7</v>
      </c>
      <c r="T106" s="5">
        <v>0</v>
      </c>
      <c r="U106" s="5" t="s">
        <v>118</v>
      </c>
      <c r="V106" s="5" t="str">
        <f>IF(Clean_Data!$T106&gt;0,"Runs","Wickets")</f>
        <v>Wickets</v>
      </c>
      <c r="W106" s="5">
        <f>IF(Clean_Data!$T106&gt;0,Clean_Data!$T106,Clean_Data!$S106)</f>
        <v>7</v>
      </c>
      <c r="X106" s="5" t="str">
        <f>IF(Clean_Data!$W106&lt;=10,"Close Match","Normal")</f>
        <v>Close Match</v>
      </c>
      <c r="Y106" s="5">
        <f>Clean_Data!$G106+Clean_Data!$J106</f>
        <v>278</v>
      </c>
      <c r="Z106" s="5" t="str">
        <f>IF(Clean_Data!$Y106&gt;=170,"170+ Match","Below 170")</f>
        <v>170+ Match</v>
      </c>
      <c r="AA106" s="5" t="s">
        <v>32</v>
      </c>
      <c r="AB106" s="17" t="s">
        <v>57</v>
      </c>
    </row>
    <row r="107" spans="1:28" x14ac:dyDescent="0.3">
      <c r="A107" s="18" t="s">
        <v>73</v>
      </c>
      <c r="B107" s="19" t="str">
        <f>LEFT(Clean_Data!$A107,4)</f>
        <v>2012</v>
      </c>
      <c r="C107" s="19" t="s">
        <v>336</v>
      </c>
      <c r="D107" s="19" t="str">
        <f>IF(ISNUMBER(SEARCH("Final",Clean_Data!$C107)),"Final",
IF(ISNUMBER(SEARCH("Semi",Clean_Data!$C107)),"Semi-Final",
IF(ISNUMBER(SEARCH("Elimination",Clean_Data!$C107)),"Eliminator",
"League")))</f>
        <v>League</v>
      </c>
      <c r="E107" s="20" t="s">
        <v>337</v>
      </c>
      <c r="F107" s="19" t="s">
        <v>113</v>
      </c>
      <c r="G107" s="19">
        <v>197</v>
      </c>
      <c r="H107" s="19">
        <v>4</v>
      </c>
      <c r="I107" s="19" t="s">
        <v>62</v>
      </c>
      <c r="J107" s="19">
        <v>198</v>
      </c>
      <c r="K107" s="19">
        <v>4</v>
      </c>
      <c r="L107" s="19" t="s">
        <v>338</v>
      </c>
      <c r="M107" s="19" t="s">
        <v>62</v>
      </c>
      <c r="N107" s="19" t="s">
        <v>26</v>
      </c>
      <c r="O107" s="19" t="s">
        <v>64</v>
      </c>
      <c r="P107" s="19" t="str">
        <f>IF(Clean_Data!$G107&gt;Clean_Data!$J107,Clean_Data!$F107,Clean_Data!$I107)</f>
        <v>Sylhet Royals</v>
      </c>
      <c r="Q107" s="19" t="s">
        <v>28</v>
      </c>
      <c r="R107" s="19" t="s">
        <v>29</v>
      </c>
      <c r="S107" s="19">
        <v>6</v>
      </c>
      <c r="T107" s="19">
        <v>0</v>
      </c>
      <c r="U107" s="19" t="s">
        <v>151</v>
      </c>
      <c r="V107" s="19" t="str">
        <f>IF(Clean_Data!$T107&gt;0,"Runs","Wickets")</f>
        <v>Wickets</v>
      </c>
      <c r="W107" s="19">
        <f>IF(Clean_Data!$T107&gt;0,Clean_Data!$T107,Clean_Data!$S107)</f>
        <v>6</v>
      </c>
      <c r="X107" s="19" t="str">
        <f>IF(Clean_Data!$W107&lt;=10,"Close Match","Normal")</f>
        <v>Close Match</v>
      </c>
      <c r="Y107" s="19">
        <f>Clean_Data!$G107+Clean_Data!$J107</f>
        <v>395</v>
      </c>
      <c r="Z107" s="19" t="str">
        <f>IF(Clean_Data!$Y107&gt;=170,"170+ Match","Below 170")</f>
        <v>170+ Match</v>
      </c>
      <c r="AA107" s="19" t="s">
        <v>32</v>
      </c>
      <c r="AB107" s="21" t="s">
        <v>77</v>
      </c>
    </row>
    <row r="108" spans="1:28" x14ac:dyDescent="0.3">
      <c r="A108" s="16" t="s">
        <v>73</v>
      </c>
      <c r="B108" s="5" t="str">
        <f>LEFT(Clean_Data!$A108,4)</f>
        <v>2012</v>
      </c>
      <c r="C108" s="5" t="s">
        <v>45</v>
      </c>
      <c r="D108" s="5" t="str">
        <f>IF(ISNUMBER(SEARCH("Final",Clean_Data!$C108)),"Final",
IF(ISNUMBER(SEARCH("Semi",Clean_Data!$C108)),"Semi-Final",
IF(ISNUMBER(SEARCH("Elimination",Clean_Data!$C108)),"Eliminator",
"League")))</f>
        <v>League</v>
      </c>
      <c r="E108" s="6" t="s">
        <v>337</v>
      </c>
      <c r="F108" s="5" t="s">
        <v>53</v>
      </c>
      <c r="G108" s="5">
        <v>156</v>
      </c>
      <c r="H108" s="5">
        <v>5</v>
      </c>
      <c r="I108" s="5" t="s">
        <v>35</v>
      </c>
      <c r="J108" s="5">
        <v>67</v>
      </c>
      <c r="K108" s="5">
        <v>10</v>
      </c>
      <c r="L108" s="5" t="s">
        <v>84</v>
      </c>
      <c r="M108" s="5" t="s">
        <v>35</v>
      </c>
      <c r="N108" s="5" t="s">
        <v>26</v>
      </c>
      <c r="O108" s="5" t="s">
        <v>80</v>
      </c>
      <c r="P108" s="5" t="str">
        <f>IF(Clean_Data!$G108&gt;Clean_Data!$J108,Clean_Data!$F108,Clean_Data!$I108)</f>
        <v>Chittagong Kings</v>
      </c>
      <c r="Q108" s="5" t="s">
        <v>28</v>
      </c>
      <c r="R108" s="5" t="s">
        <v>29</v>
      </c>
      <c r="S108" s="5">
        <v>0</v>
      </c>
      <c r="T108" s="5">
        <v>89</v>
      </c>
      <c r="U108" s="5" t="s">
        <v>339</v>
      </c>
      <c r="V108" s="5" t="str">
        <f>IF(Clean_Data!$T108&gt;0,"Runs","Wickets")</f>
        <v>Runs</v>
      </c>
      <c r="W108" s="5">
        <f>IF(Clean_Data!$T108&gt;0,Clean_Data!$T108,Clean_Data!$S108)</f>
        <v>89</v>
      </c>
      <c r="X108" s="5" t="str">
        <f>IF(Clean_Data!$W108&lt;=10,"Close Match","Normal")</f>
        <v>Normal</v>
      </c>
      <c r="Y108" s="5">
        <f>Clean_Data!$G108+Clean_Data!$J108</f>
        <v>223</v>
      </c>
      <c r="Z108" s="5" t="str">
        <f>IF(Clean_Data!$Y108&gt;=170,"170+ Match","Below 170")</f>
        <v>170+ Match</v>
      </c>
      <c r="AA108" s="5" t="s">
        <v>57</v>
      </c>
      <c r="AB108" s="17" t="s">
        <v>66</v>
      </c>
    </row>
    <row r="109" spans="1:28" x14ac:dyDescent="0.3">
      <c r="A109" s="18" t="s">
        <v>73</v>
      </c>
      <c r="B109" s="19" t="str">
        <f>LEFT(Clean_Data!$A109,4)</f>
        <v>2012</v>
      </c>
      <c r="C109" s="19" t="s">
        <v>51</v>
      </c>
      <c r="D109" s="19" t="str">
        <f>IF(ISNUMBER(SEARCH("Final",Clean_Data!$C109)),"Final",
IF(ISNUMBER(SEARCH("Semi",Clean_Data!$C109)),"Semi-Final",
IF(ISNUMBER(SEARCH("Elimination",Clean_Data!$C109)),"Eliminator",
"League")))</f>
        <v>League</v>
      </c>
      <c r="E109" s="20" t="s">
        <v>340</v>
      </c>
      <c r="F109" s="19" t="s">
        <v>24</v>
      </c>
      <c r="G109" s="19">
        <v>217</v>
      </c>
      <c r="H109" s="19">
        <v>4</v>
      </c>
      <c r="I109" s="19" t="s">
        <v>113</v>
      </c>
      <c r="J109" s="19">
        <v>129</v>
      </c>
      <c r="K109" s="19">
        <v>10</v>
      </c>
      <c r="L109" s="19" t="s">
        <v>182</v>
      </c>
      <c r="M109" s="19" t="s">
        <v>113</v>
      </c>
      <c r="N109" s="19" t="s">
        <v>26</v>
      </c>
      <c r="O109" s="19" t="s">
        <v>27</v>
      </c>
      <c r="P109" s="19" t="str">
        <f>IF(Clean_Data!$G109&gt;Clean_Data!$J109,Clean_Data!$F109,Clean_Data!$I109)</f>
        <v>Dhaka Gladiators</v>
      </c>
      <c r="Q109" s="19" t="s">
        <v>28</v>
      </c>
      <c r="R109" s="19" t="s">
        <v>29</v>
      </c>
      <c r="S109" s="19">
        <v>0</v>
      </c>
      <c r="T109" s="19">
        <v>88</v>
      </c>
      <c r="U109" s="19" t="s">
        <v>341</v>
      </c>
      <c r="V109" s="19" t="str">
        <f>IF(Clean_Data!$T109&gt;0,"Runs","Wickets")</f>
        <v>Runs</v>
      </c>
      <c r="W109" s="19">
        <f>IF(Clean_Data!$T109&gt;0,Clean_Data!$T109,Clean_Data!$S109)</f>
        <v>88</v>
      </c>
      <c r="X109" s="19" t="str">
        <f>IF(Clean_Data!$W109&lt;=10,"Close Match","Normal")</f>
        <v>Normal</v>
      </c>
      <c r="Y109" s="19">
        <f>Clean_Data!$G109+Clean_Data!$J109</f>
        <v>346</v>
      </c>
      <c r="Z109" s="19" t="str">
        <f>IF(Clean_Data!$Y109&gt;=170,"170+ Match","Below 170")</f>
        <v>170+ Match</v>
      </c>
      <c r="AA109" s="19" t="s">
        <v>32</v>
      </c>
      <c r="AB109" s="21" t="s">
        <v>225</v>
      </c>
    </row>
    <row r="110" spans="1:28" x14ac:dyDescent="0.3">
      <c r="A110" s="16" t="s">
        <v>73</v>
      </c>
      <c r="B110" s="5" t="str">
        <f>LEFT(Clean_Data!$A110,4)</f>
        <v>2012</v>
      </c>
      <c r="C110" s="5" t="s">
        <v>58</v>
      </c>
      <c r="D110" s="5" t="str">
        <f>IF(ISNUMBER(SEARCH("Final",Clean_Data!$C110)),"Final",
IF(ISNUMBER(SEARCH("Semi",Clean_Data!$C110)),"Semi-Final",
IF(ISNUMBER(SEARCH("Elimination",Clean_Data!$C110)),"Eliminator",
"League")))</f>
        <v>League</v>
      </c>
      <c r="E110" s="6" t="s">
        <v>340</v>
      </c>
      <c r="F110" s="5" t="s">
        <v>62</v>
      </c>
      <c r="G110" s="5">
        <v>147</v>
      </c>
      <c r="H110" s="5">
        <v>8</v>
      </c>
      <c r="I110" s="5" t="s">
        <v>41</v>
      </c>
      <c r="J110" s="5">
        <v>152</v>
      </c>
      <c r="K110" s="5">
        <v>5</v>
      </c>
      <c r="L110" s="5" t="s">
        <v>188</v>
      </c>
      <c r="M110" s="5" t="s">
        <v>41</v>
      </c>
      <c r="N110" s="5" t="s">
        <v>26</v>
      </c>
      <c r="O110" s="5" t="s">
        <v>48</v>
      </c>
      <c r="P110" s="5" t="str">
        <f>IF(Clean_Data!$G110&gt;Clean_Data!$J110,Clean_Data!$F110,Clean_Data!$I110)</f>
        <v>Duronto Rajshahi</v>
      </c>
      <c r="Q110" s="5" t="s">
        <v>28</v>
      </c>
      <c r="R110" s="5" t="s">
        <v>29</v>
      </c>
      <c r="S110" s="5">
        <v>5</v>
      </c>
      <c r="T110" s="5">
        <v>0</v>
      </c>
      <c r="U110" s="5" t="s">
        <v>55</v>
      </c>
      <c r="V110" s="5" t="str">
        <f>IF(Clean_Data!$T110&gt;0,"Runs","Wickets")</f>
        <v>Wickets</v>
      </c>
      <c r="W110" s="5">
        <f>IF(Clean_Data!$T110&gt;0,Clean_Data!$T110,Clean_Data!$S110)</f>
        <v>5</v>
      </c>
      <c r="X110" s="5" t="str">
        <f>IF(Clean_Data!$W110&lt;=10,"Close Match","Normal")</f>
        <v>Close Match</v>
      </c>
      <c r="Y110" s="5">
        <f>Clean_Data!$G110+Clean_Data!$J110</f>
        <v>299</v>
      </c>
      <c r="Z110" s="5" t="str">
        <f>IF(Clean_Data!$Y110&gt;=170,"170+ Match","Below 170")</f>
        <v>170+ Match</v>
      </c>
      <c r="AA110" s="5" t="s">
        <v>32</v>
      </c>
      <c r="AB110" s="17" t="s">
        <v>66</v>
      </c>
    </row>
    <row r="111" spans="1:28" x14ac:dyDescent="0.3">
      <c r="A111" s="18" t="s">
        <v>73</v>
      </c>
      <c r="B111" s="19" t="str">
        <f>LEFT(Clean_Data!$A111,4)</f>
        <v>2012</v>
      </c>
      <c r="C111" s="19" t="s">
        <v>60</v>
      </c>
      <c r="D111" s="19" t="str">
        <f>IF(ISNUMBER(SEARCH("Final",Clean_Data!$C111)),"Final",
IF(ISNUMBER(SEARCH("Semi",Clean_Data!$C111)),"Semi-Final",
IF(ISNUMBER(SEARCH("Elimination",Clean_Data!$C111)),"Eliminator",
"League")))</f>
        <v>League</v>
      </c>
      <c r="E111" s="20" t="s">
        <v>342</v>
      </c>
      <c r="F111" s="19" t="s">
        <v>35</v>
      </c>
      <c r="G111" s="19">
        <v>145</v>
      </c>
      <c r="H111" s="19">
        <v>7</v>
      </c>
      <c r="I111" s="19" t="s">
        <v>23</v>
      </c>
      <c r="J111" s="19">
        <v>148</v>
      </c>
      <c r="K111" s="19">
        <v>3</v>
      </c>
      <c r="L111" s="19" t="s">
        <v>36</v>
      </c>
      <c r="M111" s="19" t="s">
        <v>23</v>
      </c>
      <c r="N111" s="19" t="s">
        <v>26</v>
      </c>
      <c r="O111" s="19" t="s">
        <v>43</v>
      </c>
      <c r="P111" s="19" t="str">
        <f>IF(Clean_Data!$G111&gt;Clean_Data!$J111,Clean_Data!$F111,Clean_Data!$I111)</f>
        <v>Barisal Burners</v>
      </c>
      <c r="Q111" s="19" t="s">
        <v>28</v>
      </c>
      <c r="R111" s="19" t="s">
        <v>29</v>
      </c>
      <c r="S111" s="19">
        <v>7</v>
      </c>
      <c r="T111" s="19">
        <v>0</v>
      </c>
      <c r="U111" s="19" t="s">
        <v>118</v>
      </c>
      <c r="V111" s="19" t="str">
        <f>IF(Clean_Data!$T111&gt;0,"Runs","Wickets")</f>
        <v>Wickets</v>
      </c>
      <c r="W111" s="19">
        <f>IF(Clean_Data!$T111&gt;0,Clean_Data!$T111,Clean_Data!$S111)</f>
        <v>7</v>
      </c>
      <c r="X111" s="19" t="str">
        <f>IF(Clean_Data!$W111&lt;=10,"Close Match","Normal")</f>
        <v>Close Match</v>
      </c>
      <c r="Y111" s="19">
        <f>Clean_Data!$G111+Clean_Data!$J111</f>
        <v>293</v>
      </c>
      <c r="Z111" s="19" t="str">
        <f>IF(Clean_Data!$Y111&gt;=170,"170+ Match","Below 170")</f>
        <v>170+ Match</v>
      </c>
      <c r="AA111" s="19" t="s">
        <v>56</v>
      </c>
      <c r="AB111" s="21" t="s">
        <v>57</v>
      </c>
    </row>
    <row r="112" spans="1:28" x14ac:dyDescent="0.3">
      <c r="A112" s="16" t="s">
        <v>73</v>
      </c>
      <c r="B112" s="5" t="str">
        <f>LEFT(Clean_Data!$A112,4)</f>
        <v>2012</v>
      </c>
      <c r="C112" s="5" t="s">
        <v>67</v>
      </c>
      <c r="D112" s="5" t="str">
        <f>IF(ISNUMBER(SEARCH("Final",Clean_Data!$C112)),"Final",
IF(ISNUMBER(SEARCH("Semi",Clean_Data!$C112)),"Semi-Final",
IF(ISNUMBER(SEARCH("Elimination",Clean_Data!$C112)),"Eliminator",
"League")))</f>
        <v>League</v>
      </c>
      <c r="E112" s="6" t="s">
        <v>342</v>
      </c>
      <c r="F112" s="5" t="s">
        <v>113</v>
      </c>
      <c r="G112" s="5">
        <v>163</v>
      </c>
      <c r="H112" s="5">
        <v>3</v>
      </c>
      <c r="I112" s="5" t="s">
        <v>41</v>
      </c>
      <c r="J112" s="5">
        <v>168</v>
      </c>
      <c r="K112" s="5">
        <v>3</v>
      </c>
      <c r="L112" s="5" t="s">
        <v>253</v>
      </c>
      <c r="M112" s="5" t="s">
        <v>113</v>
      </c>
      <c r="N112" s="5" t="s">
        <v>37</v>
      </c>
      <c r="O112" s="5" t="s">
        <v>48</v>
      </c>
      <c r="P112" s="5" t="str">
        <f>IF(Clean_Data!$G112&gt;Clean_Data!$J112,Clean_Data!$F112,Clean_Data!$I112)</f>
        <v>Duronto Rajshahi</v>
      </c>
      <c r="Q112" s="5" t="s">
        <v>28</v>
      </c>
      <c r="R112" s="5" t="s">
        <v>29</v>
      </c>
      <c r="S112" s="5">
        <v>7</v>
      </c>
      <c r="T112" s="5">
        <v>0</v>
      </c>
      <c r="U112" s="5" t="s">
        <v>118</v>
      </c>
      <c r="V112" s="5" t="str">
        <f>IF(Clean_Data!$T112&gt;0,"Runs","Wickets")</f>
        <v>Wickets</v>
      </c>
      <c r="W112" s="5">
        <f>IF(Clean_Data!$T112&gt;0,Clean_Data!$T112,Clean_Data!$S112)</f>
        <v>7</v>
      </c>
      <c r="X112" s="5" t="str">
        <f>IF(Clean_Data!$W112&lt;=10,"Close Match","Normal")</f>
        <v>Close Match</v>
      </c>
      <c r="Y112" s="5">
        <f>Clean_Data!$G112+Clean_Data!$J112</f>
        <v>331</v>
      </c>
      <c r="Z112" s="5" t="str">
        <f>IF(Clean_Data!$Y112&gt;=170,"170+ Match","Below 170")</f>
        <v>170+ Match</v>
      </c>
      <c r="AA112" s="5" t="s">
        <v>32</v>
      </c>
      <c r="AB112" s="17" t="s">
        <v>77</v>
      </c>
    </row>
    <row r="113" spans="1:28" x14ac:dyDescent="0.3">
      <c r="A113" s="18" t="s">
        <v>73</v>
      </c>
      <c r="B113" s="19" t="str">
        <f>LEFT(Clean_Data!$A113,4)</f>
        <v>2012</v>
      </c>
      <c r="C113" s="19" t="s">
        <v>68</v>
      </c>
      <c r="D113" s="19" t="str">
        <f>IF(ISNUMBER(SEARCH("Final",Clean_Data!$C113)),"Final",
IF(ISNUMBER(SEARCH("Semi",Clean_Data!$C113)),"Semi-Final",
IF(ISNUMBER(SEARCH("Elimination",Clean_Data!$C113)),"Eliminator",
"League")))</f>
        <v>League</v>
      </c>
      <c r="E113" s="20" t="s">
        <v>343</v>
      </c>
      <c r="F113" s="19" t="s">
        <v>53</v>
      </c>
      <c r="G113" s="19">
        <v>142</v>
      </c>
      <c r="H113" s="19">
        <v>10</v>
      </c>
      <c r="I113" s="19" t="s">
        <v>24</v>
      </c>
      <c r="J113" s="19">
        <v>88</v>
      </c>
      <c r="K113" s="19">
        <v>8</v>
      </c>
      <c r="L113" s="19" t="s">
        <v>344</v>
      </c>
      <c r="M113" s="19" t="s">
        <v>24</v>
      </c>
      <c r="N113" s="19" t="s">
        <v>26</v>
      </c>
      <c r="O113" s="19" t="s">
        <v>80</v>
      </c>
      <c r="P113" s="19" t="str">
        <f>IF(Clean_Data!$G113&gt;Clean_Data!$J113,Clean_Data!$F113,Clean_Data!$I113)</f>
        <v>Chittagong Kings</v>
      </c>
      <c r="Q113" s="19" t="s">
        <v>345</v>
      </c>
      <c r="R113" s="19" t="s">
        <v>89</v>
      </c>
      <c r="S113" s="19">
        <v>0</v>
      </c>
      <c r="T113" s="19">
        <v>54</v>
      </c>
      <c r="U113" s="19" t="s">
        <v>211</v>
      </c>
      <c r="V113" s="19" t="str">
        <f>IF(Clean_Data!$T113&gt;0,"Runs","Wickets")</f>
        <v>Runs</v>
      </c>
      <c r="W113" s="19">
        <f>IF(Clean_Data!$T113&gt;0,Clean_Data!$T113,Clean_Data!$S113)</f>
        <v>54</v>
      </c>
      <c r="X113" s="19" t="str">
        <f>IF(Clean_Data!$W113&lt;=10,"Close Match","Normal")</f>
        <v>Normal</v>
      </c>
      <c r="Y113" s="19">
        <f>Clean_Data!$G113+Clean_Data!$J113</f>
        <v>230</v>
      </c>
      <c r="Z113" s="19" t="str">
        <f>IF(Clean_Data!$Y113&gt;=170,"170+ Match","Below 170")</f>
        <v>170+ Match</v>
      </c>
      <c r="AA113" s="19" t="s">
        <v>50</v>
      </c>
      <c r="AB113" s="21" t="s">
        <v>66</v>
      </c>
    </row>
    <row r="114" spans="1:28" x14ac:dyDescent="0.3">
      <c r="A114" s="16" t="s">
        <v>73</v>
      </c>
      <c r="B114" s="5" t="str">
        <f>LEFT(Clean_Data!$A114,4)</f>
        <v>2012</v>
      </c>
      <c r="C114" s="5" t="s">
        <v>78</v>
      </c>
      <c r="D114" s="5" t="str">
        <f>IF(ISNUMBER(SEARCH("Final",Clean_Data!$C114)),"Final",
IF(ISNUMBER(SEARCH("Semi",Clean_Data!$C114)),"Semi-Final",
IF(ISNUMBER(SEARCH("Elimination",Clean_Data!$C114)),"Eliminator",
"League")))</f>
        <v>League</v>
      </c>
      <c r="E114" s="6" t="s">
        <v>343</v>
      </c>
      <c r="F114" s="5" t="s">
        <v>23</v>
      </c>
      <c r="G114" s="5">
        <v>152</v>
      </c>
      <c r="H114" s="5">
        <v>6</v>
      </c>
      <c r="I114" s="5" t="s">
        <v>41</v>
      </c>
      <c r="J114" s="5">
        <v>153</v>
      </c>
      <c r="K114" s="5">
        <v>6</v>
      </c>
      <c r="L114" s="5" t="s">
        <v>188</v>
      </c>
      <c r="M114" s="5" t="s">
        <v>23</v>
      </c>
      <c r="N114" s="5" t="s">
        <v>37</v>
      </c>
      <c r="O114" s="5" t="s">
        <v>48</v>
      </c>
      <c r="P114" s="5" t="str">
        <f>IF(Clean_Data!$G114&gt;Clean_Data!$J114,Clean_Data!$F114,Clean_Data!$I114)</f>
        <v>Duronto Rajshahi</v>
      </c>
      <c r="Q114" s="5" t="s">
        <v>345</v>
      </c>
      <c r="R114" s="5" t="s">
        <v>89</v>
      </c>
      <c r="S114" s="5">
        <v>4</v>
      </c>
      <c r="T114" s="5">
        <v>0</v>
      </c>
      <c r="U114" s="5" t="s">
        <v>90</v>
      </c>
      <c r="V114" s="5" t="str">
        <f>IF(Clean_Data!$T114&gt;0,"Runs","Wickets")</f>
        <v>Wickets</v>
      </c>
      <c r="W114" s="5">
        <f>IF(Clean_Data!$T114&gt;0,Clean_Data!$T114,Clean_Data!$S114)</f>
        <v>4</v>
      </c>
      <c r="X114" s="5" t="str">
        <f>IF(Clean_Data!$W114&lt;=10,"Close Match","Normal")</f>
        <v>Close Match</v>
      </c>
      <c r="Y114" s="5">
        <f>Clean_Data!$G114+Clean_Data!$J114</f>
        <v>305</v>
      </c>
      <c r="Z114" s="5" t="str">
        <f>IF(Clean_Data!$Y114&gt;=170,"170+ Match","Below 170")</f>
        <v>170+ Match</v>
      </c>
      <c r="AA114" s="5" t="s">
        <v>56</v>
      </c>
      <c r="AB114" s="17" t="s">
        <v>57</v>
      </c>
    </row>
    <row r="115" spans="1:28" x14ac:dyDescent="0.3">
      <c r="A115" s="18" t="s">
        <v>73</v>
      </c>
      <c r="B115" s="19" t="str">
        <f>LEFT(Clean_Data!$A115,4)</f>
        <v>2012</v>
      </c>
      <c r="C115" s="19" t="s">
        <v>85</v>
      </c>
      <c r="D115" s="19" t="str">
        <f>IF(ISNUMBER(SEARCH("Final",Clean_Data!$C115)),"Final",
IF(ISNUMBER(SEARCH("Semi",Clean_Data!$C115)),"Semi-Final",
IF(ISNUMBER(SEARCH("Elimination",Clean_Data!$C115)),"Eliminator",
"League")))</f>
        <v>League</v>
      </c>
      <c r="E115" s="20" t="s">
        <v>346</v>
      </c>
      <c r="F115" s="19" t="s">
        <v>35</v>
      </c>
      <c r="G115" s="19">
        <v>136</v>
      </c>
      <c r="H115" s="19">
        <v>5</v>
      </c>
      <c r="I115" s="19" t="s">
        <v>53</v>
      </c>
      <c r="J115" s="19">
        <v>137</v>
      </c>
      <c r="K115" s="19">
        <v>2</v>
      </c>
      <c r="L115" s="19" t="s">
        <v>332</v>
      </c>
      <c r="M115" s="19" t="s">
        <v>53</v>
      </c>
      <c r="N115" s="19" t="s">
        <v>26</v>
      </c>
      <c r="O115" s="19" t="s">
        <v>80</v>
      </c>
      <c r="P115" s="19" t="str">
        <f>IF(Clean_Data!$G115&gt;Clean_Data!$J115,Clean_Data!$F115,Clean_Data!$I115)</f>
        <v>Chittagong Kings</v>
      </c>
      <c r="Q115" s="19" t="s">
        <v>345</v>
      </c>
      <c r="R115" s="19" t="s">
        <v>89</v>
      </c>
      <c r="S115" s="19">
        <v>8</v>
      </c>
      <c r="T115" s="19">
        <v>0</v>
      </c>
      <c r="U115" s="19" t="s">
        <v>30</v>
      </c>
      <c r="V115" s="19" t="str">
        <f>IF(Clean_Data!$T115&gt;0,"Runs","Wickets")</f>
        <v>Wickets</v>
      </c>
      <c r="W115" s="19">
        <f>IF(Clean_Data!$T115&gt;0,Clean_Data!$T115,Clean_Data!$S115)</f>
        <v>8</v>
      </c>
      <c r="X115" s="19" t="str">
        <f>IF(Clean_Data!$W115&lt;=10,"Close Match","Normal")</f>
        <v>Close Match</v>
      </c>
      <c r="Y115" s="19">
        <f>Clean_Data!$G115+Clean_Data!$J115</f>
        <v>273</v>
      </c>
      <c r="Z115" s="19" t="str">
        <f>IF(Clean_Data!$Y115&gt;=170,"170+ Match","Below 170")</f>
        <v>170+ Match</v>
      </c>
      <c r="AA115" s="19" t="s">
        <v>50</v>
      </c>
      <c r="AB115" s="21" t="s">
        <v>66</v>
      </c>
    </row>
    <row r="116" spans="1:28" x14ac:dyDescent="0.3">
      <c r="A116" s="16" t="s">
        <v>73</v>
      </c>
      <c r="B116" s="5" t="str">
        <f>LEFT(Clean_Data!$A116,4)</f>
        <v>2012</v>
      </c>
      <c r="C116" s="5" t="s">
        <v>91</v>
      </c>
      <c r="D116" s="5" t="str">
        <f>IF(ISNUMBER(SEARCH("Final",Clean_Data!$C116)),"Final",
IF(ISNUMBER(SEARCH("Semi",Clean_Data!$C116)),"Semi-Final",
IF(ISNUMBER(SEARCH("Elimination",Clean_Data!$C116)),"Eliminator",
"League")))</f>
        <v>League</v>
      </c>
      <c r="E116" s="6" t="s">
        <v>346</v>
      </c>
      <c r="F116" s="5" t="s">
        <v>24</v>
      </c>
      <c r="G116" s="5">
        <v>137</v>
      </c>
      <c r="H116" s="5">
        <v>5</v>
      </c>
      <c r="I116" s="5" t="s">
        <v>41</v>
      </c>
      <c r="J116" s="5">
        <v>124</v>
      </c>
      <c r="K116" s="5">
        <v>9</v>
      </c>
      <c r="L116" s="5" t="s">
        <v>347</v>
      </c>
      <c r="M116" s="5" t="s">
        <v>24</v>
      </c>
      <c r="N116" s="5" t="s">
        <v>37</v>
      </c>
      <c r="O116" s="5" t="s">
        <v>27</v>
      </c>
      <c r="P116" s="5" t="str">
        <f>IF(Clean_Data!$G116&gt;Clean_Data!$J116,Clean_Data!$F116,Clean_Data!$I116)</f>
        <v>Dhaka Gladiators</v>
      </c>
      <c r="Q116" s="5" t="s">
        <v>345</v>
      </c>
      <c r="R116" s="5" t="s">
        <v>89</v>
      </c>
      <c r="S116" s="5">
        <v>0</v>
      </c>
      <c r="T116" s="5">
        <v>13</v>
      </c>
      <c r="U116" s="5" t="s">
        <v>81</v>
      </c>
      <c r="V116" s="5" t="str">
        <f>IF(Clean_Data!$T116&gt;0,"Runs","Wickets")</f>
        <v>Runs</v>
      </c>
      <c r="W116" s="5">
        <f>IF(Clean_Data!$T116&gt;0,Clean_Data!$T116,Clean_Data!$S116)</f>
        <v>13</v>
      </c>
      <c r="X116" s="5" t="str">
        <f>IF(Clean_Data!$W116&lt;=10,"Close Match","Normal")</f>
        <v>Normal</v>
      </c>
      <c r="Y116" s="5">
        <f>Clean_Data!$G116+Clean_Data!$J116</f>
        <v>261</v>
      </c>
      <c r="Z116" s="5" t="str">
        <f>IF(Clean_Data!$Y116&gt;=170,"170+ Match","Below 170")</f>
        <v>170+ Match</v>
      </c>
      <c r="AA116" s="5" t="s">
        <v>56</v>
      </c>
      <c r="AB116" s="17" t="s">
        <v>57</v>
      </c>
    </row>
    <row r="117" spans="1:28" x14ac:dyDescent="0.3">
      <c r="A117" s="18" t="s">
        <v>73</v>
      </c>
      <c r="B117" s="19" t="str">
        <f>LEFT(Clean_Data!$A117,4)</f>
        <v>2012</v>
      </c>
      <c r="C117" s="19" t="s">
        <v>95</v>
      </c>
      <c r="D117" s="19" t="str">
        <f>IF(ISNUMBER(SEARCH("Final",Clean_Data!$C117)),"Final",
IF(ISNUMBER(SEARCH("Semi",Clean_Data!$C117)),"Semi-Final",
IF(ISNUMBER(SEARCH("Elimination",Clean_Data!$C117)),"Eliminator",
"League")))</f>
        <v>League</v>
      </c>
      <c r="E117" s="20" t="s">
        <v>348</v>
      </c>
      <c r="F117" s="19" t="s">
        <v>23</v>
      </c>
      <c r="G117" s="19">
        <v>182</v>
      </c>
      <c r="H117" s="19">
        <v>5</v>
      </c>
      <c r="I117" s="19" t="s">
        <v>53</v>
      </c>
      <c r="J117" s="19">
        <v>176</v>
      </c>
      <c r="K117" s="19">
        <v>6</v>
      </c>
      <c r="L117" s="19" t="s">
        <v>36</v>
      </c>
      <c r="M117" s="19" t="s">
        <v>23</v>
      </c>
      <c r="N117" s="19" t="s">
        <v>37</v>
      </c>
      <c r="O117" s="19" t="s">
        <v>43</v>
      </c>
      <c r="P117" s="19" t="str">
        <f>IF(Clean_Data!$G117&gt;Clean_Data!$J117,Clean_Data!$F117,Clean_Data!$I117)</f>
        <v>Barisal Burners</v>
      </c>
      <c r="Q117" s="19" t="s">
        <v>345</v>
      </c>
      <c r="R117" s="19" t="s">
        <v>89</v>
      </c>
      <c r="S117" s="19">
        <v>0</v>
      </c>
      <c r="T117" s="19">
        <v>6</v>
      </c>
      <c r="U117" s="19" t="s">
        <v>315</v>
      </c>
      <c r="V117" s="19" t="str">
        <f>IF(Clean_Data!$T117&gt;0,"Runs","Wickets")</f>
        <v>Runs</v>
      </c>
      <c r="W117" s="19">
        <f>IF(Clean_Data!$T117&gt;0,Clean_Data!$T117,Clean_Data!$S117)</f>
        <v>6</v>
      </c>
      <c r="X117" s="19" t="str">
        <f>IF(Clean_Data!$W117&lt;=10,"Close Match","Normal")</f>
        <v>Close Match</v>
      </c>
      <c r="Y117" s="19">
        <f>Clean_Data!$G117+Clean_Data!$J117</f>
        <v>358</v>
      </c>
      <c r="Z117" s="19" t="str">
        <f>IF(Clean_Data!$Y117&gt;=170,"170+ Match","Below 170")</f>
        <v>170+ Match</v>
      </c>
      <c r="AA117" s="19" t="s">
        <v>72</v>
      </c>
      <c r="AB117" s="21" t="s">
        <v>225</v>
      </c>
    </row>
    <row r="118" spans="1:28" x14ac:dyDescent="0.3">
      <c r="A118" s="16" t="s">
        <v>73</v>
      </c>
      <c r="B118" s="5" t="str">
        <f>LEFT(Clean_Data!$A118,4)</f>
        <v>2012</v>
      </c>
      <c r="C118" s="5" t="s">
        <v>104</v>
      </c>
      <c r="D118" s="5" t="str">
        <f>IF(ISNUMBER(SEARCH("Final",Clean_Data!$C118)),"Final",
IF(ISNUMBER(SEARCH("Semi",Clean_Data!$C118)),"Semi-Final",
IF(ISNUMBER(SEARCH("Elimination",Clean_Data!$C118)),"Eliminator",
"League")))</f>
        <v>League</v>
      </c>
      <c r="E118" s="6" t="s">
        <v>348</v>
      </c>
      <c r="F118" s="5" t="s">
        <v>113</v>
      </c>
      <c r="G118" s="5">
        <v>122</v>
      </c>
      <c r="H118" s="5">
        <v>10</v>
      </c>
      <c r="I118" s="5" t="s">
        <v>62</v>
      </c>
      <c r="J118" s="5">
        <v>126</v>
      </c>
      <c r="K118" s="5">
        <v>5</v>
      </c>
      <c r="L118" s="5" t="s">
        <v>349</v>
      </c>
      <c r="M118" s="5" t="s">
        <v>62</v>
      </c>
      <c r="N118" s="5" t="s">
        <v>26</v>
      </c>
      <c r="O118" s="5" t="s">
        <v>64</v>
      </c>
      <c r="P118" s="5" t="str">
        <f>IF(Clean_Data!$G118&gt;Clean_Data!$J118,Clean_Data!$F118,Clean_Data!$I118)</f>
        <v>Sylhet Royals</v>
      </c>
      <c r="Q118" s="5" t="s">
        <v>345</v>
      </c>
      <c r="R118" s="5" t="s">
        <v>89</v>
      </c>
      <c r="S118" s="5">
        <v>5</v>
      </c>
      <c r="T118" s="5">
        <v>0</v>
      </c>
      <c r="U118" s="5" t="s">
        <v>55</v>
      </c>
      <c r="V118" s="5" t="str">
        <f>IF(Clean_Data!$T118&gt;0,"Runs","Wickets")</f>
        <v>Wickets</v>
      </c>
      <c r="W118" s="5">
        <f>IF(Clean_Data!$T118&gt;0,Clean_Data!$T118,Clean_Data!$S118)</f>
        <v>5</v>
      </c>
      <c r="X118" s="5" t="str">
        <f>IF(Clean_Data!$W118&lt;=10,"Close Match","Normal")</f>
        <v>Close Match</v>
      </c>
      <c r="Y118" s="5">
        <f>Clean_Data!$G118+Clean_Data!$J118</f>
        <v>248</v>
      </c>
      <c r="Z118" s="5" t="str">
        <f>IF(Clean_Data!$Y118&gt;=170,"170+ Match","Below 170")</f>
        <v>170+ Match</v>
      </c>
      <c r="AA118" s="5" t="s">
        <v>57</v>
      </c>
      <c r="AB118" s="17" t="s">
        <v>225</v>
      </c>
    </row>
    <row r="119" spans="1:28" x14ac:dyDescent="0.3">
      <c r="A119" s="18" t="s">
        <v>73</v>
      </c>
      <c r="B119" s="19" t="str">
        <f>LEFT(Clean_Data!$A119,4)</f>
        <v>2012</v>
      </c>
      <c r="C119" s="19" t="s">
        <v>110</v>
      </c>
      <c r="D119" s="19" t="str">
        <f>IF(ISNUMBER(SEARCH("Final",Clean_Data!$C119)),"Final",
IF(ISNUMBER(SEARCH("Semi",Clean_Data!$C119)),"Semi-Final",
IF(ISNUMBER(SEARCH("Elimination",Clean_Data!$C119)),"Eliminator",
"League")))</f>
        <v>League</v>
      </c>
      <c r="E119" s="20" t="s">
        <v>350</v>
      </c>
      <c r="F119" s="19" t="s">
        <v>113</v>
      </c>
      <c r="G119" s="19">
        <v>122</v>
      </c>
      <c r="H119" s="19">
        <v>10</v>
      </c>
      <c r="I119" s="19" t="s">
        <v>35</v>
      </c>
      <c r="J119" s="19">
        <v>89</v>
      </c>
      <c r="K119" s="19">
        <v>10</v>
      </c>
      <c r="L119" s="19" t="s">
        <v>351</v>
      </c>
      <c r="M119" s="19" t="s">
        <v>113</v>
      </c>
      <c r="N119" s="19" t="s">
        <v>37</v>
      </c>
      <c r="O119" s="19" t="s">
        <v>189</v>
      </c>
      <c r="P119" s="19" t="str">
        <f>IF(Clean_Data!$G119&gt;Clean_Data!$J119,Clean_Data!$F119,Clean_Data!$I119)</f>
        <v>Rangpur Riders</v>
      </c>
      <c r="Q119" s="19" t="s">
        <v>345</v>
      </c>
      <c r="R119" s="19" t="s">
        <v>89</v>
      </c>
      <c r="S119" s="19">
        <v>0</v>
      </c>
      <c r="T119" s="19">
        <v>33</v>
      </c>
      <c r="U119" s="19" t="s">
        <v>131</v>
      </c>
      <c r="V119" s="19" t="str">
        <f>IF(Clean_Data!$T119&gt;0,"Runs","Wickets")</f>
        <v>Runs</v>
      </c>
      <c r="W119" s="19">
        <f>IF(Clean_Data!$T119&gt;0,Clean_Data!$T119,Clean_Data!$S119)</f>
        <v>33</v>
      </c>
      <c r="X119" s="19" t="str">
        <f>IF(Clean_Data!$W119&lt;=10,"Close Match","Normal")</f>
        <v>Normal</v>
      </c>
      <c r="Y119" s="19">
        <f>Clean_Data!$G119+Clean_Data!$J119</f>
        <v>211</v>
      </c>
      <c r="Z119" s="19" t="str">
        <f>IF(Clean_Data!$Y119&gt;=170,"170+ Match","Below 170")</f>
        <v>170+ Match</v>
      </c>
      <c r="AA119" s="19" t="s">
        <v>72</v>
      </c>
      <c r="AB119" s="21" t="s">
        <v>50</v>
      </c>
    </row>
    <row r="120" spans="1:28" x14ac:dyDescent="0.3">
      <c r="A120" s="16" t="s">
        <v>73</v>
      </c>
      <c r="B120" s="5" t="str">
        <f>LEFT(Clean_Data!$A120,4)</f>
        <v>2012</v>
      </c>
      <c r="C120" s="5" t="s">
        <v>116</v>
      </c>
      <c r="D120" s="5" t="str">
        <f>IF(ISNUMBER(SEARCH("Final",Clean_Data!$C120)),"Final",
IF(ISNUMBER(SEARCH("Semi",Clean_Data!$C120)),"Semi-Final",
IF(ISNUMBER(SEARCH("Elimination",Clean_Data!$C120)),"Eliminator",
"League")))</f>
        <v>League</v>
      </c>
      <c r="E120" s="6" t="s">
        <v>350</v>
      </c>
      <c r="F120" s="5" t="s">
        <v>24</v>
      </c>
      <c r="G120" s="5">
        <v>158</v>
      </c>
      <c r="H120" s="5">
        <v>5</v>
      </c>
      <c r="I120" s="5" t="s">
        <v>62</v>
      </c>
      <c r="J120" s="5">
        <v>127</v>
      </c>
      <c r="K120" s="5">
        <v>8</v>
      </c>
      <c r="L120" s="5" t="s">
        <v>352</v>
      </c>
      <c r="M120" s="5" t="s">
        <v>62</v>
      </c>
      <c r="N120" s="5" t="s">
        <v>26</v>
      </c>
      <c r="O120" s="5" t="s">
        <v>27</v>
      </c>
      <c r="P120" s="5" t="str">
        <f>IF(Clean_Data!$G120&gt;Clean_Data!$J120,Clean_Data!$F120,Clean_Data!$I120)</f>
        <v>Dhaka Gladiators</v>
      </c>
      <c r="Q120" s="5" t="s">
        <v>345</v>
      </c>
      <c r="R120" s="5" t="s">
        <v>89</v>
      </c>
      <c r="S120" s="5">
        <v>0</v>
      </c>
      <c r="T120" s="5">
        <v>31</v>
      </c>
      <c r="U120" s="5" t="s">
        <v>353</v>
      </c>
      <c r="V120" s="5" t="str">
        <f>IF(Clean_Data!$T120&gt;0,"Runs","Wickets")</f>
        <v>Runs</v>
      </c>
      <c r="W120" s="5">
        <f>IF(Clean_Data!$T120&gt;0,Clean_Data!$T120,Clean_Data!$S120)</f>
        <v>31</v>
      </c>
      <c r="X120" s="5" t="str">
        <f>IF(Clean_Data!$W120&lt;=10,"Close Match","Normal")</f>
        <v>Normal</v>
      </c>
      <c r="Y120" s="5">
        <f>Clean_Data!$G120+Clean_Data!$J120</f>
        <v>285</v>
      </c>
      <c r="Z120" s="5" t="str">
        <f>IF(Clean_Data!$Y120&gt;=170,"170+ Match","Below 170")</f>
        <v>170+ Match</v>
      </c>
      <c r="AA120" s="5" t="s">
        <v>57</v>
      </c>
      <c r="AB120" s="17" t="s">
        <v>66</v>
      </c>
    </row>
    <row r="121" spans="1:28" x14ac:dyDescent="0.3">
      <c r="A121" s="18" t="s">
        <v>73</v>
      </c>
      <c r="B121" s="19" t="str">
        <f>LEFT(Clean_Data!$A121,4)</f>
        <v>2012</v>
      </c>
      <c r="C121" s="19" t="s">
        <v>123</v>
      </c>
      <c r="D121" s="19" t="str">
        <f>IF(ISNUMBER(SEARCH("Final",Clean_Data!$C121)),"Final",
IF(ISNUMBER(SEARCH("Semi",Clean_Data!$C121)),"Semi-Final",
IF(ISNUMBER(SEARCH("Elimination",Clean_Data!$C121)),"Eliminator",
"League")))</f>
        <v>League</v>
      </c>
      <c r="E121" s="20" t="s">
        <v>354</v>
      </c>
      <c r="F121" s="19" t="s">
        <v>41</v>
      </c>
      <c r="G121" s="19">
        <v>213</v>
      </c>
      <c r="H121" s="19">
        <v>6</v>
      </c>
      <c r="I121" s="19" t="s">
        <v>23</v>
      </c>
      <c r="J121" s="19">
        <v>209</v>
      </c>
      <c r="K121" s="19">
        <v>7</v>
      </c>
      <c r="L121" s="19" t="s">
        <v>355</v>
      </c>
      <c r="M121" s="19" t="s">
        <v>41</v>
      </c>
      <c r="N121" s="19" t="s">
        <v>37</v>
      </c>
      <c r="O121" s="19" t="s">
        <v>48</v>
      </c>
      <c r="P121" s="19" t="str">
        <f>IF(Clean_Data!$G121&gt;Clean_Data!$J121,Clean_Data!$F121,Clean_Data!$I121)</f>
        <v>Duronto Rajshahi</v>
      </c>
      <c r="Q121" s="19" t="s">
        <v>345</v>
      </c>
      <c r="R121" s="19" t="s">
        <v>89</v>
      </c>
      <c r="S121" s="19">
        <v>0</v>
      </c>
      <c r="T121" s="19">
        <v>4</v>
      </c>
      <c r="U121" s="19" t="s">
        <v>103</v>
      </c>
      <c r="V121" s="19" t="str">
        <f>IF(Clean_Data!$T121&gt;0,"Runs","Wickets")</f>
        <v>Runs</v>
      </c>
      <c r="W121" s="19">
        <f>IF(Clean_Data!$T121&gt;0,Clean_Data!$T121,Clean_Data!$S121)</f>
        <v>4</v>
      </c>
      <c r="X121" s="19" t="str">
        <f>IF(Clean_Data!$W121&lt;=10,"Close Match","Normal")</f>
        <v>Close Match</v>
      </c>
      <c r="Y121" s="19">
        <f>Clean_Data!$G121+Clean_Data!$J121</f>
        <v>422</v>
      </c>
      <c r="Z121" s="19" t="str">
        <f>IF(Clean_Data!$Y121&gt;=170,"170+ Match","Below 170")</f>
        <v>170+ Match</v>
      </c>
      <c r="AA121" s="19" t="s">
        <v>72</v>
      </c>
      <c r="AB121" s="21" t="s">
        <v>56</v>
      </c>
    </row>
    <row r="122" spans="1:28" x14ac:dyDescent="0.3">
      <c r="A122" s="16" t="s">
        <v>73</v>
      </c>
      <c r="B122" s="5" t="str">
        <f>LEFT(Clean_Data!$A122,4)</f>
        <v>2012</v>
      </c>
      <c r="C122" s="5" t="s">
        <v>126</v>
      </c>
      <c r="D122" s="5" t="str">
        <f>IF(ISNUMBER(SEARCH("Final",Clean_Data!$C122)),"Final",
IF(ISNUMBER(SEARCH("Semi",Clean_Data!$C122)),"Semi-Final",
IF(ISNUMBER(SEARCH("Elimination",Clean_Data!$C122)),"Eliminator",
"League")))</f>
        <v>League</v>
      </c>
      <c r="E122" s="6" t="s">
        <v>354</v>
      </c>
      <c r="F122" s="5" t="s">
        <v>53</v>
      </c>
      <c r="G122" s="5">
        <v>172</v>
      </c>
      <c r="H122" s="5">
        <v>6</v>
      </c>
      <c r="I122" s="5" t="s">
        <v>62</v>
      </c>
      <c r="J122" s="5">
        <v>176</v>
      </c>
      <c r="K122" s="5">
        <v>7</v>
      </c>
      <c r="L122" s="5" t="s">
        <v>356</v>
      </c>
      <c r="M122" s="5" t="s">
        <v>62</v>
      </c>
      <c r="N122" s="5" t="s">
        <v>26</v>
      </c>
      <c r="O122" s="5" t="s">
        <v>64</v>
      </c>
      <c r="P122" s="5" t="str">
        <f>IF(Clean_Data!$G122&gt;Clean_Data!$J122,Clean_Data!$F122,Clean_Data!$I122)</f>
        <v>Sylhet Royals</v>
      </c>
      <c r="Q122" s="5" t="s">
        <v>345</v>
      </c>
      <c r="R122" s="5" t="s">
        <v>89</v>
      </c>
      <c r="S122" s="5">
        <v>3</v>
      </c>
      <c r="T122" s="5">
        <v>0</v>
      </c>
      <c r="U122" s="5" t="s">
        <v>49</v>
      </c>
      <c r="V122" s="5" t="str">
        <f>IF(Clean_Data!$T122&gt;0,"Runs","Wickets")</f>
        <v>Wickets</v>
      </c>
      <c r="W122" s="5">
        <f>IF(Clean_Data!$T122&gt;0,Clean_Data!$T122,Clean_Data!$S122)</f>
        <v>3</v>
      </c>
      <c r="X122" s="5" t="str">
        <f>IF(Clean_Data!$W122&lt;=10,"Close Match","Normal")</f>
        <v>Close Match</v>
      </c>
      <c r="Y122" s="5">
        <f>Clean_Data!$G122+Clean_Data!$J122</f>
        <v>348</v>
      </c>
      <c r="Z122" s="5" t="str">
        <f>IF(Clean_Data!$Y122&gt;=170,"170+ Match","Below 170")</f>
        <v>170+ Match</v>
      </c>
      <c r="AA122" s="5" t="s">
        <v>57</v>
      </c>
      <c r="AB122" s="17" t="s">
        <v>225</v>
      </c>
    </row>
    <row r="123" spans="1:28" x14ac:dyDescent="0.3">
      <c r="A123" s="18" t="s">
        <v>73</v>
      </c>
      <c r="B123" s="19" t="str">
        <f>LEFT(Clean_Data!$A123,4)</f>
        <v>2012</v>
      </c>
      <c r="C123" s="19" t="s">
        <v>132</v>
      </c>
      <c r="D123" s="19" t="str">
        <f>IF(ISNUMBER(SEARCH("Final",Clean_Data!$C123)),"Final",
IF(ISNUMBER(SEARCH("Semi",Clean_Data!$C123)),"Semi-Final",
IF(ISNUMBER(SEARCH("Elimination",Clean_Data!$C123)),"Eliminator",
"League")))</f>
        <v>League</v>
      </c>
      <c r="E123" s="20" t="s">
        <v>357</v>
      </c>
      <c r="F123" s="19" t="s">
        <v>35</v>
      </c>
      <c r="G123" s="19">
        <v>150</v>
      </c>
      <c r="H123" s="19">
        <v>7</v>
      </c>
      <c r="I123" s="19" t="s">
        <v>113</v>
      </c>
      <c r="J123" s="19">
        <v>141</v>
      </c>
      <c r="K123" s="19">
        <v>7</v>
      </c>
      <c r="L123" s="19" t="s">
        <v>358</v>
      </c>
      <c r="M123" s="19" t="s">
        <v>35</v>
      </c>
      <c r="N123" s="19" t="s">
        <v>37</v>
      </c>
      <c r="O123" s="19" t="s">
        <v>98</v>
      </c>
      <c r="P123" s="19" t="str">
        <f>IF(Clean_Data!$G123&gt;Clean_Data!$J123,Clean_Data!$F123,Clean_Data!$I123)</f>
        <v>Khulna Royal Bengals</v>
      </c>
      <c r="Q123" s="19" t="s">
        <v>359</v>
      </c>
      <c r="R123" s="19" t="s">
        <v>98</v>
      </c>
      <c r="S123" s="19">
        <v>0</v>
      </c>
      <c r="T123" s="19">
        <v>9</v>
      </c>
      <c r="U123" s="19" t="s">
        <v>38</v>
      </c>
      <c r="V123" s="19" t="str">
        <f>IF(Clean_Data!$T123&gt;0,"Runs","Wickets")</f>
        <v>Runs</v>
      </c>
      <c r="W123" s="19">
        <f>IF(Clean_Data!$T123&gt;0,Clean_Data!$T123,Clean_Data!$S123)</f>
        <v>9</v>
      </c>
      <c r="X123" s="19" t="str">
        <f>IF(Clean_Data!$W123&lt;=10,"Close Match","Normal")</f>
        <v>Close Match</v>
      </c>
      <c r="Y123" s="19">
        <f>Clean_Data!$G123+Clean_Data!$J123</f>
        <v>291</v>
      </c>
      <c r="Z123" s="19" t="str">
        <f>IF(Clean_Data!$Y123&gt;=170,"170+ Match","Below 170")</f>
        <v>170+ Match</v>
      </c>
      <c r="AA123" s="19" t="s">
        <v>50</v>
      </c>
      <c r="AB123" s="21" t="s">
        <v>66</v>
      </c>
    </row>
    <row r="124" spans="1:28" x14ac:dyDescent="0.3">
      <c r="A124" s="16" t="s">
        <v>73</v>
      </c>
      <c r="B124" s="5" t="str">
        <f>LEFT(Clean_Data!$A124,4)</f>
        <v>2012</v>
      </c>
      <c r="C124" s="5" t="s">
        <v>138</v>
      </c>
      <c r="D124" s="5" t="str">
        <f>IF(ISNUMBER(SEARCH("Final",Clean_Data!$C124)),"Final",
IF(ISNUMBER(SEARCH("Semi",Clean_Data!$C124)),"Semi-Final",
IF(ISNUMBER(SEARCH("Elimination",Clean_Data!$C124)),"Eliminator",
"League")))</f>
        <v>League</v>
      </c>
      <c r="E124" s="6" t="s">
        <v>357</v>
      </c>
      <c r="F124" s="5" t="s">
        <v>24</v>
      </c>
      <c r="G124" s="5">
        <v>152</v>
      </c>
      <c r="H124" s="5">
        <v>8</v>
      </c>
      <c r="I124" s="5" t="s">
        <v>62</v>
      </c>
      <c r="J124" s="5">
        <v>157</v>
      </c>
      <c r="K124" s="5">
        <v>3</v>
      </c>
      <c r="L124" s="5" t="s">
        <v>150</v>
      </c>
      <c r="M124" s="5" t="s">
        <v>24</v>
      </c>
      <c r="N124" s="5" t="s">
        <v>37</v>
      </c>
      <c r="O124" s="5" t="s">
        <v>64</v>
      </c>
      <c r="P124" s="5" t="str">
        <f>IF(Clean_Data!$G124&gt;Clean_Data!$J124,Clean_Data!$F124,Clean_Data!$I124)</f>
        <v>Sylhet Royals</v>
      </c>
      <c r="Q124" s="5" t="s">
        <v>359</v>
      </c>
      <c r="R124" s="5" t="s">
        <v>98</v>
      </c>
      <c r="S124" s="5">
        <v>7</v>
      </c>
      <c r="T124" s="5">
        <v>0</v>
      </c>
      <c r="U124" s="5" t="s">
        <v>118</v>
      </c>
      <c r="V124" s="5" t="str">
        <f>IF(Clean_Data!$T124&gt;0,"Runs","Wickets")</f>
        <v>Wickets</v>
      </c>
      <c r="W124" s="5">
        <f>IF(Clean_Data!$T124&gt;0,Clean_Data!$T124,Clean_Data!$S124)</f>
        <v>7</v>
      </c>
      <c r="X124" s="5" t="str">
        <f>IF(Clean_Data!$W124&lt;=10,"Close Match","Normal")</f>
        <v>Close Match</v>
      </c>
      <c r="Y124" s="5">
        <f>Clean_Data!$G124+Clean_Data!$J124</f>
        <v>309</v>
      </c>
      <c r="Z124" s="5" t="str">
        <f>IF(Clean_Data!$Y124&gt;=170,"170+ Match","Below 170")</f>
        <v>170+ Match</v>
      </c>
      <c r="AA124" s="5" t="s">
        <v>50</v>
      </c>
      <c r="AB124" s="17" t="s">
        <v>77</v>
      </c>
    </row>
    <row r="125" spans="1:28" x14ac:dyDescent="0.3">
      <c r="A125" s="18" t="s">
        <v>73</v>
      </c>
      <c r="B125" s="19" t="str">
        <f>LEFT(Clean_Data!$A125,4)</f>
        <v>2012</v>
      </c>
      <c r="C125" s="19" t="s">
        <v>148</v>
      </c>
      <c r="D125" s="19" t="str">
        <f>IF(ISNUMBER(SEARCH("Final",Clean_Data!$C125)),"Final",
IF(ISNUMBER(SEARCH("Semi",Clean_Data!$C125)),"Semi-Final",
IF(ISNUMBER(SEARCH("Elimination",Clean_Data!$C125)),"Eliminator",
"League")))</f>
        <v>League</v>
      </c>
      <c r="E125" s="20" t="s">
        <v>360</v>
      </c>
      <c r="F125" s="19" t="s">
        <v>35</v>
      </c>
      <c r="G125" s="19">
        <v>197</v>
      </c>
      <c r="H125" s="19">
        <v>0</v>
      </c>
      <c r="I125" s="19" t="s">
        <v>41</v>
      </c>
      <c r="J125" s="19">
        <v>129</v>
      </c>
      <c r="K125" s="19">
        <v>10</v>
      </c>
      <c r="L125" s="19" t="s">
        <v>335</v>
      </c>
      <c r="M125" s="19" t="s">
        <v>41</v>
      </c>
      <c r="N125" s="19" t="s">
        <v>26</v>
      </c>
      <c r="O125" s="19" t="s">
        <v>98</v>
      </c>
      <c r="P125" s="19" t="str">
        <f>IF(Clean_Data!$G125&gt;Clean_Data!$J125,Clean_Data!$F125,Clean_Data!$I125)</f>
        <v>Khulna Royal Bengals</v>
      </c>
      <c r="Q125" s="19" t="s">
        <v>359</v>
      </c>
      <c r="R125" s="19" t="s">
        <v>98</v>
      </c>
      <c r="S125" s="19">
        <v>0</v>
      </c>
      <c r="T125" s="19">
        <v>68</v>
      </c>
      <c r="U125" s="19" t="s">
        <v>361</v>
      </c>
      <c r="V125" s="19" t="str">
        <f>IF(Clean_Data!$T125&gt;0,"Runs","Wickets")</f>
        <v>Runs</v>
      </c>
      <c r="W125" s="19">
        <f>IF(Clean_Data!$T125&gt;0,Clean_Data!$T125,Clean_Data!$S125)</f>
        <v>68</v>
      </c>
      <c r="X125" s="19" t="str">
        <f>IF(Clean_Data!$W125&lt;=10,"Close Match","Normal")</f>
        <v>Normal</v>
      </c>
      <c r="Y125" s="19">
        <f>Clean_Data!$G125+Clean_Data!$J125</f>
        <v>326</v>
      </c>
      <c r="Z125" s="19" t="str">
        <f>IF(Clean_Data!$Y125&gt;=170,"170+ Match","Below 170")</f>
        <v>170+ Match</v>
      </c>
      <c r="AA125" s="19" t="s">
        <v>72</v>
      </c>
      <c r="AB125" s="21" t="s">
        <v>225</v>
      </c>
    </row>
    <row r="126" spans="1:28" x14ac:dyDescent="0.3">
      <c r="A126" s="16" t="s">
        <v>73</v>
      </c>
      <c r="B126" s="5" t="str">
        <f>LEFT(Clean_Data!$A126,4)</f>
        <v>2012</v>
      </c>
      <c r="C126" s="5" t="s">
        <v>156</v>
      </c>
      <c r="D126" s="5" t="str">
        <f>IF(ISNUMBER(SEARCH("Final",Clean_Data!$C126)),"Final",
IF(ISNUMBER(SEARCH("Semi",Clean_Data!$C126)),"Semi-Final",
IF(ISNUMBER(SEARCH("Elimination",Clean_Data!$C126)),"Eliminator",
"League")))</f>
        <v>League</v>
      </c>
      <c r="E126" s="6" t="s">
        <v>360</v>
      </c>
      <c r="F126" s="5" t="s">
        <v>53</v>
      </c>
      <c r="G126" s="5">
        <v>129</v>
      </c>
      <c r="H126" s="5">
        <v>7</v>
      </c>
      <c r="I126" s="5" t="s">
        <v>23</v>
      </c>
      <c r="J126" s="5">
        <v>108</v>
      </c>
      <c r="K126" s="5">
        <v>9</v>
      </c>
      <c r="L126" s="5" t="s">
        <v>183</v>
      </c>
      <c r="M126" s="5" t="s">
        <v>23</v>
      </c>
      <c r="N126" s="5" t="s">
        <v>26</v>
      </c>
      <c r="O126" s="5" t="s">
        <v>80</v>
      </c>
      <c r="P126" s="5" t="str">
        <f>IF(Clean_Data!$G126&gt;Clean_Data!$J126,Clean_Data!$F126,Clean_Data!$I126)</f>
        <v>Chittagong Kings</v>
      </c>
      <c r="Q126" s="5" t="s">
        <v>359</v>
      </c>
      <c r="R126" s="5" t="s">
        <v>98</v>
      </c>
      <c r="S126" s="5">
        <v>0</v>
      </c>
      <c r="T126" s="5">
        <v>21</v>
      </c>
      <c r="U126" s="5" t="s">
        <v>165</v>
      </c>
      <c r="V126" s="5" t="str">
        <f>IF(Clean_Data!$T126&gt;0,"Runs","Wickets")</f>
        <v>Runs</v>
      </c>
      <c r="W126" s="5">
        <f>IF(Clean_Data!$T126&gt;0,Clean_Data!$T126,Clean_Data!$S126)</f>
        <v>21</v>
      </c>
      <c r="X126" s="5" t="str">
        <f>IF(Clean_Data!$W126&lt;=10,"Close Match","Normal")</f>
        <v>Normal</v>
      </c>
      <c r="Y126" s="5">
        <f>Clean_Data!$G126+Clean_Data!$J126</f>
        <v>237</v>
      </c>
      <c r="Z126" s="5" t="str">
        <f>IF(Clean_Data!$Y126&gt;=170,"170+ Match","Below 170")</f>
        <v>170+ Match</v>
      </c>
      <c r="AA126" s="5" t="s">
        <v>56</v>
      </c>
      <c r="AB126" s="17" t="s">
        <v>77</v>
      </c>
    </row>
    <row r="127" spans="1:28" x14ac:dyDescent="0.3">
      <c r="A127" s="18" t="s">
        <v>73</v>
      </c>
      <c r="B127" s="19" t="str">
        <f>LEFT(Clean_Data!$A127,4)</f>
        <v>2012</v>
      </c>
      <c r="C127" s="19" t="s">
        <v>163</v>
      </c>
      <c r="D127" s="19" t="str">
        <f>IF(ISNUMBER(SEARCH("Final",Clean_Data!$C127)),"Final",
IF(ISNUMBER(SEARCH("Semi",Clean_Data!$C127)),"Semi-Final",
IF(ISNUMBER(SEARCH("Elimination",Clean_Data!$C127)),"Eliminator",
"League")))</f>
        <v>League</v>
      </c>
      <c r="E127" s="20" t="s">
        <v>362</v>
      </c>
      <c r="F127" s="19" t="s">
        <v>35</v>
      </c>
      <c r="G127" s="19">
        <v>145</v>
      </c>
      <c r="H127" s="19">
        <v>7</v>
      </c>
      <c r="I127" s="19" t="s">
        <v>62</v>
      </c>
      <c r="J127" s="19">
        <v>146</v>
      </c>
      <c r="K127" s="19">
        <v>4</v>
      </c>
      <c r="L127" s="19" t="s">
        <v>363</v>
      </c>
      <c r="M127" s="19" t="s">
        <v>35</v>
      </c>
      <c r="N127" s="19" t="s">
        <v>37</v>
      </c>
      <c r="O127" s="19" t="s">
        <v>64</v>
      </c>
      <c r="P127" s="19" t="str">
        <f>IF(Clean_Data!$G127&gt;Clean_Data!$J127,Clean_Data!$F127,Clean_Data!$I127)</f>
        <v>Sylhet Royals</v>
      </c>
      <c r="Q127" s="19" t="s">
        <v>359</v>
      </c>
      <c r="R127" s="19" t="s">
        <v>98</v>
      </c>
      <c r="S127" s="19">
        <v>6</v>
      </c>
      <c r="T127" s="19">
        <v>0</v>
      </c>
      <c r="U127" s="19" t="s">
        <v>151</v>
      </c>
      <c r="V127" s="19" t="str">
        <f>IF(Clean_Data!$T127&gt;0,"Runs","Wickets")</f>
        <v>Wickets</v>
      </c>
      <c r="W127" s="19">
        <f>IF(Clean_Data!$T127&gt;0,Clean_Data!$T127,Clean_Data!$S127)</f>
        <v>6</v>
      </c>
      <c r="X127" s="19" t="str">
        <f>IF(Clean_Data!$W127&lt;=10,"Close Match","Normal")</f>
        <v>Close Match</v>
      </c>
      <c r="Y127" s="19">
        <f>Clean_Data!$G127+Clean_Data!$J127</f>
        <v>291</v>
      </c>
      <c r="Z127" s="19" t="str">
        <f>IF(Clean_Data!$Y127&gt;=170,"170+ Match","Below 170")</f>
        <v>170+ Match</v>
      </c>
      <c r="AA127" s="19" t="s">
        <v>72</v>
      </c>
      <c r="AB127" s="21" t="s">
        <v>50</v>
      </c>
    </row>
    <row r="128" spans="1:28" x14ac:dyDescent="0.3">
      <c r="A128" s="16" t="s">
        <v>73</v>
      </c>
      <c r="B128" s="5" t="str">
        <f>LEFT(Clean_Data!$A128,4)</f>
        <v>2012</v>
      </c>
      <c r="C128" s="5" t="s">
        <v>168</v>
      </c>
      <c r="D128" s="5" t="str">
        <f>IF(ISNUMBER(SEARCH("Final",Clean_Data!$C128)),"Final",
IF(ISNUMBER(SEARCH("Semi",Clean_Data!$C128)),"Semi-Final",
IF(ISNUMBER(SEARCH("Elimination",Clean_Data!$C128)),"Eliminator",
"League")))</f>
        <v>League</v>
      </c>
      <c r="E128" s="6" t="s">
        <v>362</v>
      </c>
      <c r="F128" s="5" t="s">
        <v>113</v>
      </c>
      <c r="G128" s="5">
        <v>174</v>
      </c>
      <c r="H128" s="5">
        <v>4</v>
      </c>
      <c r="I128" s="5" t="s">
        <v>23</v>
      </c>
      <c r="J128" s="5">
        <v>167</v>
      </c>
      <c r="K128" s="5">
        <v>8</v>
      </c>
      <c r="L128" s="5" t="s">
        <v>338</v>
      </c>
      <c r="M128" s="5" t="s">
        <v>113</v>
      </c>
      <c r="N128" s="5" t="s">
        <v>37</v>
      </c>
      <c r="O128" s="5" t="s">
        <v>189</v>
      </c>
      <c r="P128" s="5" t="str">
        <f>IF(Clean_Data!$G128&gt;Clean_Data!$J128,Clean_Data!$F128,Clean_Data!$I128)</f>
        <v>Rangpur Riders</v>
      </c>
      <c r="Q128" s="5" t="s">
        <v>359</v>
      </c>
      <c r="R128" s="5" t="s">
        <v>98</v>
      </c>
      <c r="S128" s="5">
        <v>0</v>
      </c>
      <c r="T128" s="5">
        <v>7</v>
      </c>
      <c r="U128" s="5" t="s">
        <v>364</v>
      </c>
      <c r="V128" s="5" t="str">
        <f>IF(Clean_Data!$T128&gt;0,"Runs","Wickets")</f>
        <v>Runs</v>
      </c>
      <c r="W128" s="5">
        <f>IF(Clean_Data!$T128&gt;0,Clean_Data!$T128,Clean_Data!$S128)</f>
        <v>7</v>
      </c>
      <c r="X128" s="5" t="str">
        <f>IF(Clean_Data!$W128&lt;=10,"Close Match","Normal")</f>
        <v>Close Match</v>
      </c>
      <c r="Y128" s="5">
        <f>Clean_Data!$G128+Clean_Data!$J128</f>
        <v>341</v>
      </c>
      <c r="Z128" s="5" t="str">
        <f>IF(Clean_Data!$Y128&gt;=170,"170+ Match","Below 170")</f>
        <v>170+ Match</v>
      </c>
      <c r="AA128" s="5" t="s">
        <v>50</v>
      </c>
      <c r="AB128" s="17" t="s">
        <v>77</v>
      </c>
    </row>
    <row r="129" spans="1:28" x14ac:dyDescent="0.3">
      <c r="A129" s="18" t="s">
        <v>73</v>
      </c>
      <c r="B129" s="19" t="str">
        <f>LEFT(Clean_Data!$A129,4)</f>
        <v>2012</v>
      </c>
      <c r="C129" s="19" t="s">
        <v>170</v>
      </c>
      <c r="D129" s="19" t="str">
        <f>IF(ISNUMBER(SEARCH("Final",Clean_Data!$C129)),"Final",
IF(ISNUMBER(SEARCH("Semi",Clean_Data!$C129)),"Semi-Final",
IF(ISNUMBER(SEARCH("Elimination",Clean_Data!$C129)),"Eliminator",
"League")))</f>
        <v>League</v>
      </c>
      <c r="E129" s="20" t="s">
        <v>365</v>
      </c>
      <c r="F129" s="19" t="s">
        <v>24</v>
      </c>
      <c r="G129" s="19">
        <v>156</v>
      </c>
      <c r="H129" s="19">
        <v>8</v>
      </c>
      <c r="I129" s="19" t="s">
        <v>41</v>
      </c>
      <c r="J129" s="19">
        <v>143</v>
      </c>
      <c r="K129" s="19">
        <v>3</v>
      </c>
      <c r="L129" s="19" t="s">
        <v>108</v>
      </c>
      <c r="M129" s="19" t="s">
        <v>24</v>
      </c>
      <c r="N129" s="19" t="s">
        <v>37</v>
      </c>
      <c r="O129" s="19" t="s">
        <v>27</v>
      </c>
      <c r="P129" s="19" t="str">
        <f>IF(Clean_Data!$G129&gt;Clean_Data!$J129,Clean_Data!$F129,Clean_Data!$I129)</f>
        <v>Dhaka Gladiators</v>
      </c>
      <c r="Q129" s="19" t="s">
        <v>359</v>
      </c>
      <c r="R129" s="19" t="s">
        <v>98</v>
      </c>
      <c r="S129" s="19">
        <v>0</v>
      </c>
      <c r="T129" s="19">
        <v>13</v>
      </c>
      <c r="U129" s="19" t="s">
        <v>81</v>
      </c>
      <c r="V129" s="19" t="str">
        <f>IF(Clean_Data!$T129&gt;0,"Runs","Wickets")</f>
        <v>Runs</v>
      </c>
      <c r="W129" s="19">
        <f>IF(Clean_Data!$T129&gt;0,Clean_Data!$T129,Clean_Data!$S129)</f>
        <v>13</v>
      </c>
      <c r="X129" s="19" t="str">
        <f>IF(Clean_Data!$W129&lt;=10,"Close Match","Normal")</f>
        <v>Normal</v>
      </c>
      <c r="Y129" s="19">
        <f>Clean_Data!$G129+Clean_Data!$J129</f>
        <v>299</v>
      </c>
      <c r="Z129" s="19" t="str">
        <f>IF(Clean_Data!$Y129&gt;=170,"170+ Match","Below 170")</f>
        <v>170+ Match</v>
      </c>
      <c r="AA129" s="19" t="s">
        <v>56</v>
      </c>
      <c r="AB129" s="21" t="s">
        <v>66</v>
      </c>
    </row>
    <row r="130" spans="1:28" x14ac:dyDescent="0.3">
      <c r="A130" s="16" t="s">
        <v>73</v>
      </c>
      <c r="B130" s="5" t="str">
        <f>LEFT(Clean_Data!$A130,4)</f>
        <v>2012</v>
      </c>
      <c r="C130" s="5" t="s">
        <v>176</v>
      </c>
      <c r="D130" s="5" t="str">
        <f>IF(ISNUMBER(SEARCH("Final",Clean_Data!$C130)),"Final",
IF(ISNUMBER(SEARCH("Semi",Clean_Data!$C130)),"Semi-Final",
IF(ISNUMBER(SEARCH("Elimination",Clean_Data!$C130)),"Eliminator",
"League")))</f>
        <v>League</v>
      </c>
      <c r="E130" s="6" t="s">
        <v>365</v>
      </c>
      <c r="F130" s="5" t="s">
        <v>53</v>
      </c>
      <c r="G130" s="5">
        <v>132</v>
      </c>
      <c r="H130" s="5">
        <v>5</v>
      </c>
      <c r="I130" s="5" t="s">
        <v>113</v>
      </c>
      <c r="J130" s="5">
        <v>135</v>
      </c>
      <c r="K130" s="5">
        <v>4</v>
      </c>
      <c r="L130" s="5" t="s">
        <v>97</v>
      </c>
      <c r="M130" s="5" t="s">
        <v>53</v>
      </c>
      <c r="N130" s="5" t="s">
        <v>37</v>
      </c>
      <c r="O130" s="5" t="s">
        <v>189</v>
      </c>
      <c r="P130" s="5" t="str">
        <f>IF(Clean_Data!$G130&gt;Clean_Data!$J130,Clean_Data!$F130,Clean_Data!$I130)</f>
        <v>Rangpur Riders</v>
      </c>
      <c r="Q130" s="5" t="s">
        <v>359</v>
      </c>
      <c r="R130" s="5" t="s">
        <v>98</v>
      </c>
      <c r="S130" s="5">
        <v>6</v>
      </c>
      <c r="T130" s="5">
        <v>0</v>
      </c>
      <c r="U130" s="5" t="s">
        <v>151</v>
      </c>
      <c r="V130" s="5" t="str">
        <f>IF(Clean_Data!$T130&gt;0,"Runs","Wickets")</f>
        <v>Wickets</v>
      </c>
      <c r="W130" s="5">
        <f>IF(Clean_Data!$T130&gt;0,Clean_Data!$T130,Clean_Data!$S130)</f>
        <v>6</v>
      </c>
      <c r="X130" s="5" t="str">
        <f>IF(Clean_Data!$W130&lt;=10,"Close Match","Normal")</f>
        <v>Close Match</v>
      </c>
      <c r="Y130" s="5">
        <f>Clean_Data!$G130+Clean_Data!$J130</f>
        <v>267</v>
      </c>
      <c r="Z130" s="5" t="str">
        <f>IF(Clean_Data!$Y130&gt;=170,"170+ Match","Below 170")</f>
        <v>170+ Match</v>
      </c>
      <c r="AA130" s="5" t="s">
        <v>72</v>
      </c>
      <c r="AB130" s="17" t="s">
        <v>77</v>
      </c>
    </row>
    <row r="131" spans="1:28" x14ac:dyDescent="0.3">
      <c r="A131" s="18" t="s">
        <v>73</v>
      </c>
      <c r="B131" s="19" t="str">
        <f>LEFT(Clean_Data!$A131,4)</f>
        <v>2012</v>
      </c>
      <c r="C131" s="19" t="s">
        <v>180</v>
      </c>
      <c r="D131" s="19" t="str">
        <f>IF(ISNUMBER(SEARCH("Final",Clean_Data!$C131)),"Final",
IF(ISNUMBER(SEARCH("Semi",Clean_Data!$C131)),"Semi-Final",
IF(ISNUMBER(SEARCH("Elimination",Clean_Data!$C131)),"Eliminator",
"League")))</f>
        <v>League</v>
      </c>
      <c r="E131" s="20" t="s">
        <v>366</v>
      </c>
      <c r="F131" s="19" t="s">
        <v>41</v>
      </c>
      <c r="G131" s="19">
        <v>147</v>
      </c>
      <c r="H131" s="19">
        <v>8</v>
      </c>
      <c r="I131" s="19" t="s">
        <v>62</v>
      </c>
      <c r="J131" s="19">
        <v>150</v>
      </c>
      <c r="K131" s="19">
        <v>6</v>
      </c>
      <c r="L131" s="19" t="s">
        <v>367</v>
      </c>
      <c r="M131" s="19" t="s">
        <v>41</v>
      </c>
      <c r="N131" s="19" t="s">
        <v>37</v>
      </c>
      <c r="O131" s="19" t="s">
        <v>64</v>
      </c>
      <c r="P131" s="19" t="str">
        <f>IF(Clean_Data!$G131&gt;Clean_Data!$J131,Clean_Data!$F131,Clean_Data!$I131)</f>
        <v>Sylhet Royals</v>
      </c>
      <c r="Q131" s="19" t="s">
        <v>28</v>
      </c>
      <c r="R131" s="19" t="s">
        <v>29</v>
      </c>
      <c r="S131" s="19">
        <v>4</v>
      </c>
      <c r="T131" s="19">
        <v>0</v>
      </c>
      <c r="U131" s="19" t="s">
        <v>90</v>
      </c>
      <c r="V131" s="19" t="str">
        <f>IF(Clean_Data!$T131&gt;0,"Runs","Wickets")</f>
        <v>Wickets</v>
      </c>
      <c r="W131" s="19">
        <f>IF(Clean_Data!$T131&gt;0,Clean_Data!$T131,Clean_Data!$S131)</f>
        <v>4</v>
      </c>
      <c r="X131" s="19" t="str">
        <f>IF(Clean_Data!$W131&lt;=10,"Close Match","Normal")</f>
        <v>Close Match</v>
      </c>
      <c r="Y131" s="19">
        <f>Clean_Data!$G131+Clean_Data!$J131</f>
        <v>297</v>
      </c>
      <c r="Z131" s="19" t="str">
        <f>IF(Clean_Data!$Y131&gt;=170,"170+ Match","Below 170")</f>
        <v>170+ Match</v>
      </c>
      <c r="AA131" s="19" t="s">
        <v>57</v>
      </c>
      <c r="AB131" s="21" t="s">
        <v>225</v>
      </c>
    </row>
    <row r="132" spans="1:28" x14ac:dyDescent="0.3">
      <c r="A132" s="16" t="s">
        <v>73</v>
      </c>
      <c r="B132" s="5" t="str">
        <f>LEFT(Clean_Data!$A132,4)</f>
        <v>2012</v>
      </c>
      <c r="C132" s="5" t="s">
        <v>186</v>
      </c>
      <c r="D132" s="5" t="str">
        <f>IF(ISNUMBER(SEARCH("Final",Clean_Data!$C132)),"Final",
IF(ISNUMBER(SEARCH("Semi",Clean_Data!$C132)),"Semi-Final",
IF(ISNUMBER(SEARCH("Elimination",Clean_Data!$C132)),"Eliminator",
"League")))</f>
        <v>League</v>
      </c>
      <c r="E132" s="6" t="s">
        <v>366</v>
      </c>
      <c r="F132" s="5" t="s">
        <v>35</v>
      </c>
      <c r="G132" s="5">
        <v>142</v>
      </c>
      <c r="H132" s="5">
        <v>8</v>
      </c>
      <c r="I132" s="5" t="s">
        <v>23</v>
      </c>
      <c r="J132" s="5">
        <v>146</v>
      </c>
      <c r="K132" s="5">
        <v>2</v>
      </c>
      <c r="L132" s="5" t="s">
        <v>54</v>
      </c>
      <c r="M132" s="5" t="s">
        <v>35</v>
      </c>
      <c r="N132" s="5" t="s">
        <v>37</v>
      </c>
      <c r="O132" s="5" t="s">
        <v>43</v>
      </c>
      <c r="P132" s="5" t="str">
        <f>IF(Clean_Data!$G132&gt;Clean_Data!$J132,Clean_Data!$F132,Clean_Data!$I132)</f>
        <v>Barisal Burners</v>
      </c>
      <c r="Q132" s="5" t="s">
        <v>28</v>
      </c>
      <c r="R132" s="5" t="s">
        <v>29</v>
      </c>
      <c r="S132" s="5">
        <v>8</v>
      </c>
      <c r="T132" s="5">
        <v>0</v>
      </c>
      <c r="U132" s="5" t="s">
        <v>30</v>
      </c>
      <c r="V132" s="5" t="str">
        <f>IF(Clean_Data!$T132&gt;0,"Runs","Wickets")</f>
        <v>Wickets</v>
      </c>
      <c r="W132" s="5">
        <f>IF(Clean_Data!$T132&gt;0,Clean_Data!$T132,Clean_Data!$S132)</f>
        <v>8</v>
      </c>
      <c r="X132" s="5" t="str">
        <f>IF(Clean_Data!$W132&lt;=10,"Close Match","Normal")</f>
        <v>Close Match</v>
      </c>
      <c r="Y132" s="5">
        <f>Clean_Data!$G132+Clean_Data!$J132</f>
        <v>288</v>
      </c>
      <c r="Z132" s="5" t="str">
        <f>IF(Clean_Data!$Y132&gt;=170,"170+ Match","Below 170")</f>
        <v>170+ Match</v>
      </c>
      <c r="AA132" s="5" t="s">
        <v>72</v>
      </c>
      <c r="AB132" s="17" t="s">
        <v>77</v>
      </c>
    </row>
    <row r="133" spans="1:28" x14ac:dyDescent="0.3">
      <c r="A133" s="18" t="s">
        <v>73</v>
      </c>
      <c r="B133" s="19" t="str">
        <f>LEFT(Clean_Data!$A133,4)</f>
        <v>2012</v>
      </c>
      <c r="C133" s="19" t="s">
        <v>190</v>
      </c>
      <c r="D133" s="19" t="str">
        <f>IF(ISNUMBER(SEARCH("Final",Clean_Data!$C133)),"Final",
IF(ISNUMBER(SEARCH("Semi",Clean_Data!$C133)),"Semi-Final",
IF(ISNUMBER(SEARCH("Elimination",Clean_Data!$C133)),"Eliminator",
"League")))</f>
        <v>League</v>
      </c>
      <c r="E133" s="20" t="s">
        <v>368</v>
      </c>
      <c r="F133" s="19" t="s">
        <v>24</v>
      </c>
      <c r="G133" s="19">
        <v>202</v>
      </c>
      <c r="H133" s="19">
        <v>5</v>
      </c>
      <c r="I133" s="19" t="s">
        <v>113</v>
      </c>
      <c r="J133" s="19">
        <v>167</v>
      </c>
      <c r="K133" s="19">
        <v>4</v>
      </c>
      <c r="L133" s="19" t="s">
        <v>325</v>
      </c>
      <c r="M133" s="19" t="s">
        <v>24</v>
      </c>
      <c r="N133" s="19" t="s">
        <v>37</v>
      </c>
      <c r="O133" s="19" t="s">
        <v>27</v>
      </c>
      <c r="P133" s="19" t="str">
        <f>IF(Clean_Data!$G133&gt;Clean_Data!$J133,Clean_Data!$F133,Clean_Data!$I133)</f>
        <v>Dhaka Gladiators</v>
      </c>
      <c r="Q133" s="19" t="s">
        <v>28</v>
      </c>
      <c r="R133" s="19" t="s">
        <v>29</v>
      </c>
      <c r="S133" s="19">
        <v>0</v>
      </c>
      <c r="T133" s="19">
        <v>35</v>
      </c>
      <c r="U133" s="19" t="s">
        <v>65</v>
      </c>
      <c r="V133" s="19" t="str">
        <f>IF(Clean_Data!$T133&gt;0,"Runs","Wickets")</f>
        <v>Runs</v>
      </c>
      <c r="W133" s="19">
        <f>IF(Clean_Data!$T133&gt;0,Clean_Data!$T133,Clean_Data!$S133)</f>
        <v>35</v>
      </c>
      <c r="X133" s="19" t="str">
        <f>IF(Clean_Data!$W133&lt;=10,"Close Match","Normal")</f>
        <v>Normal</v>
      </c>
      <c r="Y133" s="19">
        <f>Clean_Data!$G133+Clean_Data!$J133</f>
        <v>369</v>
      </c>
      <c r="Z133" s="19" t="str">
        <f>IF(Clean_Data!$Y133&gt;=170,"170+ Match","Below 170")</f>
        <v>170+ Match</v>
      </c>
      <c r="AA133" s="19" t="s">
        <v>369</v>
      </c>
      <c r="AB133" s="21" t="s">
        <v>370</v>
      </c>
    </row>
    <row r="134" spans="1:28" x14ac:dyDescent="0.3">
      <c r="A134" s="16" t="s">
        <v>73</v>
      </c>
      <c r="B134" s="5" t="str">
        <f>LEFT(Clean_Data!$A134,4)</f>
        <v>2012</v>
      </c>
      <c r="C134" s="5" t="s">
        <v>195</v>
      </c>
      <c r="D134" s="5" t="str">
        <f>IF(ISNUMBER(SEARCH("Final",Clean_Data!$C134)),"Final",
IF(ISNUMBER(SEARCH("Semi",Clean_Data!$C134)),"Semi-Final",
IF(ISNUMBER(SEARCH("Elimination",Clean_Data!$C134)),"Eliminator",
"League")))</f>
        <v>League</v>
      </c>
      <c r="E134" s="6" t="s">
        <v>368</v>
      </c>
      <c r="F134" s="5" t="s">
        <v>41</v>
      </c>
      <c r="G134" s="5">
        <v>99</v>
      </c>
      <c r="H134" s="5">
        <v>9</v>
      </c>
      <c r="I134" s="5" t="s">
        <v>53</v>
      </c>
      <c r="J134" s="5">
        <v>97</v>
      </c>
      <c r="K134" s="5">
        <v>10</v>
      </c>
      <c r="L134" s="5" t="s">
        <v>59</v>
      </c>
      <c r="M134" s="5" t="s">
        <v>41</v>
      </c>
      <c r="N134" s="5" t="s">
        <v>37</v>
      </c>
      <c r="O134" s="5" t="s">
        <v>48</v>
      </c>
      <c r="P134" s="5" t="str">
        <f>IF(Clean_Data!$G134&gt;Clean_Data!$J134,Clean_Data!$F134,Clean_Data!$I134)</f>
        <v>Duronto Rajshahi</v>
      </c>
      <c r="Q134" s="5" t="s">
        <v>28</v>
      </c>
      <c r="R134" s="5" t="s">
        <v>29</v>
      </c>
      <c r="S134" s="5">
        <v>0</v>
      </c>
      <c r="T134" s="5">
        <v>2</v>
      </c>
      <c r="U134" s="5" t="s">
        <v>128</v>
      </c>
      <c r="V134" s="5" t="str">
        <f>IF(Clean_Data!$T134&gt;0,"Runs","Wickets")</f>
        <v>Runs</v>
      </c>
      <c r="W134" s="5">
        <f>IF(Clean_Data!$T134&gt;0,Clean_Data!$T134,Clean_Data!$S134)</f>
        <v>2</v>
      </c>
      <c r="X134" s="5" t="str">
        <f>IF(Clean_Data!$W134&lt;=10,"Close Match","Normal")</f>
        <v>Close Match</v>
      </c>
      <c r="Y134" s="5">
        <f>Clean_Data!$G134+Clean_Data!$J134</f>
        <v>196</v>
      </c>
      <c r="Z134" s="5" t="str">
        <f>IF(Clean_Data!$Y134&gt;=170,"170+ Match","Below 170")</f>
        <v>170+ Match</v>
      </c>
      <c r="AA134" s="5" t="s">
        <v>57</v>
      </c>
      <c r="AB134" s="17" t="s">
        <v>50</v>
      </c>
    </row>
    <row r="135" spans="1:28" x14ac:dyDescent="0.3">
      <c r="A135" s="18" t="s">
        <v>73</v>
      </c>
      <c r="B135" s="19" t="str">
        <f>LEFT(Clean_Data!$A135,4)</f>
        <v>2012</v>
      </c>
      <c r="C135" s="19" t="s">
        <v>33</v>
      </c>
      <c r="D135" s="19" t="str">
        <f>IF(ISNUMBER(SEARCH("Final",Clean_Data!$C135)),"Final",
IF(ISNUMBER(SEARCH("Semi",Clean_Data!$C135)),"Semi-Final",
IF(ISNUMBER(SEARCH("Elimination",Clean_Data!$C135)),"Eliminator",
"League")))</f>
        <v>League</v>
      </c>
      <c r="E135" s="20" t="s">
        <v>371</v>
      </c>
      <c r="F135" s="19" t="s">
        <v>62</v>
      </c>
      <c r="G135" s="19">
        <v>175</v>
      </c>
      <c r="H135" s="19">
        <v>7</v>
      </c>
      <c r="I135" s="19" t="s">
        <v>23</v>
      </c>
      <c r="J135" s="19">
        <v>142</v>
      </c>
      <c r="K135" s="19">
        <v>9</v>
      </c>
      <c r="L135" s="19" t="s">
        <v>121</v>
      </c>
      <c r="M135" s="19" t="s">
        <v>23</v>
      </c>
      <c r="N135" s="19" t="s">
        <v>26</v>
      </c>
      <c r="O135" s="19" t="s">
        <v>64</v>
      </c>
      <c r="P135" s="19" t="str">
        <f>IF(Clean_Data!$G135&gt;Clean_Data!$J135,Clean_Data!$F135,Clean_Data!$I135)</f>
        <v>Sylhet Royals</v>
      </c>
      <c r="Q135" s="19" t="s">
        <v>28</v>
      </c>
      <c r="R135" s="19" t="s">
        <v>29</v>
      </c>
      <c r="S135" s="19">
        <v>0</v>
      </c>
      <c r="T135" s="19">
        <v>33</v>
      </c>
      <c r="U135" s="19" t="s">
        <v>131</v>
      </c>
      <c r="V135" s="19" t="str">
        <f>IF(Clean_Data!$T135&gt;0,"Runs","Wickets")</f>
        <v>Runs</v>
      </c>
      <c r="W135" s="19">
        <f>IF(Clean_Data!$T135&gt;0,Clean_Data!$T135,Clean_Data!$S135)</f>
        <v>33</v>
      </c>
      <c r="X135" s="19" t="str">
        <f>IF(Clean_Data!$W135&lt;=10,"Close Match","Normal")</f>
        <v>Normal</v>
      </c>
      <c r="Y135" s="19">
        <f>Clean_Data!$G135+Clean_Data!$J135</f>
        <v>317</v>
      </c>
      <c r="Z135" s="19" t="str">
        <f>IF(Clean_Data!$Y135&gt;=170,"170+ Match","Below 170")</f>
        <v>170+ Match</v>
      </c>
      <c r="AA135" s="19" t="s">
        <v>372</v>
      </c>
      <c r="AB135" s="21" t="s">
        <v>373</v>
      </c>
    </row>
    <row r="136" spans="1:28" x14ac:dyDescent="0.3">
      <c r="A136" s="16" t="s">
        <v>73</v>
      </c>
      <c r="B136" s="5" t="str">
        <f>LEFT(Clean_Data!$A136,4)</f>
        <v>2012</v>
      </c>
      <c r="C136" s="5" t="s">
        <v>40</v>
      </c>
      <c r="D136" s="5" t="str">
        <f>IF(ISNUMBER(SEARCH("Final",Clean_Data!$C136)),"Final",
IF(ISNUMBER(SEARCH("Semi",Clean_Data!$C136)),"Semi-Final",
IF(ISNUMBER(SEARCH("Elimination",Clean_Data!$C136)),"Eliminator",
"League")))</f>
        <v>League</v>
      </c>
      <c r="E136" s="6" t="s">
        <v>371</v>
      </c>
      <c r="F136" s="5" t="s">
        <v>24</v>
      </c>
      <c r="G136" s="5">
        <v>204</v>
      </c>
      <c r="H136" s="5">
        <v>4</v>
      </c>
      <c r="I136" s="5" t="s">
        <v>35</v>
      </c>
      <c r="J136" s="5">
        <v>142</v>
      </c>
      <c r="K136" s="5">
        <v>8</v>
      </c>
      <c r="L136" s="5" t="s">
        <v>374</v>
      </c>
      <c r="M136" s="5" t="s">
        <v>24</v>
      </c>
      <c r="N136" s="5" t="s">
        <v>37</v>
      </c>
      <c r="O136" s="5" t="s">
        <v>27</v>
      </c>
      <c r="P136" s="5" t="str">
        <f>IF(Clean_Data!$G136&gt;Clean_Data!$J136,Clean_Data!$F136,Clean_Data!$I136)</f>
        <v>Dhaka Gladiators</v>
      </c>
      <c r="Q136" s="5" t="s">
        <v>28</v>
      </c>
      <c r="R136" s="5" t="s">
        <v>29</v>
      </c>
      <c r="S136" s="5">
        <v>0</v>
      </c>
      <c r="T136" s="5">
        <v>62</v>
      </c>
      <c r="U136" s="5" t="s">
        <v>375</v>
      </c>
      <c r="V136" s="5" t="str">
        <f>IF(Clean_Data!$T136&gt;0,"Runs","Wickets")</f>
        <v>Runs</v>
      </c>
      <c r="W136" s="5">
        <f>IF(Clean_Data!$T136&gt;0,Clean_Data!$T136,Clean_Data!$S136)</f>
        <v>62</v>
      </c>
      <c r="X136" s="5" t="str">
        <f>IF(Clean_Data!$W136&lt;=10,"Close Match","Normal")</f>
        <v>Normal</v>
      </c>
      <c r="Y136" s="5">
        <f>Clean_Data!$G136+Clean_Data!$J136</f>
        <v>346</v>
      </c>
      <c r="Z136" s="5" t="str">
        <f>IF(Clean_Data!$Y136&gt;=170,"170+ Match","Below 170")</f>
        <v>170+ Match</v>
      </c>
      <c r="AA136" s="5" t="s">
        <v>66</v>
      </c>
      <c r="AB136" s="17" t="s">
        <v>77</v>
      </c>
    </row>
    <row r="137" spans="1:28" x14ac:dyDescent="0.3">
      <c r="A137" s="18" t="s">
        <v>140</v>
      </c>
      <c r="B137" s="19" t="str">
        <f>LEFT(Clean_Data!$A137,4)</f>
        <v>2015</v>
      </c>
      <c r="C137" s="19" t="s">
        <v>68</v>
      </c>
      <c r="D137" s="19" t="str">
        <f>IF(ISNUMBER(SEARCH("Final",Clean_Data!$C137)),"Final",
IF(ISNUMBER(SEARCH("Semi",Clean_Data!$C137)),"Semi-Final",
IF(ISNUMBER(SEARCH("Elimination",Clean_Data!$C137)),"Eliminator",
"League")))</f>
        <v>League</v>
      </c>
      <c r="E137" s="20" t="s">
        <v>376</v>
      </c>
      <c r="F137" s="19" t="s">
        <v>174</v>
      </c>
      <c r="G137" s="19">
        <v>59</v>
      </c>
      <c r="H137" s="19">
        <v>10</v>
      </c>
      <c r="I137" s="19" t="s">
        <v>113</v>
      </c>
      <c r="J137" s="19">
        <v>60</v>
      </c>
      <c r="K137" s="19">
        <v>2</v>
      </c>
      <c r="L137" s="19" t="s">
        <v>377</v>
      </c>
      <c r="M137" s="19" t="s">
        <v>113</v>
      </c>
      <c r="N137" s="19" t="s">
        <v>26</v>
      </c>
      <c r="O137" s="19" t="s">
        <v>189</v>
      </c>
      <c r="P137" s="19" t="str">
        <f>IF(Clean_Data!$G137&gt;Clean_Data!$J137,Clean_Data!$F137,Clean_Data!$I137)</f>
        <v>Rangpur Riders</v>
      </c>
      <c r="Q137" s="19" t="s">
        <v>28</v>
      </c>
      <c r="R137" s="19" t="s">
        <v>29</v>
      </c>
      <c r="S137" s="19">
        <v>8</v>
      </c>
      <c r="T137" s="19">
        <v>0</v>
      </c>
      <c r="U137" s="19" t="s">
        <v>30</v>
      </c>
      <c r="V137" s="19" t="str">
        <f>IF(Clean_Data!$T137&gt;0,"Runs","Wickets")</f>
        <v>Wickets</v>
      </c>
      <c r="W137" s="19">
        <f>IF(Clean_Data!$T137&gt;0,Clean_Data!$T137,Clean_Data!$S137)</f>
        <v>8</v>
      </c>
      <c r="X137" s="19" t="str">
        <f>IF(Clean_Data!$W137&lt;=10,"Close Match","Normal")</f>
        <v>Close Match</v>
      </c>
      <c r="Y137" s="19">
        <f>Clean_Data!$G137+Clean_Data!$J137</f>
        <v>119</v>
      </c>
      <c r="Z137" s="19" t="str">
        <f>IF(Clean_Data!$Y137&gt;=170,"170+ Match","Below 170")</f>
        <v>Below 170</v>
      </c>
      <c r="AA137" s="19" t="s">
        <v>72</v>
      </c>
      <c r="AB137" s="21" t="s">
        <v>56</v>
      </c>
    </row>
    <row r="138" spans="1:28" x14ac:dyDescent="0.3">
      <c r="A138" s="16" t="s">
        <v>140</v>
      </c>
      <c r="B138" s="5" t="str">
        <f>LEFT(Clean_Data!$A138,4)</f>
        <v>2015</v>
      </c>
      <c r="C138" s="5" t="s">
        <v>78</v>
      </c>
      <c r="D138" s="5" t="str">
        <f>IF(ISNUMBER(SEARCH("Final",Clean_Data!$C138)),"Final",
IF(ISNUMBER(SEARCH("Semi",Clean_Data!$C138)),"Semi-Final",
IF(ISNUMBER(SEARCH("Elimination",Clean_Data!$C138)),"Eliminator",
"League")))</f>
        <v>League</v>
      </c>
      <c r="E138" s="6" t="s">
        <v>376</v>
      </c>
      <c r="F138" s="5" t="s">
        <v>142</v>
      </c>
      <c r="G138" s="5">
        <v>105</v>
      </c>
      <c r="H138" s="5">
        <v>6</v>
      </c>
      <c r="I138" s="5" t="s">
        <v>143</v>
      </c>
      <c r="J138" s="5">
        <v>106</v>
      </c>
      <c r="K138" s="5">
        <v>3</v>
      </c>
      <c r="L138" s="5" t="s">
        <v>42</v>
      </c>
      <c r="M138" s="5" t="s">
        <v>143</v>
      </c>
      <c r="N138" s="5" t="s">
        <v>26</v>
      </c>
      <c r="O138" s="5" t="s">
        <v>145</v>
      </c>
      <c r="P138" s="5" t="str">
        <f>IF(Clean_Data!$G138&gt;Clean_Data!$J138,Clean_Data!$F138,Clean_Data!$I138)</f>
        <v>Comilla Victorians</v>
      </c>
      <c r="Q138" s="5" t="s">
        <v>28</v>
      </c>
      <c r="R138" s="5" t="s">
        <v>29</v>
      </c>
      <c r="S138" s="5">
        <v>7</v>
      </c>
      <c r="T138" s="5">
        <v>0</v>
      </c>
      <c r="U138" s="5" t="s">
        <v>118</v>
      </c>
      <c r="V138" s="5" t="str">
        <f>IF(Clean_Data!$T138&gt;0,"Runs","Wickets")</f>
        <v>Wickets</v>
      </c>
      <c r="W138" s="5">
        <f>IF(Clean_Data!$T138&gt;0,Clean_Data!$T138,Clean_Data!$S138)</f>
        <v>7</v>
      </c>
      <c r="X138" s="5" t="str">
        <f>IF(Clean_Data!$W138&lt;=10,"Close Match","Normal")</f>
        <v>Close Match</v>
      </c>
      <c r="Y138" s="5">
        <f>Clean_Data!$G138+Clean_Data!$J138</f>
        <v>211</v>
      </c>
      <c r="Z138" s="5" t="str">
        <f>IF(Clean_Data!$Y138&gt;=170,"170+ Match","Below 170")</f>
        <v>170+ Match</v>
      </c>
      <c r="AA138" s="5" t="s">
        <v>146</v>
      </c>
      <c r="AB138" s="17" t="s">
        <v>66</v>
      </c>
    </row>
    <row r="139" spans="1:28" x14ac:dyDescent="0.3">
      <c r="A139" s="18" t="s">
        <v>140</v>
      </c>
      <c r="B139" s="19" t="str">
        <f>LEFT(Clean_Data!$A139,4)</f>
        <v>2015</v>
      </c>
      <c r="C139" s="19" t="s">
        <v>85</v>
      </c>
      <c r="D139" s="19" t="str">
        <f>IF(ISNUMBER(SEARCH("Final",Clean_Data!$C139)),"Final",
IF(ISNUMBER(SEARCH("Semi",Clean_Data!$C139)),"Semi-Final",
IF(ISNUMBER(SEARCH("Elimination",Clean_Data!$C139)),"Eliminator",
"League")))</f>
        <v>League</v>
      </c>
      <c r="E139" s="20" t="s">
        <v>378</v>
      </c>
      <c r="F139" s="19" t="s">
        <v>160</v>
      </c>
      <c r="G139" s="19">
        <v>135</v>
      </c>
      <c r="H139" s="19">
        <v>7</v>
      </c>
      <c r="I139" s="19" t="s">
        <v>113</v>
      </c>
      <c r="J139" s="19">
        <v>136</v>
      </c>
      <c r="K139" s="19">
        <v>4</v>
      </c>
      <c r="L139" s="19" t="s">
        <v>188</v>
      </c>
      <c r="M139" s="19" t="s">
        <v>160</v>
      </c>
      <c r="N139" s="19" t="s">
        <v>37</v>
      </c>
      <c r="O139" s="19" t="s">
        <v>189</v>
      </c>
      <c r="P139" s="19" t="str">
        <f>IF(Clean_Data!$G139&gt;Clean_Data!$J139,Clean_Data!$F139,Clean_Data!$I139)</f>
        <v>Rangpur Riders</v>
      </c>
      <c r="Q139" s="19" t="s">
        <v>28</v>
      </c>
      <c r="R139" s="19" t="s">
        <v>29</v>
      </c>
      <c r="S139" s="19">
        <v>6</v>
      </c>
      <c r="T139" s="19">
        <v>0</v>
      </c>
      <c r="U139" s="19" t="s">
        <v>151</v>
      </c>
      <c r="V139" s="19" t="str">
        <f>IF(Clean_Data!$T139&gt;0,"Runs","Wickets")</f>
        <v>Wickets</v>
      </c>
      <c r="W139" s="19">
        <f>IF(Clean_Data!$T139&gt;0,Clean_Data!$T139,Clean_Data!$S139)</f>
        <v>6</v>
      </c>
      <c r="X139" s="19" t="str">
        <f>IF(Clean_Data!$W139&lt;=10,"Close Match","Normal")</f>
        <v>Close Match</v>
      </c>
      <c r="Y139" s="19">
        <f>Clean_Data!$G139+Clean_Data!$J139</f>
        <v>271</v>
      </c>
      <c r="Z139" s="19" t="str">
        <f>IF(Clean_Data!$Y139&gt;=170,"170+ Match","Below 170")</f>
        <v>170+ Match</v>
      </c>
      <c r="AA139" s="19" t="s">
        <v>146</v>
      </c>
      <c r="AB139" s="21" t="s">
        <v>32</v>
      </c>
    </row>
    <row r="140" spans="1:28" x14ac:dyDescent="0.3">
      <c r="A140" s="16" t="s">
        <v>140</v>
      </c>
      <c r="B140" s="5" t="str">
        <f>LEFT(Clean_Data!$A140,4)</f>
        <v>2015</v>
      </c>
      <c r="C140" s="5" t="s">
        <v>91</v>
      </c>
      <c r="D140" s="5" t="str">
        <f>IF(ISNUMBER(SEARCH("Final",Clean_Data!$C140)),"Final",
IF(ISNUMBER(SEARCH("Semi",Clean_Data!$C140)),"Semi-Final",
IF(ISNUMBER(SEARCH("Elimination",Clean_Data!$C140)),"Eliminator",
"League")))</f>
        <v>League</v>
      </c>
      <c r="E140" s="6" t="s">
        <v>378</v>
      </c>
      <c r="F140" s="5" t="s">
        <v>142</v>
      </c>
      <c r="G140" s="5">
        <v>58</v>
      </c>
      <c r="H140" s="5">
        <v>10</v>
      </c>
      <c r="I140" s="5" t="s">
        <v>174</v>
      </c>
      <c r="J140" s="5">
        <v>62</v>
      </c>
      <c r="K140" s="5">
        <v>1</v>
      </c>
      <c r="L140" s="5" t="s">
        <v>105</v>
      </c>
      <c r="M140" s="5" t="s">
        <v>174</v>
      </c>
      <c r="N140" s="5" t="s">
        <v>26</v>
      </c>
      <c r="O140" s="5" t="s">
        <v>184</v>
      </c>
      <c r="P140" s="5" t="str">
        <f>IF(Clean_Data!$G140&gt;Clean_Data!$J140,Clean_Data!$F140,Clean_Data!$I140)</f>
        <v>Sylhet Super Stars</v>
      </c>
      <c r="Q140" s="5" t="s">
        <v>28</v>
      </c>
      <c r="R140" s="5" t="s">
        <v>29</v>
      </c>
      <c r="S140" s="5">
        <v>0</v>
      </c>
      <c r="T140" s="5">
        <v>0</v>
      </c>
      <c r="U140" s="5" t="s">
        <v>379</v>
      </c>
      <c r="V140" s="5" t="str">
        <f>IF(Clean_Data!$T140&gt;0,"Runs","Wickets")</f>
        <v>Wickets</v>
      </c>
      <c r="W140" s="5">
        <f>IF(Clean_Data!$T140&gt;0,Clean_Data!$T140,Clean_Data!$S140)</f>
        <v>0</v>
      </c>
      <c r="X140" s="5" t="str">
        <f>IF(Clean_Data!$W140&lt;=10,"Close Match","Normal")</f>
        <v>Close Match</v>
      </c>
      <c r="Y140" s="5">
        <f>Clean_Data!$G140+Clean_Data!$J140</f>
        <v>120</v>
      </c>
      <c r="Z140" s="5" t="str">
        <f>IF(Clean_Data!$Y140&gt;=170,"170+ Match","Below 170")</f>
        <v>Below 170</v>
      </c>
      <c r="AA140" s="5" t="s">
        <v>56</v>
      </c>
      <c r="AB140" s="17" t="s">
        <v>147</v>
      </c>
    </row>
    <row r="141" spans="1:28" x14ac:dyDescent="0.3">
      <c r="A141" s="18" t="s">
        <v>140</v>
      </c>
      <c r="B141" s="19" t="str">
        <f>LEFT(Clean_Data!$A141,4)</f>
        <v>2015</v>
      </c>
      <c r="C141" s="19" t="s">
        <v>95</v>
      </c>
      <c r="D141" s="19" t="str">
        <f>IF(ISNUMBER(SEARCH("Final",Clean_Data!$C141)),"Final",
IF(ISNUMBER(SEARCH("Semi",Clean_Data!$C141)),"Semi-Final",
IF(ISNUMBER(SEARCH("Elimination",Clean_Data!$C141)),"Eliminator",
"League")))</f>
        <v>League</v>
      </c>
      <c r="E141" s="20" t="s">
        <v>380</v>
      </c>
      <c r="F141" s="19" t="s">
        <v>179</v>
      </c>
      <c r="G141" s="19">
        <v>136</v>
      </c>
      <c r="H141" s="19">
        <v>5</v>
      </c>
      <c r="I141" s="19" t="s">
        <v>143</v>
      </c>
      <c r="J141" s="19">
        <v>142</v>
      </c>
      <c r="K141" s="19">
        <v>5</v>
      </c>
      <c r="L141" s="19" t="s">
        <v>381</v>
      </c>
      <c r="M141" s="19" t="s">
        <v>143</v>
      </c>
      <c r="N141" s="19" t="s">
        <v>26</v>
      </c>
      <c r="O141" s="19" t="s">
        <v>145</v>
      </c>
      <c r="P141" s="19" t="str">
        <f>IF(Clean_Data!$G141&gt;Clean_Data!$J141,Clean_Data!$F141,Clean_Data!$I141)</f>
        <v>Comilla Victorians</v>
      </c>
      <c r="Q141" s="19" t="s">
        <v>88</v>
      </c>
      <c r="R141" s="19" t="s">
        <v>89</v>
      </c>
      <c r="S141" s="19">
        <v>5</v>
      </c>
      <c r="T141" s="19">
        <v>0</v>
      </c>
      <c r="U141" s="19" t="s">
        <v>55</v>
      </c>
      <c r="V141" s="19" t="str">
        <f>IF(Clean_Data!$T141&gt;0,"Runs","Wickets")</f>
        <v>Wickets</v>
      </c>
      <c r="W141" s="19">
        <f>IF(Clean_Data!$T141&gt;0,Clean_Data!$T141,Clean_Data!$S141)</f>
        <v>5</v>
      </c>
      <c r="X141" s="19" t="str">
        <f>IF(Clean_Data!$W141&lt;=10,"Close Match","Normal")</f>
        <v>Close Match</v>
      </c>
      <c r="Y141" s="19">
        <f>Clean_Data!$G141+Clean_Data!$J141</f>
        <v>278</v>
      </c>
      <c r="Z141" s="19" t="str">
        <f>IF(Clean_Data!$Y141&gt;=170,"170+ Match","Below 170")</f>
        <v>170+ Match</v>
      </c>
      <c r="AA141" s="19" t="s">
        <v>50</v>
      </c>
      <c r="AB141" s="21" t="s">
        <v>216</v>
      </c>
    </row>
    <row r="142" spans="1:28" x14ac:dyDescent="0.3">
      <c r="A142" s="16" t="s">
        <v>140</v>
      </c>
      <c r="B142" s="5" t="str">
        <f>LEFT(Clean_Data!$A142,4)</f>
        <v>2015</v>
      </c>
      <c r="C142" s="5" t="s">
        <v>104</v>
      </c>
      <c r="D142" s="5" t="str">
        <f>IF(ISNUMBER(SEARCH("Final",Clean_Data!$C142)),"Final",
IF(ISNUMBER(SEARCH("Semi",Clean_Data!$C142)),"Semi-Final",
IF(ISNUMBER(SEARCH("Elimination",Clean_Data!$C142)),"Eliminator",
"League")))</f>
        <v>League</v>
      </c>
      <c r="E142" s="6" t="s">
        <v>380</v>
      </c>
      <c r="F142" s="5" t="s">
        <v>113</v>
      </c>
      <c r="G142" s="5">
        <v>104</v>
      </c>
      <c r="H142" s="5">
        <v>9</v>
      </c>
      <c r="I142" s="5" t="s">
        <v>142</v>
      </c>
      <c r="J142" s="5">
        <v>75</v>
      </c>
      <c r="K142" s="5">
        <v>4</v>
      </c>
      <c r="L142" s="5" t="s">
        <v>161</v>
      </c>
      <c r="M142" s="5" t="s">
        <v>142</v>
      </c>
      <c r="N142" s="5" t="s">
        <v>26</v>
      </c>
      <c r="O142" s="5" t="s">
        <v>155</v>
      </c>
      <c r="P142" s="5" t="str">
        <f>IF(Clean_Data!$G142&gt;Clean_Data!$J142,Clean_Data!$F142,Clean_Data!$I142)</f>
        <v>Rangpur Riders</v>
      </c>
      <c r="Q142" s="5" t="s">
        <v>88</v>
      </c>
      <c r="R142" s="5" t="s">
        <v>89</v>
      </c>
      <c r="S142" s="5">
        <v>6</v>
      </c>
      <c r="T142" s="5">
        <v>0</v>
      </c>
      <c r="U142" s="5" t="s">
        <v>151</v>
      </c>
      <c r="V142" s="5" t="str">
        <f>IF(Clean_Data!$T142&gt;0,"Runs","Wickets")</f>
        <v>Wickets</v>
      </c>
      <c r="W142" s="5">
        <f>IF(Clean_Data!$T142&gt;0,Clean_Data!$T142,Clean_Data!$S142)</f>
        <v>6</v>
      </c>
      <c r="X142" s="5" t="str">
        <f>IF(Clean_Data!$W142&lt;=10,"Close Match","Normal")</f>
        <v>Close Match</v>
      </c>
      <c r="Y142" s="5">
        <f>Clean_Data!$G142+Clean_Data!$J142</f>
        <v>179</v>
      </c>
      <c r="Z142" s="5" t="str">
        <f>IF(Clean_Data!$Y142&gt;=170,"170+ Match","Below 170")</f>
        <v>170+ Match</v>
      </c>
      <c r="AA142" s="5" t="s">
        <v>72</v>
      </c>
      <c r="AB142" s="17" t="s">
        <v>147</v>
      </c>
    </row>
    <row r="143" spans="1:28" x14ac:dyDescent="0.3">
      <c r="A143" s="18" t="s">
        <v>140</v>
      </c>
      <c r="B143" s="19" t="str">
        <f>LEFT(Clean_Data!$A143,4)</f>
        <v>2015</v>
      </c>
      <c r="C143" s="19" t="s">
        <v>110</v>
      </c>
      <c r="D143" s="19" t="str">
        <f>IF(ISNUMBER(SEARCH("Final",Clean_Data!$C143)),"Final",
IF(ISNUMBER(SEARCH("Semi",Clean_Data!$C143)),"Semi-Final",
IF(ISNUMBER(SEARCH("Elimination",Clean_Data!$C143)),"Eliminator",
"League")))</f>
        <v>League</v>
      </c>
      <c r="E143" s="20" t="s">
        <v>382</v>
      </c>
      <c r="F143" s="19" t="s">
        <v>174</v>
      </c>
      <c r="G143" s="19">
        <v>139</v>
      </c>
      <c r="H143" s="19">
        <v>9</v>
      </c>
      <c r="I143" s="19" t="s">
        <v>179</v>
      </c>
      <c r="J143" s="19">
        <v>140</v>
      </c>
      <c r="K143" s="19">
        <v>0</v>
      </c>
      <c r="L143" s="19" t="s">
        <v>383</v>
      </c>
      <c r="M143" s="19" t="s">
        <v>179</v>
      </c>
      <c r="N143" s="19" t="s">
        <v>26</v>
      </c>
      <c r="O143" s="19" t="s">
        <v>245</v>
      </c>
      <c r="P143" s="19" t="str">
        <f>IF(Clean_Data!$G143&gt;Clean_Data!$J143,Clean_Data!$F143,Clean_Data!$I143)</f>
        <v>Chittagong Vikings</v>
      </c>
      <c r="Q143" s="19" t="s">
        <v>88</v>
      </c>
      <c r="R143" s="19" t="s">
        <v>89</v>
      </c>
      <c r="S143" s="19">
        <v>10</v>
      </c>
      <c r="T143" s="19">
        <v>0</v>
      </c>
      <c r="U143" s="19" t="s">
        <v>209</v>
      </c>
      <c r="V143" s="19" t="str">
        <f>IF(Clean_Data!$T143&gt;0,"Runs","Wickets")</f>
        <v>Wickets</v>
      </c>
      <c r="W143" s="19">
        <f>IF(Clean_Data!$T143&gt;0,Clean_Data!$T143,Clean_Data!$S143)</f>
        <v>10</v>
      </c>
      <c r="X143" s="19" t="str">
        <f>IF(Clean_Data!$W143&lt;=10,"Close Match","Normal")</f>
        <v>Close Match</v>
      </c>
      <c r="Y143" s="19">
        <f>Clean_Data!$G143+Clean_Data!$J143</f>
        <v>279</v>
      </c>
      <c r="Z143" s="19" t="str">
        <f>IF(Clean_Data!$Y143&gt;=170,"170+ Match","Below 170")</f>
        <v>170+ Match</v>
      </c>
      <c r="AA143" s="19" t="s">
        <v>72</v>
      </c>
      <c r="AB143" s="21" t="s">
        <v>216</v>
      </c>
    </row>
    <row r="144" spans="1:28" x14ac:dyDescent="0.3">
      <c r="A144" s="16" t="s">
        <v>140</v>
      </c>
      <c r="B144" s="5" t="str">
        <f>LEFT(Clean_Data!$A144,4)</f>
        <v>2015</v>
      </c>
      <c r="C144" s="5" t="s">
        <v>116</v>
      </c>
      <c r="D144" s="5" t="str">
        <f>IF(ISNUMBER(SEARCH("Final",Clean_Data!$C144)),"Final",
IF(ISNUMBER(SEARCH("Semi",Clean_Data!$C144)),"Semi-Final",
IF(ISNUMBER(SEARCH("Elimination",Clean_Data!$C144)),"Eliminator",
"League")))</f>
        <v>League</v>
      </c>
      <c r="E144" s="6" t="s">
        <v>382</v>
      </c>
      <c r="F144" s="5" t="s">
        <v>143</v>
      </c>
      <c r="G144" s="5">
        <v>141</v>
      </c>
      <c r="H144" s="5">
        <v>7</v>
      </c>
      <c r="I144" s="5" t="s">
        <v>160</v>
      </c>
      <c r="J144" s="5">
        <v>131</v>
      </c>
      <c r="K144" s="5">
        <v>6</v>
      </c>
      <c r="L144" s="5" t="s">
        <v>166</v>
      </c>
      <c r="M144" s="5" t="s">
        <v>160</v>
      </c>
      <c r="N144" s="5" t="s">
        <v>26</v>
      </c>
      <c r="O144" s="5" t="s">
        <v>145</v>
      </c>
      <c r="P144" s="5" t="str">
        <f>IF(Clean_Data!$G144&gt;Clean_Data!$J144,Clean_Data!$F144,Clean_Data!$I144)</f>
        <v>Comilla Victorians</v>
      </c>
      <c r="Q144" s="5" t="s">
        <v>88</v>
      </c>
      <c r="R144" s="5" t="s">
        <v>89</v>
      </c>
      <c r="S144" s="5">
        <v>0</v>
      </c>
      <c r="T144" s="5">
        <v>10</v>
      </c>
      <c r="U144" s="5" t="s">
        <v>384</v>
      </c>
      <c r="V144" s="5" t="str">
        <f>IF(Clean_Data!$T144&gt;0,"Runs","Wickets")</f>
        <v>Runs</v>
      </c>
      <c r="W144" s="5">
        <f>IF(Clean_Data!$T144&gt;0,Clean_Data!$T144,Clean_Data!$S144)</f>
        <v>10</v>
      </c>
      <c r="X144" s="5" t="str">
        <f>IF(Clean_Data!$W144&lt;=10,"Close Match","Normal")</f>
        <v>Close Match</v>
      </c>
      <c r="Y144" s="5">
        <f>Clean_Data!$G144+Clean_Data!$J144</f>
        <v>272</v>
      </c>
      <c r="Z144" s="5" t="str">
        <f>IF(Clean_Data!$Y144&gt;=170,"170+ Match","Below 170")</f>
        <v>170+ Match</v>
      </c>
      <c r="AA144" s="5" t="s">
        <v>50</v>
      </c>
      <c r="AB144" s="17" t="s">
        <v>225</v>
      </c>
    </row>
    <row r="145" spans="1:28" x14ac:dyDescent="0.3">
      <c r="A145" s="18" t="s">
        <v>140</v>
      </c>
      <c r="B145" s="19" t="str">
        <f>LEFT(Clean_Data!$A145,4)</f>
        <v>2015</v>
      </c>
      <c r="C145" s="19" t="s">
        <v>123</v>
      </c>
      <c r="D145" s="19" t="str">
        <f>IF(ISNUMBER(SEARCH("Final",Clean_Data!$C145)),"Final",
IF(ISNUMBER(SEARCH("Semi",Clean_Data!$C145)),"Semi-Final",
IF(ISNUMBER(SEARCH("Elimination",Clean_Data!$C145)),"Eliminator",
"League")))</f>
        <v>League</v>
      </c>
      <c r="E145" s="20" t="s">
        <v>385</v>
      </c>
      <c r="F145" s="19" t="s">
        <v>160</v>
      </c>
      <c r="G145" s="19">
        <v>158</v>
      </c>
      <c r="H145" s="19">
        <v>5</v>
      </c>
      <c r="I145" s="19" t="s">
        <v>142</v>
      </c>
      <c r="J145" s="19">
        <v>159</v>
      </c>
      <c r="K145" s="19">
        <v>1</v>
      </c>
      <c r="L145" s="19" t="s">
        <v>259</v>
      </c>
      <c r="M145" s="19" t="s">
        <v>142</v>
      </c>
      <c r="N145" s="19" t="s">
        <v>26</v>
      </c>
      <c r="O145" s="19" t="s">
        <v>155</v>
      </c>
      <c r="P145" s="19" t="str">
        <f>IF(Clean_Data!$G145&gt;Clean_Data!$J145,Clean_Data!$F145,Clean_Data!$I145)</f>
        <v>Barisal Bulls</v>
      </c>
      <c r="Q145" s="19" t="s">
        <v>88</v>
      </c>
      <c r="R145" s="19" t="s">
        <v>89</v>
      </c>
      <c r="S145" s="19">
        <v>9</v>
      </c>
      <c r="T145" s="19">
        <v>0</v>
      </c>
      <c r="U145" s="19" t="s">
        <v>71</v>
      </c>
      <c r="V145" s="19" t="str">
        <f>IF(Clean_Data!$T145&gt;0,"Runs","Wickets")</f>
        <v>Wickets</v>
      </c>
      <c r="W145" s="19">
        <f>IF(Clean_Data!$T145&gt;0,Clean_Data!$T145,Clean_Data!$S145)</f>
        <v>9</v>
      </c>
      <c r="X145" s="19" t="str">
        <f>IF(Clean_Data!$W145&lt;=10,"Close Match","Normal")</f>
        <v>Close Match</v>
      </c>
      <c r="Y145" s="19">
        <f>Clean_Data!$G145+Clean_Data!$J145</f>
        <v>317</v>
      </c>
      <c r="Z145" s="19" t="str">
        <f>IF(Clean_Data!$Y145&gt;=170,"170+ Match","Below 170")</f>
        <v>170+ Match</v>
      </c>
      <c r="AA145" s="19" t="s">
        <v>32</v>
      </c>
      <c r="AB145" s="21" t="s">
        <v>147</v>
      </c>
    </row>
    <row r="146" spans="1:28" x14ac:dyDescent="0.3">
      <c r="A146" s="16" t="s">
        <v>140</v>
      </c>
      <c r="B146" s="5" t="str">
        <f>LEFT(Clean_Data!$A146,4)</f>
        <v>2015</v>
      </c>
      <c r="C146" s="5" t="s">
        <v>126</v>
      </c>
      <c r="D146" s="5" t="str">
        <f>IF(ISNUMBER(SEARCH("Final",Clean_Data!$C146)),"Final",
IF(ISNUMBER(SEARCH("Semi",Clean_Data!$C146)),"Semi-Final",
IF(ISNUMBER(SEARCH("Elimination",Clean_Data!$C146)),"Eliminator",
"League")))</f>
        <v>League</v>
      </c>
      <c r="E146" s="6" t="s">
        <v>385</v>
      </c>
      <c r="F146" s="5" t="s">
        <v>179</v>
      </c>
      <c r="G146" s="5">
        <v>111</v>
      </c>
      <c r="H146" s="5">
        <v>8</v>
      </c>
      <c r="I146" s="5" t="s">
        <v>113</v>
      </c>
      <c r="J146" s="5">
        <v>113</v>
      </c>
      <c r="K146" s="5">
        <v>1</v>
      </c>
      <c r="L146" s="5" t="s">
        <v>386</v>
      </c>
      <c r="M146" s="5" t="s">
        <v>179</v>
      </c>
      <c r="N146" s="5" t="s">
        <v>37</v>
      </c>
      <c r="O146" s="5" t="s">
        <v>189</v>
      </c>
      <c r="P146" s="5" t="str">
        <f>IF(Clean_Data!$G146&gt;Clean_Data!$J146,Clean_Data!$F146,Clean_Data!$I146)</f>
        <v>Rangpur Riders</v>
      </c>
      <c r="Q146" s="5" t="s">
        <v>88</v>
      </c>
      <c r="R146" s="5" t="s">
        <v>89</v>
      </c>
      <c r="S146" s="5">
        <v>9</v>
      </c>
      <c r="T146" s="5">
        <v>0</v>
      </c>
      <c r="U146" s="5" t="s">
        <v>71</v>
      </c>
      <c r="V146" s="5" t="str">
        <f>IF(Clean_Data!$T146&gt;0,"Runs","Wickets")</f>
        <v>Wickets</v>
      </c>
      <c r="W146" s="5">
        <f>IF(Clean_Data!$T146&gt;0,Clean_Data!$T146,Clean_Data!$S146)</f>
        <v>9</v>
      </c>
      <c r="X146" s="5" t="str">
        <f>IF(Clean_Data!$W146&lt;=10,"Close Match","Normal")</f>
        <v>Close Match</v>
      </c>
      <c r="Y146" s="5">
        <f>Clean_Data!$G146+Clean_Data!$J146</f>
        <v>224</v>
      </c>
      <c r="Z146" s="5" t="str">
        <f>IF(Clean_Data!$Y146&gt;=170,"170+ Match","Below 170")</f>
        <v>170+ Match</v>
      </c>
      <c r="AA146" s="5" t="s">
        <v>32</v>
      </c>
      <c r="AB146" s="17" t="s">
        <v>44</v>
      </c>
    </row>
    <row r="147" spans="1:28" x14ac:dyDescent="0.3">
      <c r="A147" s="18" t="s">
        <v>140</v>
      </c>
      <c r="B147" s="19" t="str">
        <f>LEFT(Clean_Data!$A147,4)</f>
        <v>2015</v>
      </c>
      <c r="C147" s="19" t="s">
        <v>132</v>
      </c>
      <c r="D147" s="19" t="str">
        <f>IF(ISNUMBER(SEARCH("Final",Clean_Data!$C147)),"Final",
IF(ISNUMBER(SEARCH("Semi",Clean_Data!$C147)),"Semi-Final",
IF(ISNUMBER(SEARCH("Elimination",Clean_Data!$C147)),"Eliminator",
"League")))</f>
        <v>League</v>
      </c>
      <c r="E147" s="20" t="s">
        <v>387</v>
      </c>
      <c r="F147" s="19" t="s">
        <v>143</v>
      </c>
      <c r="G147" s="19">
        <v>164</v>
      </c>
      <c r="H147" s="19">
        <v>5</v>
      </c>
      <c r="I147" s="19" t="s">
        <v>174</v>
      </c>
      <c r="J147" s="19">
        <v>168</v>
      </c>
      <c r="K147" s="19">
        <v>6</v>
      </c>
      <c r="L147" s="19" t="s">
        <v>183</v>
      </c>
      <c r="M147" s="19" t="s">
        <v>174</v>
      </c>
      <c r="N147" s="19" t="s">
        <v>26</v>
      </c>
      <c r="O147" s="19" t="s">
        <v>184</v>
      </c>
      <c r="P147" s="19" t="str">
        <f>IF(Clean_Data!$G147&gt;Clean_Data!$J147,Clean_Data!$F147,Clean_Data!$I147)</f>
        <v>Sylhet Super Stars</v>
      </c>
      <c r="Q147" s="19" t="s">
        <v>88</v>
      </c>
      <c r="R147" s="19" t="s">
        <v>89</v>
      </c>
      <c r="S147" s="19">
        <v>0</v>
      </c>
      <c r="T147" s="19">
        <v>0</v>
      </c>
      <c r="U147" s="19" t="s">
        <v>388</v>
      </c>
      <c r="V147" s="19" t="str">
        <f>IF(Clean_Data!$T147&gt;0,"Runs","Wickets")</f>
        <v>Wickets</v>
      </c>
      <c r="W147" s="19">
        <f>IF(Clean_Data!$T147&gt;0,Clean_Data!$T147,Clean_Data!$S147)</f>
        <v>0</v>
      </c>
      <c r="X147" s="19" t="str">
        <f>IF(Clean_Data!$W147&lt;=10,"Close Match","Normal")</f>
        <v>Close Match</v>
      </c>
      <c r="Y147" s="19">
        <f>Clean_Data!$G147+Clean_Data!$J147</f>
        <v>332</v>
      </c>
      <c r="Z147" s="19" t="str">
        <f>IF(Clean_Data!$Y147&gt;=170,"170+ Match","Below 170")</f>
        <v>170+ Match</v>
      </c>
      <c r="AA147" s="19" t="s">
        <v>32</v>
      </c>
      <c r="AB147" s="21" t="s">
        <v>44</v>
      </c>
    </row>
    <row r="148" spans="1:28" x14ac:dyDescent="0.3">
      <c r="A148" s="16" t="s">
        <v>140</v>
      </c>
      <c r="B148" s="5" t="str">
        <f>LEFT(Clean_Data!$A148,4)</f>
        <v>2015</v>
      </c>
      <c r="C148" s="5" t="s">
        <v>138</v>
      </c>
      <c r="D148" s="5" t="str">
        <f>IF(ISNUMBER(SEARCH("Final",Clean_Data!$C148)),"Final",
IF(ISNUMBER(SEARCH("Semi",Clean_Data!$C148)),"Semi-Final",
IF(ISNUMBER(SEARCH("Elimination",Clean_Data!$C148)),"Eliminator",
"League")))</f>
        <v>League</v>
      </c>
      <c r="E148" s="6" t="s">
        <v>387</v>
      </c>
      <c r="F148" s="5" t="s">
        <v>142</v>
      </c>
      <c r="G148" s="5">
        <v>170</v>
      </c>
      <c r="H148" s="5">
        <v>7</v>
      </c>
      <c r="I148" s="5" t="s">
        <v>179</v>
      </c>
      <c r="J148" s="5">
        <v>137</v>
      </c>
      <c r="K148" s="5">
        <v>10</v>
      </c>
      <c r="L148" s="5" t="s">
        <v>389</v>
      </c>
      <c r="M148" s="5" t="s">
        <v>179</v>
      </c>
      <c r="N148" s="5" t="s">
        <v>26</v>
      </c>
      <c r="O148" s="5" t="s">
        <v>155</v>
      </c>
      <c r="P148" s="5" t="str">
        <f>IF(Clean_Data!$G148&gt;Clean_Data!$J148,Clean_Data!$F148,Clean_Data!$I148)</f>
        <v>Barisal Bulls</v>
      </c>
      <c r="Q148" s="5" t="s">
        <v>88</v>
      </c>
      <c r="R148" s="5" t="s">
        <v>89</v>
      </c>
      <c r="S148" s="5">
        <v>0</v>
      </c>
      <c r="T148" s="5">
        <v>33</v>
      </c>
      <c r="U148" s="5" t="s">
        <v>131</v>
      </c>
      <c r="V148" s="5" t="str">
        <f>IF(Clean_Data!$T148&gt;0,"Runs","Wickets")</f>
        <v>Runs</v>
      </c>
      <c r="W148" s="5">
        <f>IF(Clean_Data!$T148&gt;0,Clean_Data!$T148,Clean_Data!$S148)</f>
        <v>33</v>
      </c>
      <c r="X148" s="5" t="str">
        <f>IF(Clean_Data!$W148&lt;=10,"Close Match","Normal")</f>
        <v>Normal</v>
      </c>
      <c r="Y148" s="5">
        <f>Clean_Data!$G148+Clean_Data!$J148</f>
        <v>307</v>
      </c>
      <c r="Z148" s="5" t="str">
        <f>IF(Clean_Data!$Y148&gt;=170,"170+ Match","Below 170")</f>
        <v>170+ Match</v>
      </c>
      <c r="AA148" s="5" t="s">
        <v>147</v>
      </c>
      <c r="AB148" s="17" t="s">
        <v>44</v>
      </c>
    </row>
    <row r="149" spans="1:28" x14ac:dyDescent="0.3">
      <c r="A149" s="18" t="s">
        <v>140</v>
      </c>
      <c r="B149" s="19" t="str">
        <f>LEFT(Clean_Data!$A149,4)</f>
        <v>2015</v>
      </c>
      <c r="C149" s="19" t="s">
        <v>148</v>
      </c>
      <c r="D149" s="19" t="str">
        <f>IF(ISNUMBER(SEARCH("Final",Clean_Data!$C149)),"Final",
IF(ISNUMBER(SEARCH("Semi",Clean_Data!$C149)),"Semi-Final",
IF(ISNUMBER(SEARCH("Elimination",Clean_Data!$C149)),"Eliminator",
"League")))</f>
        <v>League</v>
      </c>
      <c r="E149" s="20" t="s">
        <v>390</v>
      </c>
      <c r="F149" s="19" t="s">
        <v>160</v>
      </c>
      <c r="G149" s="19">
        <v>166</v>
      </c>
      <c r="H149" s="19">
        <v>6</v>
      </c>
      <c r="I149" s="19" t="s">
        <v>174</v>
      </c>
      <c r="J149" s="19">
        <v>132</v>
      </c>
      <c r="K149" s="19">
        <v>10</v>
      </c>
      <c r="L149" s="19" t="s">
        <v>200</v>
      </c>
      <c r="M149" s="19" t="s">
        <v>160</v>
      </c>
      <c r="N149" s="19" t="s">
        <v>37</v>
      </c>
      <c r="O149" s="19" t="s">
        <v>193</v>
      </c>
      <c r="P149" s="19" t="str">
        <f>IF(Clean_Data!$G149&gt;Clean_Data!$J149,Clean_Data!$F149,Clean_Data!$I149)</f>
        <v>Dhaka Dynamites</v>
      </c>
      <c r="Q149" s="19" t="s">
        <v>28</v>
      </c>
      <c r="R149" s="19" t="s">
        <v>29</v>
      </c>
      <c r="S149" s="19">
        <v>0</v>
      </c>
      <c r="T149" s="19">
        <v>34</v>
      </c>
      <c r="U149" s="19" t="s">
        <v>303</v>
      </c>
      <c r="V149" s="19" t="str">
        <f>IF(Clean_Data!$T149&gt;0,"Runs","Wickets")</f>
        <v>Runs</v>
      </c>
      <c r="W149" s="19">
        <f>IF(Clean_Data!$T149&gt;0,Clean_Data!$T149,Clean_Data!$S149)</f>
        <v>34</v>
      </c>
      <c r="X149" s="19" t="str">
        <f>IF(Clean_Data!$W149&lt;=10,"Close Match","Normal")</f>
        <v>Normal</v>
      </c>
      <c r="Y149" s="19">
        <f>Clean_Data!$G149+Clean_Data!$J149</f>
        <v>298</v>
      </c>
      <c r="Z149" s="19" t="str">
        <f>IF(Clean_Data!$Y149&gt;=170,"170+ Match","Below 170")</f>
        <v>170+ Match</v>
      </c>
      <c r="AA149" s="19" t="s">
        <v>50</v>
      </c>
      <c r="AB149" s="21" t="s">
        <v>225</v>
      </c>
    </row>
    <row r="150" spans="1:28" x14ac:dyDescent="0.3">
      <c r="A150" s="16" t="s">
        <v>140</v>
      </c>
      <c r="B150" s="5" t="str">
        <f>LEFT(Clean_Data!$A150,4)</f>
        <v>2015</v>
      </c>
      <c r="C150" s="5" t="s">
        <v>156</v>
      </c>
      <c r="D150" s="5" t="str">
        <f>IF(ISNUMBER(SEARCH("Final",Clean_Data!$C150)),"Final",
IF(ISNUMBER(SEARCH("Semi",Clean_Data!$C150)),"Semi-Final",
IF(ISNUMBER(SEARCH("Elimination",Clean_Data!$C150)),"Eliminator",
"League")))</f>
        <v>League</v>
      </c>
      <c r="E150" s="6" t="s">
        <v>390</v>
      </c>
      <c r="F150" s="5" t="s">
        <v>113</v>
      </c>
      <c r="G150" s="5">
        <v>82</v>
      </c>
      <c r="H150" s="5">
        <v>10</v>
      </c>
      <c r="I150" s="5" t="s">
        <v>143</v>
      </c>
      <c r="J150" s="5">
        <v>84</v>
      </c>
      <c r="K150" s="5">
        <v>1</v>
      </c>
      <c r="L150" s="5" t="s">
        <v>134</v>
      </c>
      <c r="M150" s="5" t="s">
        <v>143</v>
      </c>
      <c r="N150" s="5" t="s">
        <v>26</v>
      </c>
      <c r="O150" s="5" t="s">
        <v>145</v>
      </c>
      <c r="P150" s="5" t="str">
        <f>IF(Clean_Data!$G150&gt;Clean_Data!$J150,Clean_Data!$F150,Clean_Data!$I150)</f>
        <v>Comilla Victorians</v>
      </c>
      <c r="Q150" s="5" t="s">
        <v>28</v>
      </c>
      <c r="R150" s="5" t="s">
        <v>29</v>
      </c>
      <c r="S150" s="5">
        <v>9</v>
      </c>
      <c r="T150" s="5">
        <v>0</v>
      </c>
      <c r="U150" s="5" t="s">
        <v>71</v>
      </c>
      <c r="V150" s="5" t="str">
        <f>IF(Clean_Data!$T150&gt;0,"Runs","Wickets")</f>
        <v>Wickets</v>
      </c>
      <c r="W150" s="5">
        <f>IF(Clean_Data!$T150&gt;0,Clean_Data!$T150,Clean_Data!$S150)</f>
        <v>9</v>
      </c>
      <c r="X150" s="5" t="str">
        <f>IF(Clean_Data!$W150&lt;=10,"Close Match","Normal")</f>
        <v>Close Match</v>
      </c>
      <c r="Y150" s="5">
        <f>Clean_Data!$G150+Clean_Data!$J150</f>
        <v>166</v>
      </c>
      <c r="Z150" s="5" t="str">
        <f>IF(Clean_Data!$Y150&gt;=170,"170+ Match","Below 170")</f>
        <v>Below 170</v>
      </c>
      <c r="AA150" s="5" t="s">
        <v>50</v>
      </c>
      <c r="AB150" s="17" t="s">
        <v>66</v>
      </c>
    </row>
    <row r="151" spans="1:28" x14ac:dyDescent="0.3">
      <c r="A151" s="18" t="s">
        <v>140</v>
      </c>
      <c r="B151" s="19" t="str">
        <f>LEFT(Clean_Data!$A151,4)</f>
        <v>2015</v>
      </c>
      <c r="C151" s="19" t="s">
        <v>163</v>
      </c>
      <c r="D151" s="19" t="str">
        <f>IF(ISNUMBER(SEARCH("Final",Clean_Data!$C151)),"Final",
IF(ISNUMBER(SEARCH("Semi",Clean_Data!$C151)),"Semi-Final",
IF(ISNUMBER(SEARCH("Elimination",Clean_Data!$C151)),"Eliminator",
"League")))</f>
        <v>League</v>
      </c>
      <c r="E151" s="20" t="s">
        <v>391</v>
      </c>
      <c r="F151" s="19" t="s">
        <v>179</v>
      </c>
      <c r="G151" s="19">
        <v>92</v>
      </c>
      <c r="H151" s="19">
        <v>10</v>
      </c>
      <c r="I151" s="19" t="s">
        <v>160</v>
      </c>
      <c r="J151" s="19">
        <v>96</v>
      </c>
      <c r="K151" s="19">
        <v>4</v>
      </c>
      <c r="L151" s="19" t="s">
        <v>392</v>
      </c>
      <c r="M151" s="19" t="s">
        <v>179</v>
      </c>
      <c r="N151" s="19" t="s">
        <v>37</v>
      </c>
      <c r="O151" s="19" t="s">
        <v>193</v>
      </c>
      <c r="P151" s="19" t="str">
        <f>IF(Clean_Data!$G151&gt;Clean_Data!$J151,Clean_Data!$F151,Clean_Data!$I151)</f>
        <v>Dhaka Dynamites</v>
      </c>
      <c r="Q151" s="19" t="s">
        <v>28</v>
      </c>
      <c r="R151" s="19" t="s">
        <v>29</v>
      </c>
      <c r="S151" s="19">
        <v>6</v>
      </c>
      <c r="T151" s="19">
        <v>0</v>
      </c>
      <c r="U151" s="19" t="s">
        <v>151</v>
      </c>
      <c r="V151" s="19" t="str">
        <f>IF(Clean_Data!$T151&gt;0,"Runs","Wickets")</f>
        <v>Wickets</v>
      </c>
      <c r="W151" s="19">
        <f>IF(Clean_Data!$T151&gt;0,Clean_Data!$T151,Clean_Data!$S151)</f>
        <v>6</v>
      </c>
      <c r="X151" s="19" t="str">
        <f>IF(Clean_Data!$W151&lt;=10,"Close Match","Normal")</f>
        <v>Close Match</v>
      </c>
      <c r="Y151" s="19">
        <f>Clean_Data!$G151+Clean_Data!$J151</f>
        <v>188</v>
      </c>
      <c r="Z151" s="19" t="str">
        <f>IF(Clean_Data!$Y151&gt;=170,"170+ Match","Below 170")</f>
        <v>170+ Match</v>
      </c>
      <c r="AA151" s="19" t="s">
        <v>147</v>
      </c>
      <c r="AB151" s="21" t="s">
        <v>44</v>
      </c>
    </row>
    <row r="152" spans="1:28" x14ac:dyDescent="0.3">
      <c r="A152" s="16" t="s">
        <v>140</v>
      </c>
      <c r="B152" s="5" t="str">
        <f>LEFT(Clean_Data!$A152,4)</f>
        <v>2015</v>
      </c>
      <c r="C152" s="5" t="s">
        <v>168</v>
      </c>
      <c r="D152" s="5" t="str">
        <f>IF(ISNUMBER(SEARCH("Final",Clean_Data!$C152)),"Final",
IF(ISNUMBER(SEARCH("Semi",Clean_Data!$C152)),"Semi-Final",
IF(ISNUMBER(SEARCH("Elimination",Clean_Data!$C152)),"Eliminator",
"League")))</f>
        <v>League</v>
      </c>
      <c r="E152" s="6" t="s">
        <v>391</v>
      </c>
      <c r="F152" s="5" t="s">
        <v>113</v>
      </c>
      <c r="G152" s="5">
        <v>109</v>
      </c>
      <c r="H152" s="5">
        <v>9</v>
      </c>
      <c r="I152" s="5" t="s">
        <v>174</v>
      </c>
      <c r="J152" s="5">
        <v>103</v>
      </c>
      <c r="K152" s="5">
        <v>10</v>
      </c>
      <c r="L152" s="5" t="s">
        <v>108</v>
      </c>
      <c r="M152" s="5" t="s">
        <v>113</v>
      </c>
      <c r="N152" s="5" t="s">
        <v>37</v>
      </c>
      <c r="O152" s="5" t="s">
        <v>189</v>
      </c>
      <c r="P152" s="5" t="str">
        <f>IF(Clean_Data!$G152&gt;Clean_Data!$J152,Clean_Data!$F152,Clean_Data!$I152)</f>
        <v>Rangpur Riders</v>
      </c>
      <c r="Q152" s="5" t="s">
        <v>28</v>
      </c>
      <c r="R152" s="5" t="s">
        <v>29</v>
      </c>
      <c r="S152" s="5">
        <v>0</v>
      </c>
      <c r="T152" s="5">
        <v>6</v>
      </c>
      <c r="U152" s="5" t="s">
        <v>315</v>
      </c>
      <c r="V152" s="5" t="str">
        <f>IF(Clean_Data!$T152&gt;0,"Runs","Wickets")</f>
        <v>Runs</v>
      </c>
      <c r="W152" s="5">
        <f>IF(Clean_Data!$T152&gt;0,Clean_Data!$T152,Clean_Data!$S152)</f>
        <v>6</v>
      </c>
      <c r="X152" s="5" t="str">
        <f>IF(Clean_Data!$W152&lt;=10,"Close Match","Normal")</f>
        <v>Close Match</v>
      </c>
      <c r="Y152" s="5">
        <f>Clean_Data!$G152+Clean_Data!$J152</f>
        <v>212</v>
      </c>
      <c r="Z152" s="5" t="str">
        <f>IF(Clean_Data!$Y152&gt;=170,"170+ Match","Below 170")</f>
        <v>170+ Match</v>
      </c>
      <c r="AA152" s="5" t="s">
        <v>44</v>
      </c>
      <c r="AB152" s="17" t="s">
        <v>225</v>
      </c>
    </row>
    <row r="153" spans="1:28" x14ac:dyDescent="0.3">
      <c r="A153" s="18" t="s">
        <v>140</v>
      </c>
      <c r="B153" s="19" t="str">
        <f>LEFT(Clean_Data!$A153,4)</f>
        <v>2015</v>
      </c>
      <c r="C153" s="19" t="s">
        <v>170</v>
      </c>
      <c r="D153" s="19" t="str">
        <f>IF(ISNUMBER(SEARCH("Final",Clean_Data!$C153)),"Final",
IF(ISNUMBER(SEARCH("Semi",Clean_Data!$C153)),"Semi-Final",
IF(ISNUMBER(SEARCH("Elimination",Clean_Data!$C153)),"Eliminator",
"League")))</f>
        <v>League</v>
      </c>
      <c r="E153" s="20" t="s">
        <v>393</v>
      </c>
      <c r="F153" s="19" t="s">
        <v>142</v>
      </c>
      <c r="G153" s="19">
        <v>89</v>
      </c>
      <c r="H153" s="19">
        <v>10</v>
      </c>
      <c r="I153" s="19" t="s">
        <v>143</v>
      </c>
      <c r="J153" s="19">
        <v>90</v>
      </c>
      <c r="K153" s="19">
        <v>2</v>
      </c>
      <c r="L153" s="19" t="s">
        <v>394</v>
      </c>
      <c r="M153" s="19" t="s">
        <v>142</v>
      </c>
      <c r="N153" s="19" t="s">
        <v>37</v>
      </c>
      <c r="O153" s="19" t="s">
        <v>145</v>
      </c>
      <c r="P153" s="19" t="str">
        <f>IF(Clean_Data!$G153&gt;Clean_Data!$J153,Clean_Data!$F153,Clean_Data!$I153)</f>
        <v>Comilla Victorians</v>
      </c>
      <c r="Q153" s="19" t="s">
        <v>28</v>
      </c>
      <c r="R153" s="19" t="s">
        <v>29</v>
      </c>
      <c r="S153" s="19">
        <v>8</v>
      </c>
      <c r="T153" s="19">
        <v>0</v>
      </c>
      <c r="U153" s="19" t="s">
        <v>30</v>
      </c>
      <c r="V153" s="19" t="str">
        <f>IF(Clean_Data!$T153&gt;0,"Runs","Wickets")</f>
        <v>Wickets</v>
      </c>
      <c r="W153" s="19">
        <f>IF(Clean_Data!$T153&gt;0,Clean_Data!$T153,Clean_Data!$S153)</f>
        <v>8</v>
      </c>
      <c r="X153" s="19" t="str">
        <f>IF(Clean_Data!$W153&lt;=10,"Close Match","Normal")</f>
        <v>Close Match</v>
      </c>
      <c r="Y153" s="19">
        <f>Clean_Data!$G153+Clean_Data!$J153</f>
        <v>179</v>
      </c>
      <c r="Z153" s="19" t="str">
        <f>IF(Clean_Data!$Y153&gt;=170,"170+ Match","Below 170")</f>
        <v>170+ Match</v>
      </c>
      <c r="AA153" s="19" t="s">
        <v>66</v>
      </c>
      <c r="AB153" s="21" t="s">
        <v>225</v>
      </c>
    </row>
    <row r="154" spans="1:28" x14ac:dyDescent="0.3">
      <c r="A154" s="16" t="s">
        <v>140</v>
      </c>
      <c r="B154" s="5" t="str">
        <f>LEFT(Clean_Data!$A154,4)</f>
        <v>2015</v>
      </c>
      <c r="C154" s="5" t="s">
        <v>176</v>
      </c>
      <c r="D154" s="5" t="str">
        <f>IF(ISNUMBER(SEARCH("Final",Clean_Data!$C154)),"Final",
IF(ISNUMBER(SEARCH("Semi",Clean_Data!$C154)),"Semi-Final",
IF(ISNUMBER(SEARCH("Elimination",Clean_Data!$C154)),"Eliminator",
"League")))</f>
        <v>League</v>
      </c>
      <c r="E154" s="6" t="s">
        <v>393</v>
      </c>
      <c r="F154" s="5" t="s">
        <v>113</v>
      </c>
      <c r="G154" s="5">
        <v>176</v>
      </c>
      <c r="H154" s="5">
        <v>6</v>
      </c>
      <c r="I154" s="5" t="s">
        <v>160</v>
      </c>
      <c r="J154" s="5">
        <v>107</v>
      </c>
      <c r="K154" s="5">
        <v>10</v>
      </c>
      <c r="L154" s="5" t="s">
        <v>108</v>
      </c>
      <c r="M154" s="5" t="s">
        <v>113</v>
      </c>
      <c r="N154" s="5" t="s">
        <v>37</v>
      </c>
      <c r="O154" s="5" t="s">
        <v>189</v>
      </c>
      <c r="P154" s="5" t="str">
        <f>IF(Clean_Data!$G154&gt;Clean_Data!$J154,Clean_Data!$F154,Clean_Data!$I154)</f>
        <v>Rangpur Riders</v>
      </c>
      <c r="Q154" s="5" t="s">
        <v>28</v>
      </c>
      <c r="R154" s="5" t="s">
        <v>29</v>
      </c>
      <c r="S154" s="5">
        <v>0</v>
      </c>
      <c r="T154" s="5">
        <v>69</v>
      </c>
      <c r="U154" s="5" t="s">
        <v>395</v>
      </c>
      <c r="V154" s="5" t="str">
        <f>IF(Clean_Data!$T154&gt;0,"Runs","Wickets")</f>
        <v>Runs</v>
      </c>
      <c r="W154" s="5">
        <f>IF(Clean_Data!$T154&gt;0,Clean_Data!$T154,Clean_Data!$S154)</f>
        <v>69</v>
      </c>
      <c r="X154" s="5" t="str">
        <f>IF(Clean_Data!$W154&lt;=10,"Close Match","Normal")</f>
        <v>Normal</v>
      </c>
      <c r="Y154" s="5">
        <f>Clean_Data!$G154+Clean_Data!$J154</f>
        <v>283</v>
      </c>
      <c r="Z154" s="5" t="str">
        <f>IF(Clean_Data!$Y154&gt;=170,"170+ Match","Below 170")</f>
        <v>170+ Match</v>
      </c>
      <c r="AA154" s="5" t="s">
        <v>32</v>
      </c>
      <c r="AB154" s="17" t="s">
        <v>50</v>
      </c>
    </row>
    <row r="155" spans="1:28" x14ac:dyDescent="0.3">
      <c r="A155" s="18" t="s">
        <v>140</v>
      </c>
      <c r="B155" s="19" t="str">
        <f>LEFT(Clean_Data!$A155,4)</f>
        <v>2015</v>
      </c>
      <c r="C155" s="19" t="s">
        <v>180</v>
      </c>
      <c r="D155" s="19" t="str">
        <f>IF(ISNUMBER(SEARCH("Final",Clean_Data!$C155)),"Final",
IF(ISNUMBER(SEARCH("Semi",Clean_Data!$C155)),"Semi-Final",
IF(ISNUMBER(SEARCH("Elimination",Clean_Data!$C155)),"Eliminator",
"League")))</f>
        <v>League</v>
      </c>
      <c r="E155" s="20" t="s">
        <v>396</v>
      </c>
      <c r="F155" s="19" t="s">
        <v>142</v>
      </c>
      <c r="G155" s="19">
        <v>108</v>
      </c>
      <c r="H155" s="19">
        <v>10</v>
      </c>
      <c r="I155" s="19" t="s">
        <v>174</v>
      </c>
      <c r="J155" s="19">
        <v>107</v>
      </c>
      <c r="K155" s="19">
        <v>9</v>
      </c>
      <c r="L155" s="19" t="s">
        <v>161</v>
      </c>
      <c r="M155" s="19" t="s">
        <v>142</v>
      </c>
      <c r="N155" s="19" t="s">
        <v>37</v>
      </c>
      <c r="O155" s="19" t="s">
        <v>155</v>
      </c>
      <c r="P155" s="19" t="str">
        <f>IF(Clean_Data!$G155&gt;Clean_Data!$J155,Clean_Data!$F155,Clean_Data!$I155)</f>
        <v>Barisal Bulls</v>
      </c>
      <c r="Q155" s="19" t="s">
        <v>28</v>
      </c>
      <c r="R155" s="19" t="s">
        <v>29</v>
      </c>
      <c r="S155" s="19">
        <v>0</v>
      </c>
      <c r="T155" s="19">
        <v>0</v>
      </c>
      <c r="U155" s="19" t="s">
        <v>269</v>
      </c>
      <c r="V155" s="19" t="str">
        <f>IF(Clean_Data!$T155&gt;0,"Runs","Wickets")</f>
        <v>Wickets</v>
      </c>
      <c r="W155" s="19">
        <f>IF(Clean_Data!$T155&gt;0,Clean_Data!$T155,Clean_Data!$S155)</f>
        <v>0</v>
      </c>
      <c r="X155" s="19" t="str">
        <f>IF(Clean_Data!$W155&lt;=10,"Close Match","Normal")</f>
        <v>Close Match</v>
      </c>
      <c r="Y155" s="19">
        <f>Clean_Data!$G155+Clean_Data!$J155</f>
        <v>215</v>
      </c>
      <c r="Z155" s="19" t="str">
        <f>IF(Clean_Data!$Y155&gt;=170,"170+ Match","Below 170")</f>
        <v>170+ Match</v>
      </c>
      <c r="AA155" s="19" t="s">
        <v>72</v>
      </c>
      <c r="AB155" s="21" t="s">
        <v>66</v>
      </c>
    </row>
    <row r="156" spans="1:28" x14ac:dyDescent="0.3">
      <c r="A156" s="16" t="s">
        <v>140</v>
      </c>
      <c r="B156" s="5" t="str">
        <f>LEFT(Clean_Data!$A156,4)</f>
        <v>2015</v>
      </c>
      <c r="C156" s="5" t="s">
        <v>186</v>
      </c>
      <c r="D156" s="5" t="str">
        <f>IF(ISNUMBER(SEARCH("Final",Clean_Data!$C156)),"Final",
IF(ISNUMBER(SEARCH("Semi",Clean_Data!$C156)),"Semi-Final",
IF(ISNUMBER(SEARCH("Elimination",Clean_Data!$C156)),"Eliminator",
"League")))</f>
        <v>League</v>
      </c>
      <c r="E156" s="6" t="s">
        <v>396</v>
      </c>
      <c r="F156" s="5" t="s">
        <v>179</v>
      </c>
      <c r="G156" s="5">
        <v>176</v>
      </c>
      <c r="H156" s="5">
        <v>4</v>
      </c>
      <c r="I156" s="5" t="s">
        <v>143</v>
      </c>
      <c r="J156" s="5">
        <v>177</v>
      </c>
      <c r="K156" s="5">
        <v>3</v>
      </c>
      <c r="L156" s="5" t="s">
        <v>397</v>
      </c>
      <c r="M156" s="5" t="s">
        <v>143</v>
      </c>
      <c r="N156" s="5" t="s">
        <v>26</v>
      </c>
      <c r="O156" s="5" t="s">
        <v>145</v>
      </c>
      <c r="P156" s="5" t="str">
        <f>IF(Clean_Data!$G156&gt;Clean_Data!$J156,Clean_Data!$F156,Clean_Data!$I156)</f>
        <v>Comilla Victorians</v>
      </c>
      <c r="Q156" s="5" t="s">
        <v>28</v>
      </c>
      <c r="R156" s="5" t="s">
        <v>29</v>
      </c>
      <c r="S156" s="5">
        <v>7</v>
      </c>
      <c r="T156" s="5">
        <v>0</v>
      </c>
      <c r="U156" s="5" t="s">
        <v>118</v>
      </c>
      <c r="V156" s="5" t="str">
        <f>IF(Clean_Data!$T156&gt;0,"Runs","Wickets")</f>
        <v>Wickets</v>
      </c>
      <c r="W156" s="5">
        <f>IF(Clean_Data!$T156&gt;0,Clean_Data!$T156,Clean_Data!$S156)</f>
        <v>7</v>
      </c>
      <c r="X156" s="5" t="str">
        <f>IF(Clean_Data!$W156&lt;=10,"Close Match","Normal")</f>
        <v>Close Match</v>
      </c>
      <c r="Y156" s="5">
        <f>Clean_Data!$G156+Clean_Data!$J156</f>
        <v>353</v>
      </c>
      <c r="Z156" s="5" t="str">
        <f>IF(Clean_Data!$Y156&gt;=170,"170+ Match","Below 170")</f>
        <v>170+ Match</v>
      </c>
      <c r="AA156" s="5" t="s">
        <v>72</v>
      </c>
      <c r="AB156" s="17" t="s">
        <v>147</v>
      </c>
    </row>
    <row r="157" spans="1:28" x14ac:dyDescent="0.3">
      <c r="A157" s="18" t="s">
        <v>140</v>
      </c>
      <c r="B157" s="19" t="str">
        <f>LEFT(Clean_Data!$A157,4)</f>
        <v>2015</v>
      </c>
      <c r="C157" s="19" t="s">
        <v>190</v>
      </c>
      <c r="D157" s="19" t="str">
        <f>IF(ISNUMBER(SEARCH("Final",Clean_Data!$C157)),"Final",
IF(ISNUMBER(SEARCH("Semi",Clean_Data!$C157)),"Semi-Final",
IF(ISNUMBER(SEARCH("Elimination",Clean_Data!$C157)),"Eliminator",
"League")))</f>
        <v>League</v>
      </c>
      <c r="E157" s="20" t="s">
        <v>398</v>
      </c>
      <c r="F157" s="19" t="s">
        <v>142</v>
      </c>
      <c r="G157" s="19">
        <v>155</v>
      </c>
      <c r="H157" s="19">
        <v>9</v>
      </c>
      <c r="I157" s="19" t="s">
        <v>113</v>
      </c>
      <c r="J157" s="19">
        <v>142</v>
      </c>
      <c r="K157" s="19">
        <v>10</v>
      </c>
      <c r="L157" s="19" t="s">
        <v>389</v>
      </c>
      <c r="M157" s="19" t="s">
        <v>113</v>
      </c>
      <c r="N157" s="19" t="s">
        <v>26</v>
      </c>
      <c r="O157" s="19" t="s">
        <v>155</v>
      </c>
      <c r="P157" s="19" t="str">
        <f>IF(Clean_Data!$G157&gt;Clean_Data!$J157,Clean_Data!$F157,Clean_Data!$I157)</f>
        <v>Barisal Bulls</v>
      </c>
      <c r="Q157" s="19" t="s">
        <v>28</v>
      </c>
      <c r="R157" s="19" t="s">
        <v>29</v>
      </c>
      <c r="S157" s="19">
        <v>0</v>
      </c>
      <c r="T157" s="19">
        <v>13</v>
      </c>
      <c r="U157" s="19" t="s">
        <v>81</v>
      </c>
      <c r="V157" s="19" t="str">
        <f>IF(Clean_Data!$T157&gt;0,"Runs","Wickets")</f>
        <v>Runs</v>
      </c>
      <c r="W157" s="19">
        <f>IF(Clean_Data!$T157&gt;0,Clean_Data!$T157,Clean_Data!$S157)</f>
        <v>13</v>
      </c>
      <c r="X157" s="19" t="str">
        <f>IF(Clean_Data!$W157&lt;=10,"Close Match","Normal")</f>
        <v>Normal</v>
      </c>
      <c r="Y157" s="19">
        <f>Clean_Data!$G157+Clean_Data!$J157</f>
        <v>297</v>
      </c>
      <c r="Z157" s="19" t="str">
        <f>IF(Clean_Data!$Y157&gt;=170,"170+ Match","Below 170")</f>
        <v>170+ Match</v>
      </c>
      <c r="AA157" s="19" t="s">
        <v>32</v>
      </c>
      <c r="AB157" s="21" t="s">
        <v>66</v>
      </c>
    </row>
    <row r="158" spans="1:28" x14ac:dyDescent="0.3">
      <c r="A158" s="16" t="s">
        <v>140</v>
      </c>
      <c r="B158" s="5" t="str">
        <f>LEFT(Clean_Data!$A158,4)</f>
        <v>2015</v>
      </c>
      <c r="C158" s="5" t="s">
        <v>195</v>
      </c>
      <c r="D158" s="5" t="str">
        <f>IF(ISNUMBER(SEARCH("Final",Clean_Data!$C158)),"Final",
IF(ISNUMBER(SEARCH("Semi",Clean_Data!$C158)),"Semi-Final",
IF(ISNUMBER(SEARCH("Elimination",Clean_Data!$C158)),"Eliminator",
"League")))</f>
        <v>League</v>
      </c>
      <c r="E158" s="6" t="s">
        <v>398</v>
      </c>
      <c r="F158" s="5" t="s">
        <v>179</v>
      </c>
      <c r="G158" s="5">
        <v>180</v>
      </c>
      <c r="H158" s="5">
        <v>5</v>
      </c>
      <c r="I158" s="5" t="s">
        <v>174</v>
      </c>
      <c r="J158" s="5">
        <v>179</v>
      </c>
      <c r="K158" s="5">
        <v>6</v>
      </c>
      <c r="L158" s="5" t="s">
        <v>399</v>
      </c>
      <c r="M158" s="5" t="s">
        <v>174</v>
      </c>
      <c r="N158" s="5" t="s">
        <v>26</v>
      </c>
      <c r="O158" s="5" t="s">
        <v>245</v>
      </c>
      <c r="P158" s="5" t="str">
        <f>IF(Clean_Data!$G158&gt;Clean_Data!$J158,Clean_Data!$F158,Clean_Data!$I158)</f>
        <v>Chittagong Vikings</v>
      </c>
      <c r="Q158" s="5" t="s">
        <v>28</v>
      </c>
      <c r="R158" s="5" t="s">
        <v>29</v>
      </c>
      <c r="S158" s="5">
        <v>0</v>
      </c>
      <c r="T158" s="5">
        <v>0</v>
      </c>
      <c r="U158" s="5" t="s">
        <v>269</v>
      </c>
      <c r="V158" s="5" t="str">
        <f>IF(Clean_Data!$T158&gt;0,"Runs","Wickets")</f>
        <v>Wickets</v>
      </c>
      <c r="W158" s="5">
        <f>IF(Clean_Data!$T158&gt;0,Clean_Data!$T158,Clean_Data!$S158)</f>
        <v>0</v>
      </c>
      <c r="X158" s="5" t="str">
        <f>IF(Clean_Data!$W158&lt;=10,"Close Match","Normal")</f>
        <v>Close Match</v>
      </c>
      <c r="Y158" s="5">
        <f>Clean_Data!$G158+Clean_Data!$J158</f>
        <v>359</v>
      </c>
      <c r="Z158" s="5" t="str">
        <f>IF(Clean_Data!$Y158&gt;=170,"170+ Match","Below 170")</f>
        <v>170+ Match</v>
      </c>
      <c r="AA158" s="5" t="s">
        <v>66</v>
      </c>
      <c r="AB158" s="17" t="s">
        <v>44</v>
      </c>
    </row>
    <row r="159" spans="1:28" x14ac:dyDescent="0.3">
      <c r="A159" s="18" t="s">
        <v>140</v>
      </c>
      <c r="B159" s="19" t="str">
        <f>LEFT(Clean_Data!$A159,4)</f>
        <v>2015</v>
      </c>
      <c r="C159" s="19" t="s">
        <v>33</v>
      </c>
      <c r="D159" s="19" t="str">
        <f>IF(ISNUMBER(SEARCH("Final",Clean_Data!$C159)),"Final",
IF(ISNUMBER(SEARCH("Semi",Clean_Data!$C159)),"Semi-Final",
IF(ISNUMBER(SEARCH("Elimination",Clean_Data!$C159)),"Eliminator",
"League")))</f>
        <v>League</v>
      </c>
      <c r="E159" s="20" t="s">
        <v>400</v>
      </c>
      <c r="F159" s="19" t="s">
        <v>143</v>
      </c>
      <c r="G159" s="19">
        <v>110</v>
      </c>
      <c r="H159" s="19">
        <v>8</v>
      </c>
      <c r="I159" s="19" t="s">
        <v>160</v>
      </c>
      <c r="J159" s="19">
        <v>112</v>
      </c>
      <c r="K159" s="19">
        <v>4</v>
      </c>
      <c r="L159" s="19" t="s">
        <v>401</v>
      </c>
      <c r="M159" s="19" t="s">
        <v>143</v>
      </c>
      <c r="N159" s="19" t="s">
        <v>37</v>
      </c>
      <c r="O159" s="19" t="s">
        <v>193</v>
      </c>
      <c r="P159" s="19" t="str">
        <f>IF(Clean_Data!$G159&gt;Clean_Data!$J159,Clean_Data!$F159,Clean_Data!$I159)</f>
        <v>Dhaka Dynamites</v>
      </c>
      <c r="Q159" s="19" t="s">
        <v>28</v>
      </c>
      <c r="R159" s="19" t="s">
        <v>29</v>
      </c>
      <c r="S159" s="19">
        <v>6</v>
      </c>
      <c r="T159" s="19">
        <v>0</v>
      </c>
      <c r="U159" s="19" t="s">
        <v>151</v>
      </c>
      <c r="V159" s="19" t="str">
        <f>IF(Clean_Data!$T159&gt;0,"Runs","Wickets")</f>
        <v>Wickets</v>
      </c>
      <c r="W159" s="19">
        <f>IF(Clean_Data!$T159&gt;0,Clean_Data!$T159,Clean_Data!$S159)</f>
        <v>6</v>
      </c>
      <c r="X159" s="19" t="str">
        <f>IF(Clean_Data!$W159&lt;=10,"Close Match","Normal")</f>
        <v>Close Match</v>
      </c>
      <c r="Y159" s="19">
        <f>Clean_Data!$G159+Clean_Data!$J159</f>
        <v>222</v>
      </c>
      <c r="Z159" s="19" t="str">
        <f>IF(Clean_Data!$Y159&gt;=170,"170+ Match","Below 170")</f>
        <v>170+ Match</v>
      </c>
      <c r="AA159" s="19" t="s">
        <v>32</v>
      </c>
      <c r="AB159" s="21" t="s">
        <v>147</v>
      </c>
    </row>
    <row r="160" spans="1:28" x14ac:dyDescent="0.3">
      <c r="A160" s="16" t="s">
        <v>140</v>
      </c>
      <c r="B160" s="5" t="str">
        <f>LEFT(Clean_Data!$A160,4)</f>
        <v>2015</v>
      </c>
      <c r="C160" s="5" t="s">
        <v>40</v>
      </c>
      <c r="D160" s="5" t="str">
        <f>IF(ISNUMBER(SEARCH("Final",Clean_Data!$C160)),"Final",
IF(ISNUMBER(SEARCH("Semi",Clean_Data!$C160)),"Semi-Final",
IF(ISNUMBER(SEARCH("Elimination",Clean_Data!$C160)),"Eliminator",
"League")))</f>
        <v>League</v>
      </c>
      <c r="E160" s="6" t="s">
        <v>400</v>
      </c>
      <c r="F160" s="5" t="s">
        <v>179</v>
      </c>
      <c r="G160" s="5">
        <v>187</v>
      </c>
      <c r="H160" s="5">
        <v>7</v>
      </c>
      <c r="I160" s="5" t="s">
        <v>113</v>
      </c>
      <c r="J160" s="5">
        <v>188</v>
      </c>
      <c r="K160" s="5">
        <v>8</v>
      </c>
      <c r="L160" s="5" t="s">
        <v>402</v>
      </c>
      <c r="M160" s="5" t="s">
        <v>179</v>
      </c>
      <c r="N160" s="5" t="s">
        <v>37</v>
      </c>
      <c r="O160" s="5" t="s">
        <v>189</v>
      </c>
      <c r="P160" s="5" t="str">
        <f>IF(Clean_Data!$G160&gt;Clean_Data!$J160,Clean_Data!$F160,Clean_Data!$I160)</f>
        <v>Rangpur Riders</v>
      </c>
      <c r="Q160" s="5" t="s">
        <v>28</v>
      </c>
      <c r="R160" s="5" t="s">
        <v>29</v>
      </c>
      <c r="S160" s="5">
        <v>2</v>
      </c>
      <c r="T160" s="5">
        <v>0</v>
      </c>
      <c r="U160" s="5" t="s">
        <v>281</v>
      </c>
      <c r="V160" s="5" t="str">
        <f>IF(Clean_Data!$T160&gt;0,"Runs","Wickets")</f>
        <v>Wickets</v>
      </c>
      <c r="W160" s="5">
        <f>IF(Clean_Data!$T160&gt;0,Clean_Data!$T160,Clean_Data!$S160)</f>
        <v>2</v>
      </c>
      <c r="X160" s="5" t="str">
        <f>IF(Clean_Data!$W160&lt;=10,"Close Match","Normal")</f>
        <v>Close Match</v>
      </c>
      <c r="Y160" s="5">
        <f>Clean_Data!$G160+Clean_Data!$J160</f>
        <v>375</v>
      </c>
      <c r="Z160" s="5" t="str">
        <f>IF(Clean_Data!$Y160&gt;=170,"170+ Match","Below 170")</f>
        <v>170+ Match</v>
      </c>
      <c r="AA160" s="5" t="s">
        <v>32</v>
      </c>
      <c r="AB160" s="17" t="s">
        <v>44</v>
      </c>
    </row>
    <row r="161" spans="1:28" x14ac:dyDescent="0.3">
      <c r="A161" s="18" t="s">
        <v>197</v>
      </c>
      <c r="B161" s="19" t="str">
        <f>LEFT(Clean_Data!$A161,4)</f>
        <v>2016</v>
      </c>
      <c r="C161" s="19" t="s">
        <v>321</v>
      </c>
      <c r="D161" s="19" t="str">
        <f>IF(ISNUMBER(SEARCH("Final",Clean_Data!$C161)),"Final",
IF(ISNUMBER(SEARCH("Semi",Clean_Data!$C161)),"Semi-Final",
IF(ISNUMBER(SEARCH("Elimination",Clean_Data!$C161)),"Eliminator",
"League")))</f>
        <v>League</v>
      </c>
      <c r="E161" s="20" t="s">
        <v>403</v>
      </c>
      <c r="F161" s="19" t="s">
        <v>142</v>
      </c>
      <c r="G161" s="19">
        <v>161</v>
      </c>
      <c r="H161" s="19">
        <v>4</v>
      </c>
      <c r="I161" s="19" t="s">
        <v>199</v>
      </c>
      <c r="J161" s="19">
        <v>144</v>
      </c>
      <c r="K161" s="19">
        <v>7</v>
      </c>
      <c r="L161" s="19" t="s">
        <v>288</v>
      </c>
      <c r="M161" s="19" t="s">
        <v>199</v>
      </c>
      <c r="N161" s="19" t="s">
        <v>26</v>
      </c>
      <c r="O161" s="19" t="s">
        <v>155</v>
      </c>
      <c r="P161" s="19" t="str">
        <f>IF(Clean_Data!$G161&gt;Clean_Data!$J161,Clean_Data!$F161,Clean_Data!$I161)</f>
        <v>Barisal Bulls</v>
      </c>
      <c r="Q161" s="19" t="s">
        <v>28</v>
      </c>
      <c r="R161" s="19" t="s">
        <v>29</v>
      </c>
      <c r="S161" s="19">
        <v>0</v>
      </c>
      <c r="T161" s="19">
        <v>17</v>
      </c>
      <c r="U161" s="19" t="s">
        <v>254</v>
      </c>
      <c r="V161" s="19" t="str">
        <f>IF(Clean_Data!$T161&gt;0,"Runs","Wickets")</f>
        <v>Runs</v>
      </c>
      <c r="W161" s="19">
        <f>IF(Clean_Data!$T161&gt;0,Clean_Data!$T161,Clean_Data!$S161)</f>
        <v>17</v>
      </c>
      <c r="X161" s="19" t="str">
        <f>IF(Clean_Data!$W161&lt;=10,"Close Match","Normal")</f>
        <v>Normal</v>
      </c>
      <c r="Y161" s="19">
        <f>Clean_Data!$G161+Clean_Data!$J161</f>
        <v>305</v>
      </c>
      <c r="Z161" s="19" t="str">
        <f>IF(Clean_Data!$Y161&gt;=170,"170+ Match","Below 170")</f>
        <v>170+ Match</v>
      </c>
      <c r="AA161" s="19" t="s">
        <v>50</v>
      </c>
      <c r="AB161" s="21" t="s">
        <v>147</v>
      </c>
    </row>
    <row r="162" spans="1:28" x14ac:dyDescent="0.3">
      <c r="A162" s="16" t="s">
        <v>197</v>
      </c>
      <c r="B162" s="5" t="str">
        <f>LEFT(Clean_Data!$A162,4)</f>
        <v>2016</v>
      </c>
      <c r="C162" s="5" t="s">
        <v>324</v>
      </c>
      <c r="D162" s="5" t="str">
        <f>IF(ISNUMBER(SEARCH("Final",Clean_Data!$C162)),"Final",
IF(ISNUMBER(SEARCH("Semi",Clean_Data!$C162)),"Semi-Final",
IF(ISNUMBER(SEARCH("Elimination",Clean_Data!$C162)),"Eliminator",
"League")))</f>
        <v>League</v>
      </c>
      <c r="E162" s="6" t="s">
        <v>404</v>
      </c>
      <c r="F162" s="5" t="s">
        <v>199</v>
      </c>
      <c r="G162" s="5">
        <v>124</v>
      </c>
      <c r="H162" s="5">
        <v>7</v>
      </c>
      <c r="I162" s="5" t="s">
        <v>143</v>
      </c>
      <c r="J162" s="5">
        <v>125</v>
      </c>
      <c r="K162" s="5">
        <v>2</v>
      </c>
      <c r="L162" s="5" t="s">
        <v>268</v>
      </c>
      <c r="M162" s="5" t="s">
        <v>199</v>
      </c>
      <c r="N162" s="5" t="s">
        <v>37</v>
      </c>
      <c r="O162" s="5" t="s">
        <v>145</v>
      </c>
      <c r="P162" s="5" t="str">
        <f>IF(Clean_Data!$G162&gt;Clean_Data!$J162,Clean_Data!$F162,Clean_Data!$I162)</f>
        <v>Comilla Victorians</v>
      </c>
      <c r="Q162" s="5" t="s">
        <v>28</v>
      </c>
      <c r="R162" s="5" t="s">
        <v>29</v>
      </c>
      <c r="S162" s="5">
        <v>8</v>
      </c>
      <c r="T162" s="5">
        <v>0</v>
      </c>
      <c r="U162" s="5" t="s">
        <v>30</v>
      </c>
      <c r="V162" s="5" t="str">
        <f>IF(Clean_Data!$T162&gt;0,"Runs","Wickets")</f>
        <v>Wickets</v>
      </c>
      <c r="W162" s="5">
        <f>IF(Clean_Data!$T162&gt;0,Clean_Data!$T162,Clean_Data!$S162)</f>
        <v>8</v>
      </c>
      <c r="X162" s="5" t="str">
        <f>IF(Clean_Data!$W162&lt;=10,"Close Match","Normal")</f>
        <v>Close Match</v>
      </c>
      <c r="Y162" s="5">
        <f>Clean_Data!$G162+Clean_Data!$J162</f>
        <v>249</v>
      </c>
      <c r="Z162" s="5" t="str">
        <f>IF(Clean_Data!$Y162&gt;=170,"170+ Match","Below 170")</f>
        <v>170+ Match</v>
      </c>
      <c r="AA162" s="5" t="s">
        <v>66</v>
      </c>
      <c r="AB162" s="17" t="s">
        <v>405</v>
      </c>
    </row>
    <row r="163" spans="1:28" x14ac:dyDescent="0.3">
      <c r="A163" s="18" t="s">
        <v>197</v>
      </c>
      <c r="B163" s="19" t="str">
        <f>LEFT(Clean_Data!$A163,4)</f>
        <v>2016</v>
      </c>
      <c r="C163" s="19" t="s">
        <v>326</v>
      </c>
      <c r="D163" s="19" t="str">
        <f>IF(ISNUMBER(SEARCH("Final",Clean_Data!$C163)),"Final",
IF(ISNUMBER(SEARCH("Semi",Clean_Data!$C163)),"Semi-Final",
IF(ISNUMBER(SEARCH("Elimination",Clean_Data!$C163)),"Eliminator",
"League")))</f>
        <v>League</v>
      </c>
      <c r="E163" s="20" t="s">
        <v>404</v>
      </c>
      <c r="F163" s="19" t="s">
        <v>160</v>
      </c>
      <c r="G163" s="19">
        <v>188</v>
      </c>
      <c r="H163" s="19">
        <v>7</v>
      </c>
      <c r="I163" s="19" t="s">
        <v>113</v>
      </c>
      <c r="J163" s="19">
        <v>146</v>
      </c>
      <c r="K163" s="19">
        <v>8</v>
      </c>
      <c r="L163" s="19" t="s">
        <v>259</v>
      </c>
      <c r="M163" s="19" t="s">
        <v>160</v>
      </c>
      <c r="N163" s="19" t="s">
        <v>37</v>
      </c>
      <c r="O163" s="19" t="s">
        <v>193</v>
      </c>
      <c r="P163" s="19" t="str">
        <f>IF(Clean_Data!$G163&gt;Clean_Data!$J163,Clean_Data!$F163,Clean_Data!$I163)</f>
        <v>Dhaka Dynamites</v>
      </c>
      <c r="Q163" s="19" t="s">
        <v>28</v>
      </c>
      <c r="R163" s="19" t="s">
        <v>29</v>
      </c>
      <c r="S163" s="19">
        <v>0</v>
      </c>
      <c r="T163" s="19">
        <v>42</v>
      </c>
      <c r="U163" s="19" t="s">
        <v>406</v>
      </c>
      <c r="V163" s="19" t="str">
        <f>IF(Clean_Data!$T163&gt;0,"Runs","Wickets")</f>
        <v>Runs</v>
      </c>
      <c r="W163" s="19">
        <f>IF(Clean_Data!$T163&gt;0,Clean_Data!$T163,Clean_Data!$S163)</f>
        <v>42</v>
      </c>
      <c r="X163" s="19" t="str">
        <f>IF(Clean_Data!$W163&lt;=10,"Close Match","Normal")</f>
        <v>Normal</v>
      </c>
      <c r="Y163" s="19">
        <f>Clean_Data!$G163+Clean_Data!$J163</f>
        <v>334</v>
      </c>
      <c r="Z163" s="19" t="str">
        <f>IF(Clean_Data!$Y163&gt;=170,"170+ Match","Below 170")</f>
        <v>170+ Match</v>
      </c>
      <c r="AA163" s="19" t="s">
        <v>202</v>
      </c>
      <c r="AB163" s="21" t="s">
        <v>39</v>
      </c>
    </row>
    <row r="164" spans="1:28" x14ac:dyDescent="0.3">
      <c r="A164" s="16" t="s">
        <v>197</v>
      </c>
      <c r="B164" s="5" t="str">
        <f>LEFT(Clean_Data!$A164,4)</f>
        <v>2016</v>
      </c>
      <c r="C164" s="5" t="s">
        <v>328</v>
      </c>
      <c r="D164" s="5" t="str">
        <f>IF(ISNUMBER(SEARCH("Final",Clean_Data!$C164)),"Final",
IF(ISNUMBER(SEARCH("Semi",Clean_Data!$C164)),"Semi-Final",
IF(ISNUMBER(SEARCH("Elimination",Clean_Data!$C164)),"Eliminator",
"League")))</f>
        <v>League</v>
      </c>
      <c r="E164" s="6" t="s">
        <v>407</v>
      </c>
      <c r="F164" s="5" t="s">
        <v>206</v>
      </c>
      <c r="G164" s="5">
        <v>131</v>
      </c>
      <c r="H164" s="5">
        <v>8</v>
      </c>
      <c r="I164" s="5" t="s">
        <v>179</v>
      </c>
      <c r="J164" s="5">
        <v>135</v>
      </c>
      <c r="K164" s="5">
        <v>5</v>
      </c>
      <c r="L164" s="5" t="s">
        <v>253</v>
      </c>
      <c r="M164" s="5" t="s">
        <v>206</v>
      </c>
      <c r="N164" s="5" t="s">
        <v>37</v>
      </c>
      <c r="O164" s="5" t="s">
        <v>245</v>
      </c>
      <c r="P164" s="5" t="str">
        <f>IF(Clean_Data!$G164&gt;Clean_Data!$J164,Clean_Data!$F164,Clean_Data!$I164)</f>
        <v>Chittagong Vikings</v>
      </c>
      <c r="Q164" s="5" t="s">
        <v>28</v>
      </c>
      <c r="R164" s="5" t="s">
        <v>29</v>
      </c>
      <c r="S164" s="5">
        <v>5</v>
      </c>
      <c r="T164" s="5">
        <v>0</v>
      </c>
      <c r="U164" s="5" t="s">
        <v>55</v>
      </c>
      <c r="V164" s="5" t="str">
        <f>IF(Clean_Data!$T164&gt;0,"Runs","Wickets")</f>
        <v>Wickets</v>
      </c>
      <c r="W164" s="5">
        <f>IF(Clean_Data!$T164&gt;0,Clean_Data!$T164,Clean_Data!$S164)</f>
        <v>5</v>
      </c>
      <c r="X164" s="5" t="str">
        <f>IF(Clean_Data!$W164&lt;=10,"Close Match","Normal")</f>
        <v>Close Match</v>
      </c>
      <c r="Y164" s="5">
        <f>Clean_Data!$G164+Clean_Data!$J164</f>
        <v>266</v>
      </c>
      <c r="Z164" s="5" t="str">
        <f>IF(Clean_Data!$Y164&gt;=170,"170+ Match","Below 170")</f>
        <v>170+ Match</v>
      </c>
      <c r="AA164" s="5" t="s">
        <v>56</v>
      </c>
      <c r="AB164" s="17" t="s">
        <v>147</v>
      </c>
    </row>
    <row r="165" spans="1:28" x14ac:dyDescent="0.3">
      <c r="A165" s="18" t="s">
        <v>197</v>
      </c>
      <c r="B165" s="19" t="str">
        <f>LEFT(Clean_Data!$A165,4)</f>
        <v>2016</v>
      </c>
      <c r="C165" s="19" t="s">
        <v>330</v>
      </c>
      <c r="D165" s="19" t="str">
        <f>IF(ISNUMBER(SEARCH("Final",Clean_Data!$C165)),"Final",
IF(ISNUMBER(SEARCH("Semi",Clean_Data!$C165)),"Semi-Final",
IF(ISNUMBER(SEARCH("Elimination",Clean_Data!$C165)),"Eliminator",
"League")))</f>
        <v>League</v>
      </c>
      <c r="E165" s="20" t="s">
        <v>407</v>
      </c>
      <c r="F165" s="19" t="s">
        <v>142</v>
      </c>
      <c r="G165" s="19">
        <v>142</v>
      </c>
      <c r="H165" s="19">
        <v>8</v>
      </c>
      <c r="I165" s="19" t="s">
        <v>143</v>
      </c>
      <c r="J165" s="19">
        <v>145</v>
      </c>
      <c r="K165" s="19">
        <v>2</v>
      </c>
      <c r="L165" s="19" t="s">
        <v>408</v>
      </c>
      <c r="M165" s="19" t="s">
        <v>142</v>
      </c>
      <c r="N165" s="19" t="s">
        <v>37</v>
      </c>
      <c r="O165" s="19" t="s">
        <v>145</v>
      </c>
      <c r="P165" s="19" t="str">
        <f>IF(Clean_Data!$G165&gt;Clean_Data!$J165,Clean_Data!$F165,Clean_Data!$I165)</f>
        <v>Comilla Victorians</v>
      </c>
      <c r="Q165" s="19" t="s">
        <v>28</v>
      </c>
      <c r="R165" s="19" t="s">
        <v>29</v>
      </c>
      <c r="S165" s="19">
        <v>8</v>
      </c>
      <c r="T165" s="19">
        <v>0</v>
      </c>
      <c r="U165" s="19" t="s">
        <v>30</v>
      </c>
      <c r="V165" s="19" t="str">
        <f>IF(Clean_Data!$T165&gt;0,"Runs","Wickets")</f>
        <v>Wickets</v>
      </c>
      <c r="W165" s="19">
        <f>IF(Clean_Data!$T165&gt;0,Clean_Data!$T165,Clean_Data!$S165)</f>
        <v>8</v>
      </c>
      <c r="X165" s="19" t="str">
        <f>IF(Clean_Data!$W165&lt;=10,"Close Match","Normal")</f>
        <v>Close Match</v>
      </c>
      <c r="Y165" s="19">
        <f>Clean_Data!$G165+Clean_Data!$J165</f>
        <v>287</v>
      </c>
      <c r="Z165" s="19" t="str">
        <f>IF(Clean_Data!$Y165&gt;=170,"170+ Match","Below 170")</f>
        <v>170+ Match</v>
      </c>
      <c r="AA165" s="19" t="s">
        <v>202</v>
      </c>
      <c r="AB165" s="21" t="s">
        <v>50</v>
      </c>
    </row>
    <row r="166" spans="1:28" x14ac:dyDescent="0.3">
      <c r="A166" s="16" t="s">
        <v>197</v>
      </c>
      <c r="B166" s="5" t="str">
        <f>LEFT(Clean_Data!$A166,4)</f>
        <v>2016</v>
      </c>
      <c r="C166" s="5" t="s">
        <v>334</v>
      </c>
      <c r="D166" s="5" t="str">
        <f>IF(ISNUMBER(SEARCH("Final",Clean_Data!$C166)),"Final",
IF(ISNUMBER(SEARCH("Semi",Clean_Data!$C166)),"Semi-Final",
IF(ISNUMBER(SEARCH("Elimination",Clean_Data!$C166)),"Eliminator",
"League")))</f>
        <v>League</v>
      </c>
      <c r="E166" s="6" t="s">
        <v>409</v>
      </c>
      <c r="F166" s="5" t="s">
        <v>199</v>
      </c>
      <c r="G166" s="5">
        <v>128</v>
      </c>
      <c r="H166" s="5">
        <v>7</v>
      </c>
      <c r="I166" s="5" t="s">
        <v>113</v>
      </c>
      <c r="J166" s="5">
        <v>79</v>
      </c>
      <c r="K166" s="5">
        <v>10</v>
      </c>
      <c r="L166" s="5" t="s">
        <v>410</v>
      </c>
      <c r="M166" s="5" t="s">
        <v>199</v>
      </c>
      <c r="N166" s="5" t="s">
        <v>37</v>
      </c>
      <c r="O166" s="5" t="s">
        <v>208</v>
      </c>
      <c r="P166" s="5" t="str">
        <f>IF(Clean_Data!$G166&gt;Clean_Data!$J166,Clean_Data!$F166,Clean_Data!$I166)</f>
        <v>Rajshahi Kings</v>
      </c>
      <c r="Q166" s="5" t="s">
        <v>28</v>
      </c>
      <c r="R166" s="5" t="s">
        <v>29</v>
      </c>
      <c r="S166" s="5">
        <v>0</v>
      </c>
      <c r="T166" s="5">
        <v>49</v>
      </c>
      <c r="U166" s="5" t="s">
        <v>411</v>
      </c>
      <c r="V166" s="5" t="str">
        <f>IF(Clean_Data!$T166&gt;0,"Runs","Wickets")</f>
        <v>Runs</v>
      </c>
      <c r="W166" s="5">
        <f>IF(Clean_Data!$T166&gt;0,Clean_Data!$T166,Clean_Data!$S166)</f>
        <v>49</v>
      </c>
      <c r="X166" s="5" t="str">
        <f>IF(Clean_Data!$W166&lt;=10,"Close Match","Normal")</f>
        <v>Normal</v>
      </c>
      <c r="Y166" s="5">
        <f>Clean_Data!$G166+Clean_Data!$J166</f>
        <v>207</v>
      </c>
      <c r="Z166" s="5" t="str">
        <f>IF(Clean_Data!$Y166&gt;=170,"170+ Match","Below 170")</f>
        <v>170+ Match</v>
      </c>
      <c r="AA166" s="5" t="s">
        <v>56</v>
      </c>
      <c r="AB166" s="17" t="s">
        <v>405</v>
      </c>
    </row>
    <row r="167" spans="1:28" x14ac:dyDescent="0.3">
      <c r="A167" s="18" t="s">
        <v>197</v>
      </c>
      <c r="B167" s="19" t="str">
        <f>LEFT(Clean_Data!$A167,4)</f>
        <v>2016</v>
      </c>
      <c r="C167" s="19" t="s">
        <v>336</v>
      </c>
      <c r="D167" s="19" t="str">
        <f>IF(ISNUMBER(SEARCH("Final",Clean_Data!$C167)),"Final",
IF(ISNUMBER(SEARCH("Semi",Clean_Data!$C167)),"Semi-Final",
IF(ISNUMBER(SEARCH("Elimination",Clean_Data!$C167)),"Eliminator",
"League")))</f>
        <v>League</v>
      </c>
      <c r="E167" s="20" t="s">
        <v>412</v>
      </c>
      <c r="F167" s="19" t="s">
        <v>113</v>
      </c>
      <c r="G167" s="19">
        <v>124</v>
      </c>
      <c r="H167" s="19">
        <v>6</v>
      </c>
      <c r="I167" s="19" t="s">
        <v>179</v>
      </c>
      <c r="J167" s="19">
        <v>128</v>
      </c>
      <c r="K167" s="19">
        <v>1</v>
      </c>
      <c r="L167" s="19" t="s">
        <v>253</v>
      </c>
      <c r="M167" s="19" t="s">
        <v>113</v>
      </c>
      <c r="N167" s="19" t="s">
        <v>37</v>
      </c>
      <c r="O167" s="19" t="s">
        <v>245</v>
      </c>
      <c r="P167" s="19" t="str">
        <f>IF(Clean_Data!$G167&gt;Clean_Data!$J167,Clean_Data!$F167,Clean_Data!$I167)</f>
        <v>Chittagong Vikings</v>
      </c>
      <c r="Q167" s="19" t="s">
        <v>28</v>
      </c>
      <c r="R167" s="19" t="s">
        <v>29</v>
      </c>
      <c r="S167" s="19">
        <v>9</v>
      </c>
      <c r="T167" s="19">
        <v>0</v>
      </c>
      <c r="U167" s="19" t="s">
        <v>71</v>
      </c>
      <c r="V167" s="19" t="str">
        <f>IF(Clean_Data!$T167&gt;0,"Runs","Wickets")</f>
        <v>Wickets</v>
      </c>
      <c r="W167" s="19">
        <f>IF(Clean_Data!$T167&gt;0,Clean_Data!$T167,Clean_Data!$S167)</f>
        <v>9</v>
      </c>
      <c r="X167" s="19" t="str">
        <f>IF(Clean_Data!$W167&lt;=10,"Close Match","Normal")</f>
        <v>Close Match</v>
      </c>
      <c r="Y167" s="19">
        <f>Clean_Data!$G167+Clean_Data!$J167</f>
        <v>252</v>
      </c>
      <c r="Z167" s="19" t="str">
        <f>IF(Clean_Data!$Y167&gt;=170,"170+ Match","Below 170")</f>
        <v>170+ Match</v>
      </c>
      <c r="AA167" s="19" t="s">
        <v>39</v>
      </c>
      <c r="AB167" s="21" t="s">
        <v>147</v>
      </c>
    </row>
    <row r="168" spans="1:28" x14ac:dyDescent="0.3">
      <c r="A168" s="16" t="s">
        <v>197</v>
      </c>
      <c r="B168" s="5" t="str">
        <f>LEFT(Clean_Data!$A168,4)</f>
        <v>2016</v>
      </c>
      <c r="C168" s="5" t="s">
        <v>45</v>
      </c>
      <c r="D168" s="5" t="str">
        <f>IF(ISNUMBER(SEARCH("Final",Clean_Data!$C168)),"Final",
IF(ISNUMBER(SEARCH("Semi",Clean_Data!$C168)),"Semi-Final",
IF(ISNUMBER(SEARCH("Elimination",Clean_Data!$C168)),"Eliminator",
"League")))</f>
        <v>League</v>
      </c>
      <c r="E168" s="6" t="s">
        <v>412</v>
      </c>
      <c r="F168" s="5" t="s">
        <v>142</v>
      </c>
      <c r="G168" s="5">
        <v>132</v>
      </c>
      <c r="H168" s="5">
        <v>6</v>
      </c>
      <c r="I168" s="5" t="s">
        <v>160</v>
      </c>
      <c r="J168" s="5">
        <v>135</v>
      </c>
      <c r="K168" s="5">
        <v>6</v>
      </c>
      <c r="L168" s="5" t="s">
        <v>108</v>
      </c>
      <c r="M168" s="5" t="s">
        <v>142</v>
      </c>
      <c r="N168" s="5" t="s">
        <v>37</v>
      </c>
      <c r="O168" s="5" t="s">
        <v>193</v>
      </c>
      <c r="P168" s="5" t="str">
        <f>IF(Clean_Data!$G168&gt;Clean_Data!$J168,Clean_Data!$F168,Clean_Data!$I168)</f>
        <v>Dhaka Dynamites</v>
      </c>
      <c r="Q168" s="5" t="s">
        <v>28</v>
      </c>
      <c r="R168" s="5" t="s">
        <v>29</v>
      </c>
      <c r="S168" s="5">
        <v>4</v>
      </c>
      <c r="T168" s="5">
        <v>0</v>
      </c>
      <c r="U168" s="5" t="s">
        <v>90</v>
      </c>
      <c r="V168" s="5" t="str">
        <f>IF(Clean_Data!$T168&gt;0,"Runs","Wickets")</f>
        <v>Wickets</v>
      </c>
      <c r="W168" s="5">
        <f>IF(Clean_Data!$T168&gt;0,Clean_Data!$T168,Clean_Data!$S168)</f>
        <v>4</v>
      </c>
      <c r="X168" s="5" t="str">
        <f>IF(Clean_Data!$W168&lt;=10,"Close Match","Normal")</f>
        <v>Close Match</v>
      </c>
      <c r="Y168" s="5">
        <f>Clean_Data!$G168+Clean_Data!$J168</f>
        <v>267</v>
      </c>
      <c r="Z168" s="5" t="str">
        <f>IF(Clean_Data!$Y168&gt;=170,"170+ Match","Below 170")</f>
        <v>170+ Match</v>
      </c>
      <c r="AA168" s="5" t="s">
        <v>202</v>
      </c>
      <c r="AB168" s="17" t="s">
        <v>66</v>
      </c>
    </row>
    <row r="169" spans="1:28" x14ac:dyDescent="0.3">
      <c r="A169" s="18" t="s">
        <v>197</v>
      </c>
      <c r="B169" s="19" t="str">
        <f>LEFT(Clean_Data!$A169,4)</f>
        <v>2016</v>
      </c>
      <c r="C169" s="19" t="s">
        <v>51</v>
      </c>
      <c r="D169" s="19" t="str">
        <f>IF(ISNUMBER(SEARCH("Final",Clean_Data!$C169)),"Final",
IF(ISNUMBER(SEARCH("Semi",Clean_Data!$C169)),"Semi-Final",
IF(ISNUMBER(SEARCH("Elimination",Clean_Data!$C169)),"Eliminator",
"League")))</f>
        <v>League</v>
      </c>
      <c r="E169" s="20" t="s">
        <v>413</v>
      </c>
      <c r="F169" s="19" t="s">
        <v>199</v>
      </c>
      <c r="G169" s="19">
        <v>154</v>
      </c>
      <c r="H169" s="19">
        <v>8</v>
      </c>
      <c r="I169" s="19" t="s">
        <v>206</v>
      </c>
      <c r="J169" s="19">
        <v>145</v>
      </c>
      <c r="K169" s="19">
        <v>6</v>
      </c>
      <c r="L169" s="19" t="s">
        <v>213</v>
      </c>
      <c r="M169" s="19" t="s">
        <v>199</v>
      </c>
      <c r="N169" s="19" t="s">
        <v>37</v>
      </c>
      <c r="O169" s="19" t="s">
        <v>208</v>
      </c>
      <c r="P169" s="19" t="str">
        <f>IF(Clean_Data!$G169&gt;Clean_Data!$J169,Clean_Data!$F169,Clean_Data!$I169)</f>
        <v>Rajshahi Kings</v>
      </c>
      <c r="Q169" s="19" t="s">
        <v>28</v>
      </c>
      <c r="R169" s="19" t="s">
        <v>29</v>
      </c>
      <c r="S169" s="19">
        <v>0</v>
      </c>
      <c r="T169" s="19">
        <v>9</v>
      </c>
      <c r="U169" s="19" t="s">
        <v>38</v>
      </c>
      <c r="V169" s="19" t="str">
        <f>IF(Clean_Data!$T169&gt;0,"Runs","Wickets")</f>
        <v>Runs</v>
      </c>
      <c r="W169" s="19">
        <f>IF(Clean_Data!$T169&gt;0,Clean_Data!$T169,Clean_Data!$S169)</f>
        <v>9</v>
      </c>
      <c r="X169" s="19" t="str">
        <f>IF(Clean_Data!$W169&lt;=10,"Close Match","Normal")</f>
        <v>Close Match</v>
      </c>
      <c r="Y169" s="19">
        <f>Clean_Data!$G169+Clean_Data!$J169</f>
        <v>299</v>
      </c>
      <c r="Z169" s="19" t="str">
        <f>IF(Clean_Data!$Y169&gt;=170,"170+ Match","Below 170")</f>
        <v>170+ Match</v>
      </c>
      <c r="AA169" s="19" t="s">
        <v>50</v>
      </c>
      <c r="AB169" s="21" t="s">
        <v>405</v>
      </c>
    </row>
    <row r="170" spans="1:28" x14ac:dyDescent="0.3">
      <c r="A170" s="16" t="s">
        <v>197</v>
      </c>
      <c r="B170" s="5" t="str">
        <f>LEFT(Clean_Data!$A170,4)</f>
        <v>2016</v>
      </c>
      <c r="C170" s="5" t="s">
        <v>58</v>
      </c>
      <c r="D170" s="5" t="str">
        <f>IF(ISNUMBER(SEARCH("Final",Clean_Data!$C170)),"Final",
IF(ISNUMBER(SEARCH("Semi",Clean_Data!$C170)),"Semi-Final",
IF(ISNUMBER(SEARCH("Elimination",Clean_Data!$C170)),"Eliminator",
"League")))</f>
        <v>League</v>
      </c>
      <c r="E170" s="6" t="s">
        <v>413</v>
      </c>
      <c r="F170" s="5" t="s">
        <v>160</v>
      </c>
      <c r="G170" s="5">
        <v>170</v>
      </c>
      <c r="H170" s="5">
        <v>4</v>
      </c>
      <c r="I170" s="5" t="s">
        <v>143</v>
      </c>
      <c r="J170" s="5">
        <v>138</v>
      </c>
      <c r="K170" s="5">
        <v>8</v>
      </c>
      <c r="L170" s="5" t="s">
        <v>108</v>
      </c>
      <c r="M170" s="5" t="s">
        <v>160</v>
      </c>
      <c r="N170" s="5" t="s">
        <v>37</v>
      </c>
      <c r="O170" s="5" t="s">
        <v>193</v>
      </c>
      <c r="P170" s="5" t="str">
        <f>IF(Clean_Data!$G170&gt;Clean_Data!$J170,Clean_Data!$F170,Clean_Data!$I170)</f>
        <v>Dhaka Dynamites</v>
      </c>
      <c r="Q170" s="5" t="s">
        <v>28</v>
      </c>
      <c r="R170" s="5" t="s">
        <v>29</v>
      </c>
      <c r="S170" s="5">
        <v>0</v>
      </c>
      <c r="T170" s="5">
        <v>32</v>
      </c>
      <c r="U170" s="5" t="s">
        <v>414</v>
      </c>
      <c r="V170" s="5" t="str">
        <f>IF(Clean_Data!$T170&gt;0,"Runs","Wickets")</f>
        <v>Runs</v>
      </c>
      <c r="W170" s="5">
        <f>IF(Clean_Data!$T170&gt;0,Clean_Data!$T170,Clean_Data!$S170)</f>
        <v>32</v>
      </c>
      <c r="X170" s="5" t="str">
        <f>IF(Clean_Data!$W170&lt;=10,"Close Match","Normal")</f>
        <v>Normal</v>
      </c>
      <c r="Y170" s="5">
        <f>Clean_Data!$G170+Clean_Data!$J170</f>
        <v>308</v>
      </c>
      <c r="Z170" s="5" t="str">
        <f>IF(Clean_Data!$Y170&gt;=170,"170+ Match","Below 170")</f>
        <v>170+ Match</v>
      </c>
      <c r="AA170" s="5" t="s">
        <v>202</v>
      </c>
      <c r="AB170" s="17" t="s">
        <v>39</v>
      </c>
    </row>
    <row r="171" spans="1:28" x14ac:dyDescent="0.3">
      <c r="A171" s="18" t="s">
        <v>197</v>
      </c>
      <c r="B171" s="19" t="str">
        <f>LEFT(Clean_Data!$A171,4)</f>
        <v>2016</v>
      </c>
      <c r="C171" s="19" t="s">
        <v>60</v>
      </c>
      <c r="D171" s="19" t="str">
        <f>IF(ISNUMBER(SEARCH("Final",Clean_Data!$C171)),"Final",
IF(ISNUMBER(SEARCH("Semi",Clean_Data!$C171)),"Semi-Final",
IF(ISNUMBER(SEARCH("Elimination",Clean_Data!$C171)),"Eliminator",
"League")))</f>
        <v>League</v>
      </c>
      <c r="E171" s="20" t="s">
        <v>415</v>
      </c>
      <c r="F171" s="19" t="s">
        <v>142</v>
      </c>
      <c r="G171" s="19">
        <v>119</v>
      </c>
      <c r="H171" s="19">
        <v>5</v>
      </c>
      <c r="I171" s="19" t="s">
        <v>206</v>
      </c>
      <c r="J171" s="19">
        <v>120</v>
      </c>
      <c r="K171" s="19">
        <v>4</v>
      </c>
      <c r="L171" s="19" t="s">
        <v>416</v>
      </c>
      <c r="M171" s="19" t="s">
        <v>142</v>
      </c>
      <c r="N171" s="19" t="s">
        <v>37</v>
      </c>
      <c r="O171" s="19" t="s">
        <v>215</v>
      </c>
      <c r="P171" s="19" t="str">
        <f>IF(Clean_Data!$G171&gt;Clean_Data!$J171,Clean_Data!$F171,Clean_Data!$I171)</f>
        <v>Khulna Titans</v>
      </c>
      <c r="Q171" s="19" t="s">
        <v>28</v>
      </c>
      <c r="R171" s="19" t="s">
        <v>29</v>
      </c>
      <c r="S171" s="19">
        <v>6</v>
      </c>
      <c r="T171" s="19">
        <v>0</v>
      </c>
      <c r="U171" s="19" t="s">
        <v>151</v>
      </c>
      <c r="V171" s="19" t="str">
        <f>IF(Clean_Data!$T171&gt;0,"Runs","Wickets")</f>
        <v>Wickets</v>
      </c>
      <c r="W171" s="19">
        <f>IF(Clean_Data!$T171&gt;0,Clean_Data!$T171,Clean_Data!$S171)</f>
        <v>6</v>
      </c>
      <c r="X171" s="19" t="str">
        <f>IF(Clean_Data!$W171&lt;=10,"Close Match","Normal")</f>
        <v>Close Match</v>
      </c>
      <c r="Y171" s="19">
        <f>Clean_Data!$G171+Clean_Data!$J171</f>
        <v>239</v>
      </c>
      <c r="Z171" s="19" t="str">
        <f>IF(Clean_Data!$Y171&gt;=170,"170+ Match","Below 170")</f>
        <v>170+ Match</v>
      </c>
      <c r="AA171" s="19" t="s">
        <v>72</v>
      </c>
      <c r="AB171" s="21" t="s">
        <v>202</v>
      </c>
    </row>
    <row r="172" spans="1:28" x14ac:dyDescent="0.3">
      <c r="A172" s="16" t="s">
        <v>197</v>
      </c>
      <c r="B172" s="5" t="str">
        <f>LEFT(Clean_Data!$A172,4)</f>
        <v>2016</v>
      </c>
      <c r="C172" s="5" t="s">
        <v>67</v>
      </c>
      <c r="D172" s="5" t="str">
        <f>IF(ISNUMBER(SEARCH("Final",Clean_Data!$C172)),"Final",
IF(ISNUMBER(SEARCH("Semi",Clean_Data!$C172)),"Semi-Final",
IF(ISNUMBER(SEARCH("Elimination",Clean_Data!$C172)),"Eliminator",
"League")))</f>
        <v>League</v>
      </c>
      <c r="E172" s="6" t="s">
        <v>415</v>
      </c>
      <c r="F172" s="5" t="s">
        <v>199</v>
      </c>
      <c r="G172" s="5">
        <v>162</v>
      </c>
      <c r="H172" s="5">
        <v>5</v>
      </c>
      <c r="I172" s="5" t="s">
        <v>113</v>
      </c>
      <c r="J172" s="5">
        <v>150</v>
      </c>
      <c r="K172" s="5">
        <v>5</v>
      </c>
      <c r="L172" s="5" t="s">
        <v>213</v>
      </c>
      <c r="M172" s="5" t="s">
        <v>113</v>
      </c>
      <c r="N172" s="5" t="s">
        <v>26</v>
      </c>
      <c r="O172" s="5" t="s">
        <v>208</v>
      </c>
      <c r="P172" s="5" t="str">
        <f>IF(Clean_Data!$G172&gt;Clean_Data!$J172,Clean_Data!$F172,Clean_Data!$I172)</f>
        <v>Rajshahi Kings</v>
      </c>
      <c r="Q172" s="5" t="s">
        <v>28</v>
      </c>
      <c r="R172" s="5" t="s">
        <v>29</v>
      </c>
      <c r="S172" s="5">
        <v>0</v>
      </c>
      <c r="T172" s="5">
        <v>12</v>
      </c>
      <c r="U172" s="5" t="s">
        <v>417</v>
      </c>
      <c r="V172" s="5" t="str">
        <f>IF(Clean_Data!$T172&gt;0,"Runs","Wickets")</f>
        <v>Runs</v>
      </c>
      <c r="W172" s="5">
        <f>IF(Clean_Data!$T172&gt;0,Clean_Data!$T172,Clean_Data!$S172)</f>
        <v>12</v>
      </c>
      <c r="X172" s="5" t="str">
        <f>IF(Clean_Data!$W172&lt;=10,"Close Match","Normal")</f>
        <v>Normal</v>
      </c>
      <c r="Y172" s="5">
        <f>Clean_Data!$G172+Clean_Data!$J172</f>
        <v>312</v>
      </c>
      <c r="Z172" s="5" t="str">
        <f>IF(Clean_Data!$Y172&gt;=170,"170+ Match","Below 170")</f>
        <v>170+ Match</v>
      </c>
      <c r="AA172" s="5" t="s">
        <v>147</v>
      </c>
      <c r="AB172" s="17" t="s">
        <v>44</v>
      </c>
    </row>
    <row r="173" spans="1:28" x14ac:dyDescent="0.3">
      <c r="A173" s="18" t="s">
        <v>197</v>
      </c>
      <c r="B173" s="19" t="str">
        <f>LEFT(Clean_Data!$A173,4)</f>
        <v>2016</v>
      </c>
      <c r="C173" s="19" t="s">
        <v>68</v>
      </c>
      <c r="D173" s="19" t="str">
        <f>IF(ISNUMBER(SEARCH("Final",Clean_Data!$C173)),"Final",
IF(ISNUMBER(SEARCH("Semi",Clean_Data!$C173)),"Semi-Final",
IF(ISNUMBER(SEARCH("Elimination",Clean_Data!$C173)),"Eliminator",
"League")))</f>
        <v>League</v>
      </c>
      <c r="E173" s="20" t="s">
        <v>418</v>
      </c>
      <c r="F173" s="19" t="s">
        <v>179</v>
      </c>
      <c r="G173" s="19">
        <v>185</v>
      </c>
      <c r="H173" s="19">
        <v>5</v>
      </c>
      <c r="I173" s="19" t="s">
        <v>142</v>
      </c>
      <c r="J173" s="19">
        <v>107</v>
      </c>
      <c r="K173" s="19">
        <v>10</v>
      </c>
      <c r="L173" s="19" t="s">
        <v>381</v>
      </c>
      <c r="M173" s="19" t="s">
        <v>179</v>
      </c>
      <c r="N173" s="19" t="s">
        <v>37</v>
      </c>
      <c r="O173" s="19" t="s">
        <v>245</v>
      </c>
      <c r="P173" s="19" t="str">
        <f>IF(Clean_Data!$G173&gt;Clean_Data!$J173,Clean_Data!$F173,Clean_Data!$I173)</f>
        <v>Chittagong Vikings</v>
      </c>
      <c r="Q173" s="19" t="s">
        <v>88</v>
      </c>
      <c r="R173" s="19" t="s">
        <v>89</v>
      </c>
      <c r="S173" s="19">
        <v>0</v>
      </c>
      <c r="T173" s="19">
        <v>78</v>
      </c>
      <c r="U173" s="19" t="s">
        <v>419</v>
      </c>
      <c r="V173" s="19" t="str">
        <f>IF(Clean_Data!$T173&gt;0,"Runs","Wickets")</f>
        <v>Runs</v>
      </c>
      <c r="W173" s="19">
        <f>IF(Clean_Data!$T173&gt;0,Clean_Data!$T173,Clean_Data!$S173)</f>
        <v>78</v>
      </c>
      <c r="X173" s="19" t="str">
        <f>IF(Clean_Data!$W173&lt;=10,"Close Match","Normal")</f>
        <v>Normal</v>
      </c>
      <c r="Y173" s="19">
        <f>Clean_Data!$G173+Clean_Data!$J173</f>
        <v>292</v>
      </c>
      <c r="Z173" s="19" t="str">
        <f>IF(Clean_Data!$Y173&gt;=170,"170+ Match","Below 170")</f>
        <v>170+ Match</v>
      </c>
      <c r="AA173" s="19" t="s">
        <v>56</v>
      </c>
      <c r="AB173" s="21" t="s">
        <v>147</v>
      </c>
    </row>
    <row r="174" spans="1:28" x14ac:dyDescent="0.3">
      <c r="A174" s="16" t="s">
        <v>197</v>
      </c>
      <c r="B174" s="5" t="str">
        <f>LEFT(Clean_Data!$A174,4)</f>
        <v>2016</v>
      </c>
      <c r="C174" s="5" t="s">
        <v>78</v>
      </c>
      <c r="D174" s="5" t="str">
        <f>IF(ISNUMBER(SEARCH("Final",Clean_Data!$C174)),"Final",
IF(ISNUMBER(SEARCH("Semi",Clean_Data!$C174)),"Semi-Final",
IF(ISNUMBER(SEARCH("Elimination",Clean_Data!$C174)),"Eliminator",
"League")))</f>
        <v>League</v>
      </c>
      <c r="E174" s="6" t="s">
        <v>418</v>
      </c>
      <c r="F174" s="5" t="s">
        <v>206</v>
      </c>
      <c r="G174" s="5">
        <v>125</v>
      </c>
      <c r="H174" s="5">
        <v>7</v>
      </c>
      <c r="I174" s="5" t="s">
        <v>113</v>
      </c>
      <c r="J174" s="5">
        <v>129</v>
      </c>
      <c r="K174" s="5">
        <v>3</v>
      </c>
      <c r="L174" s="5" t="s">
        <v>235</v>
      </c>
      <c r="M174" s="5" t="s">
        <v>206</v>
      </c>
      <c r="N174" s="5" t="s">
        <v>37</v>
      </c>
      <c r="O174" s="5" t="s">
        <v>189</v>
      </c>
      <c r="P174" s="5" t="str">
        <f>IF(Clean_Data!$G174&gt;Clean_Data!$J174,Clean_Data!$F174,Clean_Data!$I174)</f>
        <v>Rangpur Riders</v>
      </c>
      <c r="Q174" s="5" t="s">
        <v>88</v>
      </c>
      <c r="R174" s="5" t="s">
        <v>89</v>
      </c>
      <c r="S174" s="5">
        <v>7</v>
      </c>
      <c r="T174" s="5">
        <v>0</v>
      </c>
      <c r="U174" s="5" t="s">
        <v>118</v>
      </c>
      <c r="V174" s="5" t="str">
        <f>IF(Clean_Data!$T174&gt;0,"Runs","Wickets")</f>
        <v>Wickets</v>
      </c>
      <c r="W174" s="5">
        <f>IF(Clean_Data!$T174&gt;0,Clean_Data!$T174,Clean_Data!$S174)</f>
        <v>7</v>
      </c>
      <c r="X174" s="5" t="str">
        <f>IF(Clean_Data!$W174&lt;=10,"Close Match","Normal")</f>
        <v>Close Match</v>
      </c>
      <c r="Y174" s="5">
        <f>Clean_Data!$G174+Clean_Data!$J174</f>
        <v>254</v>
      </c>
      <c r="Z174" s="5" t="str">
        <f>IF(Clean_Data!$Y174&gt;=170,"170+ Match","Below 170")</f>
        <v>170+ Match</v>
      </c>
      <c r="AA174" s="5" t="s">
        <v>202</v>
      </c>
      <c r="AB174" s="17" t="s">
        <v>216</v>
      </c>
    </row>
    <row r="175" spans="1:28" x14ac:dyDescent="0.3">
      <c r="A175" s="18" t="s">
        <v>197</v>
      </c>
      <c r="B175" s="19" t="str">
        <f>LEFT(Clean_Data!$A175,4)</f>
        <v>2016</v>
      </c>
      <c r="C175" s="19" t="s">
        <v>85</v>
      </c>
      <c r="D175" s="19" t="str">
        <f>IF(ISNUMBER(SEARCH("Final",Clean_Data!$C175)),"Final",
IF(ISNUMBER(SEARCH("Semi",Clean_Data!$C175)),"Semi-Final",
IF(ISNUMBER(SEARCH("Elimination",Clean_Data!$C175)),"Eliminator",
"League")))</f>
        <v>League</v>
      </c>
      <c r="E175" s="20" t="s">
        <v>420</v>
      </c>
      <c r="F175" s="19" t="s">
        <v>143</v>
      </c>
      <c r="G175" s="19">
        <v>183</v>
      </c>
      <c r="H175" s="19">
        <v>3</v>
      </c>
      <c r="I175" s="19" t="s">
        <v>179</v>
      </c>
      <c r="J175" s="19">
        <v>186</v>
      </c>
      <c r="K175" s="19">
        <v>4</v>
      </c>
      <c r="L175" s="19" t="s">
        <v>356</v>
      </c>
      <c r="M175" s="19" t="s">
        <v>143</v>
      </c>
      <c r="N175" s="19" t="s">
        <v>37</v>
      </c>
      <c r="O175" s="19" t="s">
        <v>245</v>
      </c>
      <c r="P175" s="19" t="str">
        <f>IF(Clean_Data!$G175&gt;Clean_Data!$J175,Clean_Data!$F175,Clean_Data!$I175)</f>
        <v>Chittagong Vikings</v>
      </c>
      <c r="Q175" s="19" t="s">
        <v>88</v>
      </c>
      <c r="R175" s="19" t="s">
        <v>89</v>
      </c>
      <c r="S175" s="19">
        <v>6</v>
      </c>
      <c r="T175" s="19">
        <v>0</v>
      </c>
      <c r="U175" s="19" t="s">
        <v>151</v>
      </c>
      <c r="V175" s="19" t="str">
        <f>IF(Clean_Data!$T175&gt;0,"Runs","Wickets")</f>
        <v>Wickets</v>
      </c>
      <c r="W175" s="19">
        <f>IF(Clean_Data!$T175&gt;0,Clean_Data!$T175,Clean_Data!$S175)</f>
        <v>6</v>
      </c>
      <c r="X175" s="19" t="str">
        <f>IF(Clean_Data!$W175&lt;=10,"Close Match","Normal")</f>
        <v>Close Match</v>
      </c>
      <c r="Y175" s="19">
        <f>Clean_Data!$G175+Clean_Data!$J175</f>
        <v>369</v>
      </c>
      <c r="Z175" s="19" t="str">
        <f>IF(Clean_Data!$Y175&gt;=170,"170+ Match","Below 170")</f>
        <v>170+ Match</v>
      </c>
      <c r="AA175" s="19" t="s">
        <v>421</v>
      </c>
      <c r="AB175" s="21" t="s">
        <v>422</v>
      </c>
    </row>
    <row r="176" spans="1:28" x14ac:dyDescent="0.3">
      <c r="A176" s="16" t="s">
        <v>197</v>
      </c>
      <c r="B176" s="5" t="str">
        <f>LEFT(Clean_Data!$A176,4)</f>
        <v>2016</v>
      </c>
      <c r="C176" s="5" t="s">
        <v>91</v>
      </c>
      <c r="D176" s="5" t="str">
        <f>IF(ISNUMBER(SEARCH("Final",Clean_Data!$C176)),"Final",
IF(ISNUMBER(SEARCH("Semi",Clean_Data!$C176)),"Semi-Final",
IF(ISNUMBER(SEARCH("Elimination",Clean_Data!$C176)),"Eliminator",
"League")))</f>
        <v>League</v>
      </c>
      <c r="E176" s="6" t="s">
        <v>420</v>
      </c>
      <c r="F176" s="5" t="s">
        <v>160</v>
      </c>
      <c r="G176" s="5">
        <v>182</v>
      </c>
      <c r="H176" s="5">
        <v>4</v>
      </c>
      <c r="I176" s="5" t="s">
        <v>199</v>
      </c>
      <c r="J176" s="5">
        <v>184</v>
      </c>
      <c r="K176" s="5">
        <v>7</v>
      </c>
      <c r="L176" s="5" t="s">
        <v>207</v>
      </c>
      <c r="M176" s="5" t="s">
        <v>160</v>
      </c>
      <c r="N176" s="5" t="s">
        <v>37</v>
      </c>
      <c r="O176" s="5" t="s">
        <v>208</v>
      </c>
      <c r="P176" s="5" t="str">
        <f>IF(Clean_Data!$G176&gt;Clean_Data!$J176,Clean_Data!$F176,Clean_Data!$I176)</f>
        <v>Rajshahi Kings</v>
      </c>
      <c r="Q176" s="5" t="s">
        <v>88</v>
      </c>
      <c r="R176" s="5" t="s">
        <v>89</v>
      </c>
      <c r="S176" s="5">
        <v>3</v>
      </c>
      <c r="T176" s="5">
        <v>0</v>
      </c>
      <c r="U176" s="5" t="s">
        <v>49</v>
      </c>
      <c r="V176" s="5" t="str">
        <f>IF(Clean_Data!$T176&gt;0,"Runs","Wickets")</f>
        <v>Wickets</v>
      </c>
      <c r="W176" s="5">
        <f>IF(Clean_Data!$T176&gt;0,Clean_Data!$T176,Clean_Data!$S176)</f>
        <v>3</v>
      </c>
      <c r="X176" s="5" t="str">
        <f>IF(Clean_Data!$W176&lt;=10,"Close Match","Normal")</f>
        <v>Close Match</v>
      </c>
      <c r="Y176" s="5">
        <f>Clean_Data!$G176+Clean_Data!$J176</f>
        <v>366</v>
      </c>
      <c r="Z176" s="5" t="str">
        <f>IF(Clean_Data!$Y176&gt;=170,"170+ Match","Below 170")</f>
        <v>170+ Match</v>
      </c>
      <c r="AA176" s="5" t="s">
        <v>39</v>
      </c>
      <c r="AB176" s="17" t="s">
        <v>147</v>
      </c>
    </row>
    <row r="177" spans="1:28" x14ac:dyDescent="0.3">
      <c r="A177" s="18" t="s">
        <v>197</v>
      </c>
      <c r="B177" s="19" t="str">
        <f>LEFT(Clean_Data!$A177,4)</f>
        <v>2016</v>
      </c>
      <c r="C177" s="19" t="s">
        <v>95</v>
      </c>
      <c r="D177" s="19" t="str">
        <f>IF(ISNUMBER(SEARCH("Final",Clean_Data!$C177)),"Final",
IF(ISNUMBER(SEARCH("Semi",Clean_Data!$C177)),"Semi-Final",
IF(ISNUMBER(SEARCH("Elimination",Clean_Data!$C177)),"Eliminator",
"League")))</f>
        <v>League</v>
      </c>
      <c r="E177" s="20" t="s">
        <v>423</v>
      </c>
      <c r="F177" s="19" t="s">
        <v>206</v>
      </c>
      <c r="G177" s="19">
        <v>151</v>
      </c>
      <c r="H177" s="19">
        <v>7</v>
      </c>
      <c r="I177" s="19" t="s">
        <v>142</v>
      </c>
      <c r="J177" s="19">
        <v>129</v>
      </c>
      <c r="K177" s="19">
        <v>10</v>
      </c>
      <c r="L177" s="19" t="s">
        <v>157</v>
      </c>
      <c r="M177" s="19" t="s">
        <v>142</v>
      </c>
      <c r="N177" s="19" t="s">
        <v>26</v>
      </c>
      <c r="O177" s="19" t="s">
        <v>215</v>
      </c>
      <c r="P177" s="19" t="str">
        <f>IF(Clean_Data!$G177&gt;Clean_Data!$J177,Clean_Data!$F177,Clean_Data!$I177)</f>
        <v>Khulna Titans</v>
      </c>
      <c r="Q177" s="19" t="s">
        <v>88</v>
      </c>
      <c r="R177" s="19" t="s">
        <v>89</v>
      </c>
      <c r="S177" s="19">
        <v>0</v>
      </c>
      <c r="T177" s="19">
        <v>22</v>
      </c>
      <c r="U177" s="19" t="s">
        <v>192</v>
      </c>
      <c r="V177" s="19" t="str">
        <f>IF(Clean_Data!$T177&gt;0,"Runs","Wickets")</f>
        <v>Runs</v>
      </c>
      <c r="W177" s="19">
        <f>IF(Clean_Data!$T177&gt;0,Clean_Data!$T177,Clean_Data!$S177)</f>
        <v>22</v>
      </c>
      <c r="X177" s="19" t="str">
        <f>IF(Clean_Data!$W177&lt;=10,"Close Match","Normal")</f>
        <v>Normal</v>
      </c>
      <c r="Y177" s="19">
        <f>Clean_Data!$G177+Clean_Data!$J177</f>
        <v>280</v>
      </c>
      <c r="Z177" s="19" t="str">
        <f>IF(Clean_Data!$Y177&gt;=170,"170+ Match","Below 170")</f>
        <v>170+ Match</v>
      </c>
      <c r="AA177" s="19" t="s">
        <v>56</v>
      </c>
      <c r="AB177" s="21" t="s">
        <v>147</v>
      </c>
    </row>
    <row r="178" spans="1:28" x14ac:dyDescent="0.3">
      <c r="A178" s="16" t="s">
        <v>197</v>
      </c>
      <c r="B178" s="5" t="str">
        <f>LEFT(Clean_Data!$A178,4)</f>
        <v>2016</v>
      </c>
      <c r="C178" s="5" t="s">
        <v>104</v>
      </c>
      <c r="D178" s="5" t="str">
        <f>IF(ISNUMBER(SEARCH("Final",Clean_Data!$C178)),"Final",
IF(ISNUMBER(SEARCH("Semi",Clean_Data!$C178)),"Semi-Final",
IF(ISNUMBER(SEARCH("Elimination",Clean_Data!$C178)),"Eliminator",
"League")))</f>
        <v>League</v>
      </c>
      <c r="E178" s="6" t="s">
        <v>424</v>
      </c>
      <c r="F178" s="5" t="s">
        <v>143</v>
      </c>
      <c r="G178" s="5">
        <v>152</v>
      </c>
      <c r="H178" s="5">
        <v>5</v>
      </c>
      <c r="I178" s="5" t="s">
        <v>199</v>
      </c>
      <c r="J178" s="5">
        <v>120</v>
      </c>
      <c r="K178" s="5">
        <v>10</v>
      </c>
      <c r="L178" s="5" t="s">
        <v>70</v>
      </c>
      <c r="M178" s="5" t="s">
        <v>199</v>
      </c>
      <c r="N178" s="5" t="s">
        <v>26</v>
      </c>
      <c r="O178" s="5" t="s">
        <v>145</v>
      </c>
      <c r="P178" s="5" t="str">
        <f>IF(Clean_Data!$G178&gt;Clean_Data!$J178,Clean_Data!$F178,Clean_Data!$I178)</f>
        <v>Comilla Victorians</v>
      </c>
      <c r="Q178" s="5" t="s">
        <v>88</v>
      </c>
      <c r="R178" s="5" t="s">
        <v>89</v>
      </c>
      <c r="S178" s="5">
        <v>0</v>
      </c>
      <c r="T178" s="5">
        <v>32</v>
      </c>
      <c r="U178" s="5" t="s">
        <v>414</v>
      </c>
      <c r="V178" s="5" t="str">
        <f>IF(Clean_Data!$T178&gt;0,"Runs","Wickets")</f>
        <v>Runs</v>
      </c>
      <c r="W178" s="5">
        <f>IF(Clean_Data!$T178&gt;0,Clean_Data!$T178,Clean_Data!$S178)</f>
        <v>32</v>
      </c>
      <c r="X178" s="5" t="str">
        <f>IF(Clean_Data!$W178&lt;=10,"Close Match","Normal")</f>
        <v>Normal</v>
      </c>
      <c r="Y178" s="5">
        <f>Clean_Data!$G178+Clean_Data!$J178</f>
        <v>272</v>
      </c>
      <c r="Z178" s="5" t="str">
        <f>IF(Clean_Data!$Y178&gt;=170,"170+ Match","Below 170")</f>
        <v>170+ Match</v>
      </c>
      <c r="AA178" s="5" t="s">
        <v>39</v>
      </c>
      <c r="AB178" s="17" t="s">
        <v>147</v>
      </c>
    </row>
    <row r="179" spans="1:28" x14ac:dyDescent="0.3">
      <c r="A179" s="18" t="s">
        <v>197</v>
      </c>
      <c r="B179" s="19" t="str">
        <f>LEFT(Clean_Data!$A179,4)</f>
        <v>2016</v>
      </c>
      <c r="C179" s="19" t="s">
        <v>110</v>
      </c>
      <c r="D179" s="19" t="str">
        <f>IF(ISNUMBER(SEARCH("Final",Clean_Data!$C179)),"Final",
IF(ISNUMBER(SEARCH("Semi",Clean_Data!$C179)),"Semi-Final",
IF(ISNUMBER(SEARCH("Elimination",Clean_Data!$C179)),"Eliminator",
"League")))</f>
        <v>League</v>
      </c>
      <c r="E179" s="20" t="s">
        <v>424</v>
      </c>
      <c r="F179" s="19" t="s">
        <v>206</v>
      </c>
      <c r="G179" s="19">
        <v>157</v>
      </c>
      <c r="H179" s="19">
        <v>5</v>
      </c>
      <c r="I179" s="19" t="s">
        <v>160</v>
      </c>
      <c r="J179" s="19">
        <v>148</v>
      </c>
      <c r="K179" s="19">
        <v>10</v>
      </c>
      <c r="L179" s="19" t="s">
        <v>75</v>
      </c>
      <c r="M179" s="19" t="s">
        <v>206</v>
      </c>
      <c r="N179" s="19" t="s">
        <v>37</v>
      </c>
      <c r="O179" s="19" t="s">
        <v>215</v>
      </c>
      <c r="P179" s="19" t="str">
        <f>IF(Clean_Data!$G179&gt;Clean_Data!$J179,Clean_Data!$F179,Clean_Data!$I179)</f>
        <v>Khulna Titans</v>
      </c>
      <c r="Q179" s="19" t="s">
        <v>88</v>
      </c>
      <c r="R179" s="19" t="s">
        <v>89</v>
      </c>
      <c r="S179" s="19">
        <v>0</v>
      </c>
      <c r="T179" s="19">
        <v>9</v>
      </c>
      <c r="U179" s="19" t="s">
        <v>38</v>
      </c>
      <c r="V179" s="19" t="str">
        <f>IF(Clean_Data!$T179&gt;0,"Runs","Wickets")</f>
        <v>Runs</v>
      </c>
      <c r="W179" s="19">
        <f>IF(Clean_Data!$T179&gt;0,Clean_Data!$T179,Clean_Data!$S179)</f>
        <v>9</v>
      </c>
      <c r="X179" s="19" t="str">
        <f>IF(Clean_Data!$W179&lt;=10,"Close Match","Normal")</f>
        <v>Close Match</v>
      </c>
      <c r="Y179" s="19">
        <f>Clean_Data!$G179+Clean_Data!$J179</f>
        <v>305</v>
      </c>
      <c r="Z179" s="19" t="str">
        <f>IF(Clean_Data!$Y179&gt;=170,"170+ Match","Below 170")</f>
        <v>170+ Match</v>
      </c>
      <c r="AA179" s="19" t="s">
        <v>202</v>
      </c>
      <c r="AB179" s="21" t="s">
        <v>66</v>
      </c>
    </row>
    <row r="180" spans="1:28" x14ac:dyDescent="0.3">
      <c r="A180" s="16" t="s">
        <v>197</v>
      </c>
      <c r="B180" s="5" t="str">
        <f>LEFT(Clean_Data!$A180,4)</f>
        <v>2016</v>
      </c>
      <c r="C180" s="5" t="s">
        <v>116</v>
      </c>
      <c r="D180" s="5" t="str">
        <f>IF(ISNUMBER(SEARCH("Final",Clean_Data!$C180)),"Final",
IF(ISNUMBER(SEARCH("Semi",Clean_Data!$C180)),"Semi-Final",
IF(ISNUMBER(SEARCH("Elimination",Clean_Data!$C180)),"Eliminator",
"League")))</f>
        <v>League</v>
      </c>
      <c r="E180" s="6" t="s">
        <v>425</v>
      </c>
      <c r="F180" s="5" t="s">
        <v>143</v>
      </c>
      <c r="G180" s="5">
        <v>122</v>
      </c>
      <c r="H180" s="5">
        <v>5</v>
      </c>
      <c r="I180" s="5" t="s">
        <v>113</v>
      </c>
      <c r="J180" s="5">
        <v>126</v>
      </c>
      <c r="K180" s="5">
        <v>1</v>
      </c>
      <c r="L180" s="5" t="s">
        <v>221</v>
      </c>
      <c r="M180" s="5" t="s">
        <v>113</v>
      </c>
      <c r="N180" s="5" t="s">
        <v>26</v>
      </c>
      <c r="O180" s="5" t="s">
        <v>189</v>
      </c>
      <c r="P180" s="5" t="str">
        <f>IF(Clean_Data!$G180&gt;Clean_Data!$J180,Clean_Data!$F180,Clean_Data!$I180)</f>
        <v>Rangpur Riders</v>
      </c>
      <c r="Q180" s="5" t="s">
        <v>88</v>
      </c>
      <c r="R180" s="5" t="s">
        <v>89</v>
      </c>
      <c r="S180" s="5">
        <v>9</v>
      </c>
      <c r="T180" s="5">
        <v>0</v>
      </c>
      <c r="U180" s="5" t="s">
        <v>71</v>
      </c>
      <c r="V180" s="5" t="str">
        <f>IF(Clean_Data!$T180&gt;0,"Runs","Wickets")</f>
        <v>Wickets</v>
      </c>
      <c r="W180" s="5">
        <f>IF(Clean_Data!$T180&gt;0,Clean_Data!$T180,Clean_Data!$S180)</f>
        <v>9</v>
      </c>
      <c r="X180" s="5" t="str">
        <f>IF(Clean_Data!$W180&lt;=10,"Close Match","Normal")</f>
        <v>Close Match</v>
      </c>
      <c r="Y180" s="5">
        <f>Clean_Data!$G180+Clean_Data!$J180</f>
        <v>248</v>
      </c>
      <c r="Z180" s="5" t="str">
        <f>IF(Clean_Data!$Y180&gt;=170,"170+ Match","Below 170")</f>
        <v>170+ Match</v>
      </c>
      <c r="AA180" s="5" t="s">
        <v>147</v>
      </c>
      <c r="AB180" s="17" t="s">
        <v>225</v>
      </c>
    </row>
    <row r="181" spans="1:28" x14ac:dyDescent="0.3">
      <c r="A181" s="18" t="s">
        <v>197</v>
      </c>
      <c r="B181" s="19" t="str">
        <f>LEFT(Clean_Data!$A181,4)</f>
        <v>2016</v>
      </c>
      <c r="C181" s="19" t="s">
        <v>123</v>
      </c>
      <c r="D181" s="19" t="str">
        <f>IF(ISNUMBER(SEARCH("Final",Clean_Data!$C181)),"Final",
IF(ISNUMBER(SEARCH("Semi",Clean_Data!$C181)),"Semi-Final",
IF(ISNUMBER(SEARCH("Elimination",Clean_Data!$C181)),"Eliminator",
"League")))</f>
        <v>League</v>
      </c>
      <c r="E181" s="20" t="s">
        <v>425</v>
      </c>
      <c r="F181" s="19" t="s">
        <v>179</v>
      </c>
      <c r="G181" s="19">
        <v>190</v>
      </c>
      <c r="H181" s="19">
        <v>5</v>
      </c>
      <c r="I181" s="19" t="s">
        <v>199</v>
      </c>
      <c r="J181" s="19">
        <v>171</v>
      </c>
      <c r="K181" s="19">
        <v>9</v>
      </c>
      <c r="L181" s="19" t="s">
        <v>356</v>
      </c>
      <c r="M181" s="19" t="s">
        <v>199</v>
      </c>
      <c r="N181" s="19" t="s">
        <v>26</v>
      </c>
      <c r="O181" s="19" t="s">
        <v>245</v>
      </c>
      <c r="P181" s="19" t="str">
        <f>IF(Clean_Data!$G181&gt;Clean_Data!$J181,Clean_Data!$F181,Clean_Data!$I181)</f>
        <v>Chittagong Vikings</v>
      </c>
      <c r="Q181" s="19" t="s">
        <v>88</v>
      </c>
      <c r="R181" s="19" t="s">
        <v>89</v>
      </c>
      <c r="S181" s="19">
        <v>0</v>
      </c>
      <c r="T181" s="19">
        <v>19</v>
      </c>
      <c r="U181" s="19" t="s">
        <v>196</v>
      </c>
      <c r="V181" s="19" t="str">
        <f>IF(Clean_Data!$T181&gt;0,"Runs","Wickets")</f>
        <v>Runs</v>
      </c>
      <c r="W181" s="19">
        <f>IF(Clean_Data!$T181&gt;0,Clean_Data!$T181,Clean_Data!$S181)</f>
        <v>19</v>
      </c>
      <c r="X181" s="19" t="str">
        <f>IF(Clean_Data!$W181&lt;=10,"Close Match","Normal")</f>
        <v>Normal</v>
      </c>
      <c r="Y181" s="19">
        <f>Clean_Data!$G181+Clean_Data!$J181</f>
        <v>361</v>
      </c>
      <c r="Z181" s="19" t="str">
        <f>IF(Clean_Data!$Y181&gt;=170,"170+ Match","Below 170")</f>
        <v>170+ Match</v>
      </c>
      <c r="AA181" s="19" t="s">
        <v>202</v>
      </c>
      <c r="AB181" s="21" t="s">
        <v>39</v>
      </c>
    </row>
    <row r="182" spans="1:28" x14ac:dyDescent="0.3">
      <c r="A182" s="16" t="s">
        <v>197</v>
      </c>
      <c r="B182" s="5" t="str">
        <f>LEFT(Clean_Data!$A182,4)</f>
        <v>2016</v>
      </c>
      <c r="C182" s="5" t="s">
        <v>126</v>
      </c>
      <c r="D182" s="5" t="str">
        <f>IF(ISNUMBER(SEARCH("Final",Clean_Data!$C182)),"Final",
IF(ISNUMBER(SEARCH("Semi",Clean_Data!$C182)),"Semi-Final",
IF(ISNUMBER(SEARCH("Elimination",Clean_Data!$C182)),"Eliminator",
"League")))</f>
        <v>League</v>
      </c>
      <c r="E182" s="6" t="s">
        <v>426</v>
      </c>
      <c r="F182" s="5" t="s">
        <v>113</v>
      </c>
      <c r="G182" s="5">
        <v>175</v>
      </c>
      <c r="H182" s="5">
        <v>6</v>
      </c>
      <c r="I182" s="5" t="s">
        <v>142</v>
      </c>
      <c r="J182" s="5">
        <v>163</v>
      </c>
      <c r="K182" s="5">
        <v>10</v>
      </c>
      <c r="L182" s="5" t="s">
        <v>249</v>
      </c>
      <c r="M182" s="5" t="s">
        <v>142</v>
      </c>
      <c r="N182" s="5" t="s">
        <v>26</v>
      </c>
      <c r="O182" s="5" t="s">
        <v>189</v>
      </c>
      <c r="P182" s="5" t="str">
        <f>IF(Clean_Data!$G182&gt;Clean_Data!$J182,Clean_Data!$F182,Clean_Data!$I182)</f>
        <v>Rangpur Riders</v>
      </c>
      <c r="Q182" s="5" t="s">
        <v>88</v>
      </c>
      <c r="R182" s="5" t="s">
        <v>89</v>
      </c>
      <c r="S182" s="5">
        <v>0</v>
      </c>
      <c r="T182" s="5">
        <v>12</v>
      </c>
      <c r="U182" s="5" t="s">
        <v>417</v>
      </c>
      <c r="V182" s="5" t="str">
        <f>IF(Clean_Data!$T182&gt;0,"Runs","Wickets")</f>
        <v>Runs</v>
      </c>
      <c r="W182" s="5">
        <f>IF(Clean_Data!$T182&gt;0,Clean_Data!$T182,Clean_Data!$S182)</f>
        <v>12</v>
      </c>
      <c r="X182" s="5" t="str">
        <f>IF(Clean_Data!$W182&lt;=10,"Close Match","Normal")</f>
        <v>Normal</v>
      </c>
      <c r="Y182" s="5">
        <f>Clean_Data!$G182+Clean_Data!$J182</f>
        <v>338</v>
      </c>
      <c r="Z182" s="5" t="str">
        <f>IF(Clean_Data!$Y182&gt;=170,"170+ Match","Below 170")</f>
        <v>170+ Match</v>
      </c>
      <c r="AA182" s="5" t="s">
        <v>202</v>
      </c>
      <c r="AB182" s="17" t="s">
        <v>66</v>
      </c>
    </row>
    <row r="183" spans="1:28" x14ac:dyDescent="0.3">
      <c r="A183" s="18" t="s">
        <v>197</v>
      </c>
      <c r="B183" s="19" t="str">
        <f>LEFT(Clean_Data!$A183,4)</f>
        <v>2016</v>
      </c>
      <c r="C183" s="19" t="s">
        <v>132</v>
      </c>
      <c r="D183" s="19" t="str">
        <f>IF(ISNUMBER(SEARCH("Final",Clean_Data!$C183)),"Final",
IF(ISNUMBER(SEARCH("Semi",Clean_Data!$C183)),"Semi-Final",
IF(ISNUMBER(SEARCH("Elimination",Clean_Data!$C183)),"Eliminator",
"League")))</f>
        <v>League</v>
      </c>
      <c r="E183" s="20" t="s">
        <v>426</v>
      </c>
      <c r="F183" s="19" t="s">
        <v>160</v>
      </c>
      <c r="G183" s="19">
        <v>148</v>
      </c>
      <c r="H183" s="19">
        <v>9</v>
      </c>
      <c r="I183" s="19" t="s">
        <v>179</v>
      </c>
      <c r="J183" s="19">
        <v>129</v>
      </c>
      <c r="K183" s="19">
        <v>8</v>
      </c>
      <c r="L183" s="19" t="s">
        <v>427</v>
      </c>
      <c r="M183" s="19" t="s">
        <v>179</v>
      </c>
      <c r="N183" s="19" t="s">
        <v>26</v>
      </c>
      <c r="O183" s="19" t="s">
        <v>193</v>
      </c>
      <c r="P183" s="19" t="str">
        <f>IF(Clean_Data!$G183&gt;Clean_Data!$J183,Clean_Data!$F183,Clean_Data!$I183)</f>
        <v>Dhaka Dynamites</v>
      </c>
      <c r="Q183" s="19" t="s">
        <v>88</v>
      </c>
      <c r="R183" s="19" t="s">
        <v>89</v>
      </c>
      <c r="S183" s="19">
        <v>0</v>
      </c>
      <c r="T183" s="19">
        <v>19</v>
      </c>
      <c r="U183" s="19" t="s">
        <v>196</v>
      </c>
      <c r="V183" s="19" t="str">
        <f>IF(Clean_Data!$T183&gt;0,"Runs","Wickets")</f>
        <v>Runs</v>
      </c>
      <c r="W183" s="19">
        <f>IF(Clean_Data!$T183&gt;0,Clean_Data!$T183,Clean_Data!$S183)</f>
        <v>19</v>
      </c>
      <c r="X183" s="19" t="str">
        <f>IF(Clean_Data!$W183&lt;=10,"Close Match","Normal")</f>
        <v>Normal</v>
      </c>
      <c r="Y183" s="19">
        <f>Clean_Data!$G183+Clean_Data!$J183</f>
        <v>277</v>
      </c>
      <c r="Z183" s="19" t="str">
        <f>IF(Clean_Data!$Y183&gt;=170,"170+ Match","Below 170")</f>
        <v>170+ Match</v>
      </c>
      <c r="AA183" s="19" t="s">
        <v>39</v>
      </c>
      <c r="AB183" s="21" t="s">
        <v>147</v>
      </c>
    </row>
    <row r="184" spans="1:28" x14ac:dyDescent="0.3">
      <c r="A184" s="16" t="s">
        <v>197</v>
      </c>
      <c r="B184" s="5" t="str">
        <f>LEFT(Clean_Data!$A184,4)</f>
        <v>2016</v>
      </c>
      <c r="C184" s="5" t="s">
        <v>138</v>
      </c>
      <c r="D184" s="5" t="str">
        <f>IF(ISNUMBER(SEARCH("Final",Clean_Data!$C184)),"Final",
IF(ISNUMBER(SEARCH("Semi",Clean_Data!$C184)),"Semi-Final",
IF(ISNUMBER(SEARCH("Elimination",Clean_Data!$C184)),"Eliminator",
"League")))</f>
        <v>League</v>
      </c>
      <c r="E184" s="6" t="s">
        <v>428</v>
      </c>
      <c r="F184" s="5" t="s">
        <v>160</v>
      </c>
      <c r="G184" s="5">
        <v>194</v>
      </c>
      <c r="H184" s="5">
        <v>5</v>
      </c>
      <c r="I184" s="5" t="s">
        <v>143</v>
      </c>
      <c r="J184" s="5">
        <v>161</v>
      </c>
      <c r="K184" s="5">
        <v>9</v>
      </c>
      <c r="L184" s="5" t="s">
        <v>370</v>
      </c>
      <c r="M184" s="5" t="s">
        <v>143</v>
      </c>
      <c r="N184" s="5" t="s">
        <v>26</v>
      </c>
      <c r="O184" s="5" t="s">
        <v>193</v>
      </c>
      <c r="P184" s="5" t="str">
        <f>IF(Clean_Data!$G184&gt;Clean_Data!$J184,Clean_Data!$F184,Clean_Data!$I184)</f>
        <v>Dhaka Dynamites</v>
      </c>
      <c r="Q184" s="5" t="s">
        <v>28</v>
      </c>
      <c r="R184" s="5" t="s">
        <v>29</v>
      </c>
      <c r="S184" s="5">
        <v>0</v>
      </c>
      <c r="T184" s="5">
        <v>33</v>
      </c>
      <c r="U184" s="5" t="s">
        <v>131</v>
      </c>
      <c r="V184" s="5" t="str">
        <f>IF(Clean_Data!$T184&gt;0,"Runs","Wickets")</f>
        <v>Runs</v>
      </c>
      <c r="W184" s="5">
        <f>IF(Clean_Data!$T184&gt;0,Clean_Data!$T184,Clean_Data!$S184)</f>
        <v>33</v>
      </c>
      <c r="X184" s="5" t="str">
        <f>IF(Clean_Data!$W184&lt;=10,"Close Match","Normal")</f>
        <v>Normal</v>
      </c>
      <c r="Y184" s="5">
        <f>Clean_Data!$G184+Clean_Data!$J184</f>
        <v>355</v>
      </c>
      <c r="Z184" s="5" t="str">
        <f>IF(Clean_Data!$Y184&gt;=170,"170+ Match","Below 170")</f>
        <v>170+ Match</v>
      </c>
      <c r="AA184" s="5" t="s">
        <v>39</v>
      </c>
      <c r="AB184" s="17" t="s">
        <v>147</v>
      </c>
    </row>
    <row r="185" spans="1:28" x14ac:dyDescent="0.3">
      <c r="A185" s="18" t="s">
        <v>197</v>
      </c>
      <c r="B185" s="19" t="str">
        <f>LEFT(Clean_Data!$A185,4)</f>
        <v>2016</v>
      </c>
      <c r="C185" s="19" t="s">
        <v>148</v>
      </c>
      <c r="D185" s="19" t="str">
        <f>IF(ISNUMBER(SEARCH("Final",Clean_Data!$C185)),"Final",
IF(ISNUMBER(SEARCH("Semi",Clean_Data!$C185)),"Semi-Final",
IF(ISNUMBER(SEARCH("Elimination",Clean_Data!$C185)),"Eliminator",
"League")))</f>
        <v>League</v>
      </c>
      <c r="E185" s="20" t="s">
        <v>428</v>
      </c>
      <c r="F185" s="19" t="s">
        <v>179</v>
      </c>
      <c r="G185" s="19">
        <v>163</v>
      </c>
      <c r="H185" s="19">
        <v>3</v>
      </c>
      <c r="I185" s="19" t="s">
        <v>142</v>
      </c>
      <c r="J185" s="19">
        <v>167</v>
      </c>
      <c r="K185" s="19">
        <v>3</v>
      </c>
      <c r="L185" s="19" t="s">
        <v>429</v>
      </c>
      <c r="M185" s="19" t="s">
        <v>142</v>
      </c>
      <c r="N185" s="19" t="s">
        <v>26</v>
      </c>
      <c r="O185" s="19" t="s">
        <v>155</v>
      </c>
      <c r="P185" s="19" t="str">
        <f>IF(Clean_Data!$G185&gt;Clean_Data!$J185,Clean_Data!$F185,Clean_Data!$I185)</f>
        <v>Barisal Bulls</v>
      </c>
      <c r="Q185" s="19" t="s">
        <v>28</v>
      </c>
      <c r="R185" s="19" t="s">
        <v>29</v>
      </c>
      <c r="S185" s="19">
        <v>7</v>
      </c>
      <c r="T185" s="19">
        <v>0</v>
      </c>
      <c r="U185" s="19" t="s">
        <v>118</v>
      </c>
      <c r="V185" s="19" t="str">
        <f>IF(Clean_Data!$T185&gt;0,"Runs","Wickets")</f>
        <v>Wickets</v>
      </c>
      <c r="W185" s="19">
        <f>IF(Clean_Data!$T185&gt;0,Clean_Data!$T185,Clean_Data!$S185)</f>
        <v>7</v>
      </c>
      <c r="X185" s="19" t="str">
        <f>IF(Clean_Data!$W185&lt;=10,"Close Match","Normal")</f>
        <v>Close Match</v>
      </c>
      <c r="Y185" s="19">
        <f>Clean_Data!$G185+Clean_Data!$J185</f>
        <v>330</v>
      </c>
      <c r="Z185" s="19" t="str">
        <f>IF(Clean_Data!$Y185&gt;=170,"170+ Match","Below 170")</f>
        <v>170+ Match</v>
      </c>
      <c r="AA185" s="19" t="s">
        <v>202</v>
      </c>
      <c r="AB185" s="21" t="s">
        <v>225</v>
      </c>
    </row>
    <row r="186" spans="1:28" x14ac:dyDescent="0.3">
      <c r="A186" s="16" t="s">
        <v>197</v>
      </c>
      <c r="B186" s="5" t="str">
        <f>LEFT(Clean_Data!$A186,4)</f>
        <v>2016</v>
      </c>
      <c r="C186" s="5" t="s">
        <v>156</v>
      </c>
      <c r="D186" s="5" t="str">
        <f>IF(ISNUMBER(SEARCH("Final",Clean_Data!$C186)),"Final",
IF(ISNUMBER(SEARCH("Semi",Clean_Data!$C186)),"Semi-Final",
IF(ISNUMBER(SEARCH("Elimination",Clean_Data!$C186)),"Eliminator",
"League")))</f>
        <v>League</v>
      </c>
      <c r="E186" s="6" t="s">
        <v>430</v>
      </c>
      <c r="F186" s="5" t="s">
        <v>206</v>
      </c>
      <c r="G186" s="5">
        <v>144</v>
      </c>
      <c r="H186" s="5">
        <v>9</v>
      </c>
      <c r="I186" s="5" t="s">
        <v>143</v>
      </c>
      <c r="J186" s="5">
        <v>131</v>
      </c>
      <c r="K186" s="5">
        <v>9</v>
      </c>
      <c r="L186" s="5" t="s">
        <v>399</v>
      </c>
      <c r="M186" s="5" t="s">
        <v>143</v>
      </c>
      <c r="N186" s="5" t="s">
        <v>26</v>
      </c>
      <c r="O186" s="5" t="s">
        <v>215</v>
      </c>
      <c r="P186" s="5" t="str">
        <f>IF(Clean_Data!$G186&gt;Clean_Data!$J186,Clean_Data!$F186,Clean_Data!$I186)</f>
        <v>Khulna Titans</v>
      </c>
      <c r="Q186" s="5" t="s">
        <v>28</v>
      </c>
      <c r="R186" s="5" t="s">
        <v>29</v>
      </c>
      <c r="S186" s="5">
        <v>0</v>
      </c>
      <c r="T186" s="5">
        <v>13</v>
      </c>
      <c r="U186" s="5" t="s">
        <v>81</v>
      </c>
      <c r="V186" s="5" t="str">
        <f>IF(Clean_Data!$T186&gt;0,"Runs","Wickets")</f>
        <v>Runs</v>
      </c>
      <c r="W186" s="5">
        <f>IF(Clean_Data!$T186&gt;0,Clean_Data!$T186,Clean_Data!$S186)</f>
        <v>13</v>
      </c>
      <c r="X186" s="5" t="str">
        <f>IF(Clean_Data!$W186&lt;=10,"Close Match","Normal")</f>
        <v>Normal</v>
      </c>
      <c r="Y186" s="5">
        <f>Clean_Data!$G186+Clean_Data!$J186</f>
        <v>275</v>
      </c>
      <c r="Z186" s="5" t="str">
        <f>IF(Clean_Data!$Y186&gt;=170,"170+ Match","Below 170")</f>
        <v>170+ Match</v>
      </c>
      <c r="AA186" s="5" t="s">
        <v>147</v>
      </c>
      <c r="AB186" s="17" t="s">
        <v>44</v>
      </c>
    </row>
    <row r="187" spans="1:28" x14ac:dyDescent="0.3">
      <c r="A187" s="18" t="s">
        <v>197</v>
      </c>
      <c r="B187" s="19" t="str">
        <f>LEFT(Clean_Data!$A187,4)</f>
        <v>2016</v>
      </c>
      <c r="C187" s="19" t="s">
        <v>163</v>
      </c>
      <c r="D187" s="19" t="str">
        <f>IF(ISNUMBER(SEARCH("Final",Clean_Data!$C187)),"Final",
IF(ISNUMBER(SEARCH("Semi",Clean_Data!$C187)),"Semi-Final",
IF(ISNUMBER(SEARCH("Elimination",Clean_Data!$C187)),"Eliminator",
"League")))</f>
        <v>League</v>
      </c>
      <c r="E187" s="20" t="s">
        <v>430</v>
      </c>
      <c r="F187" s="19" t="s">
        <v>142</v>
      </c>
      <c r="G187" s="19">
        <v>192</v>
      </c>
      <c r="H187" s="19">
        <v>4</v>
      </c>
      <c r="I187" s="19" t="s">
        <v>199</v>
      </c>
      <c r="J187" s="19">
        <v>188</v>
      </c>
      <c r="K187" s="19">
        <v>6</v>
      </c>
      <c r="L187" s="19" t="s">
        <v>154</v>
      </c>
      <c r="M187" s="19" t="s">
        <v>199</v>
      </c>
      <c r="N187" s="19" t="s">
        <v>26</v>
      </c>
      <c r="O187" s="19" t="s">
        <v>155</v>
      </c>
      <c r="P187" s="19" t="str">
        <f>IF(Clean_Data!$G187&gt;Clean_Data!$J187,Clean_Data!$F187,Clean_Data!$I187)</f>
        <v>Barisal Bulls</v>
      </c>
      <c r="Q187" s="19" t="s">
        <v>28</v>
      </c>
      <c r="R187" s="19" t="s">
        <v>29</v>
      </c>
      <c r="S187" s="19">
        <v>0</v>
      </c>
      <c r="T187" s="19">
        <v>4</v>
      </c>
      <c r="U187" s="19" t="s">
        <v>103</v>
      </c>
      <c r="V187" s="19" t="str">
        <f>IF(Clean_Data!$T187&gt;0,"Runs","Wickets")</f>
        <v>Runs</v>
      </c>
      <c r="W187" s="19">
        <f>IF(Clean_Data!$T187&gt;0,Clean_Data!$T187,Clean_Data!$S187)</f>
        <v>4</v>
      </c>
      <c r="X187" s="19" t="str">
        <f>IF(Clean_Data!$W187&lt;=10,"Close Match","Normal")</f>
        <v>Close Match</v>
      </c>
      <c r="Y187" s="19">
        <f>Clean_Data!$G187+Clean_Data!$J187</f>
        <v>380</v>
      </c>
      <c r="Z187" s="19" t="str">
        <f>IF(Clean_Data!$Y187&gt;=170,"170+ Match","Below 170")</f>
        <v>170+ Match</v>
      </c>
      <c r="AA187" s="19" t="s">
        <v>72</v>
      </c>
      <c r="AB187" s="21" t="s">
        <v>202</v>
      </c>
    </row>
    <row r="188" spans="1:28" x14ac:dyDescent="0.3">
      <c r="A188" s="16" t="s">
        <v>197</v>
      </c>
      <c r="B188" s="5" t="str">
        <f>LEFT(Clean_Data!$A188,4)</f>
        <v>2016</v>
      </c>
      <c r="C188" s="5" t="s">
        <v>168</v>
      </c>
      <c r="D188" s="5" t="str">
        <f>IF(ISNUMBER(SEARCH("Final",Clean_Data!$C188)),"Final",
IF(ISNUMBER(SEARCH("Semi",Clean_Data!$C188)),"Semi-Final",
IF(ISNUMBER(SEARCH("Elimination",Clean_Data!$C188)),"Eliminator",
"League")))</f>
        <v>League</v>
      </c>
      <c r="E188" s="6" t="s">
        <v>431</v>
      </c>
      <c r="F188" s="5" t="s">
        <v>160</v>
      </c>
      <c r="G188" s="5">
        <v>170</v>
      </c>
      <c r="H188" s="5">
        <v>6</v>
      </c>
      <c r="I188" s="5" t="s">
        <v>113</v>
      </c>
      <c r="J188" s="5">
        <v>92</v>
      </c>
      <c r="K188" s="5">
        <v>10</v>
      </c>
      <c r="L188" s="5" t="s">
        <v>432</v>
      </c>
      <c r="M188" s="5" t="s">
        <v>113</v>
      </c>
      <c r="N188" s="5" t="s">
        <v>26</v>
      </c>
      <c r="O188" s="5" t="s">
        <v>193</v>
      </c>
      <c r="P188" s="5" t="str">
        <f>IF(Clean_Data!$G188&gt;Clean_Data!$J188,Clean_Data!$F188,Clean_Data!$I188)</f>
        <v>Dhaka Dynamites</v>
      </c>
      <c r="Q188" s="5" t="s">
        <v>28</v>
      </c>
      <c r="R188" s="5" t="s">
        <v>29</v>
      </c>
      <c r="S188" s="5">
        <v>0</v>
      </c>
      <c r="T188" s="5">
        <v>78</v>
      </c>
      <c r="U188" s="5" t="s">
        <v>419</v>
      </c>
      <c r="V188" s="5" t="str">
        <f>IF(Clean_Data!$T188&gt;0,"Runs","Wickets")</f>
        <v>Runs</v>
      </c>
      <c r="W188" s="5">
        <f>IF(Clean_Data!$T188&gt;0,Clean_Data!$T188,Clean_Data!$S188)</f>
        <v>78</v>
      </c>
      <c r="X188" s="5" t="str">
        <f>IF(Clean_Data!$W188&lt;=10,"Close Match","Normal")</f>
        <v>Normal</v>
      </c>
      <c r="Y188" s="5">
        <f>Clean_Data!$G188+Clean_Data!$J188</f>
        <v>262</v>
      </c>
      <c r="Z188" s="5" t="str">
        <f>IF(Clean_Data!$Y188&gt;=170,"170+ Match","Below 170")</f>
        <v>170+ Match</v>
      </c>
      <c r="AA188" s="5" t="s">
        <v>202</v>
      </c>
      <c r="AB188" s="17" t="s">
        <v>39</v>
      </c>
    </row>
    <row r="189" spans="1:28" x14ac:dyDescent="0.3">
      <c r="A189" s="18" t="s">
        <v>197</v>
      </c>
      <c r="B189" s="19" t="str">
        <f>LEFT(Clean_Data!$A189,4)</f>
        <v>2016</v>
      </c>
      <c r="C189" s="19" t="s">
        <v>170</v>
      </c>
      <c r="D189" s="19" t="str">
        <f>IF(ISNUMBER(SEARCH("Final",Clean_Data!$C189)),"Final",
IF(ISNUMBER(SEARCH("Semi",Clean_Data!$C189)),"Semi-Final",
IF(ISNUMBER(SEARCH("Elimination",Clean_Data!$C189)),"Eliminator",
"League")))</f>
        <v>League</v>
      </c>
      <c r="E189" s="20" t="s">
        <v>431</v>
      </c>
      <c r="F189" s="19" t="s">
        <v>206</v>
      </c>
      <c r="G189" s="19">
        <v>127</v>
      </c>
      <c r="H189" s="19">
        <v>7</v>
      </c>
      <c r="I189" s="19" t="s">
        <v>179</v>
      </c>
      <c r="J189" s="19">
        <v>123</v>
      </c>
      <c r="K189" s="19">
        <v>9</v>
      </c>
      <c r="L189" s="19" t="s">
        <v>157</v>
      </c>
      <c r="M189" s="19" t="s">
        <v>179</v>
      </c>
      <c r="N189" s="19" t="s">
        <v>26</v>
      </c>
      <c r="O189" s="19" t="s">
        <v>215</v>
      </c>
      <c r="P189" s="19" t="str">
        <f>IF(Clean_Data!$G189&gt;Clean_Data!$J189,Clean_Data!$F189,Clean_Data!$I189)</f>
        <v>Khulna Titans</v>
      </c>
      <c r="Q189" s="19" t="s">
        <v>28</v>
      </c>
      <c r="R189" s="19" t="s">
        <v>29</v>
      </c>
      <c r="S189" s="19">
        <v>0</v>
      </c>
      <c r="T189" s="19">
        <v>4</v>
      </c>
      <c r="U189" s="19" t="s">
        <v>103</v>
      </c>
      <c r="V189" s="19" t="str">
        <f>IF(Clean_Data!$T189&gt;0,"Runs","Wickets")</f>
        <v>Runs</v>
      </c>
      <c r="W189" s="19">
        <f>IF(Clean_Data!$T189&gt;0,Clean_Data!$T189,Clean_Data!$S189)</f>
        <v>4</v>
      </c>
      <c r="X189" s="19" t="str">
        <f>IF(Clean_Data!$W189&lt;=10,"Close Match","Normal")</f>
        <v>Close Match</v>
      </c>
      <c r="Y189" s="19">
        <f>Clean_Data!$G189+Clean_Data!$J189</f>
        <v>250</v>
      </c>
      <c r="Z189" s="19" t="str">
        <f>IF(Clean_Data!$Y189&gt;=170,"170+ Match","Below 170")</f>
        <v>170+ Match</v>
      </c>
      <c r="AA189" s="19" t="s">
        <v>50</v>
      </c>
      <c r="AB189" s="21" t="s">
        <v>147</v>
      </c>
    </row>
    <row r="190" spans="1:28" x14ac:dyDescent="0.3">
      <c r="A190" s="16" t="s">
        <v>197</v>
      </c>
      <c r="B190" s="5" t="str">
        <f>LEFT(Clean_Data!$A190,4)</f>
        <v>2016</v>
      </c>
      <c r="C190" s="5" t="s">
        <v>176</v>
      </c>
      <c r="D190" s="5" t="str">
        <f>IF(ISNUMBER(SEARCH("Final",Clean_Data!$C190)),"Final",
IF(ISNUMBER(SEARCH("Semi",Clean_Data!$C190)),"Semi-Final",
IF(ISNUMBER(SEARCH("Elimination",Clean_Data!$C190)),"Eliminator",
"League")))</f>
        <v>League</v>
      </c>
      <c r="E190" s="6" t="s">
        <v>433</v>
      </c>
      <c r="F190" s="5" t="s">
        <v>160</v>
      </c>
      <c r="G190" s="5">
        <v>138</v>
      </c>
      <c r="H190" s="5">
        <v>5</v>
      </c>
      <c r="I190" s="5" t="s">
        <v>199</v>
      </c>
      <c r="J190" s="5">
        <v>139</v>
      </c>
      <c r="K190" s="5">
        <v>4</v>
      </c>
      <c r="L190" s="5" t="s">
        <v>207</v>
      </c>
      <c r="M190" s="5" t="s">
        <v>199</v>
      </c>
      <c r="N190" s="5" t="s">
        <v>26</v>
      </c>
      <c r="O190" s="5" t="s">
        <v>208</v>
      </c>
      <c r="P190" s="5" t="str">
        <f>IF(Clean_Data!$G190&gt;Clean_Data!$J190,Clean_Data!$F190,Clean_Data!$I190)</f>
        <v>Rajshahi Kings</v>
      </c>
      <c r="Q190" s="5" t="s">
        <v>28</v>
      </c>
      <c r="R190" s="5" t="s">
        <v>29</v>
      </c>
      <c r="S190" s="5">
        <v>6</v>
      </c>
      <c r="T190" s="5">
        <v>0</v>
      </c>
      <c r="U190" s="5" t="s">
        <v>151</v>
      </c>
      <c r="V190" s="5" t="str">
        <f>IF(Clean_Data!$T190&gt;0,"Runs","Wickets")</f>
        <v>Wickets</v>
      </c>
      <c r="W190" s="5">
        <f>IF(Clean_Data!$T190&gt;0,Clean_Data!$T190,Clean_Data!$S190)</f>
        <v>6</v>
      </c>
      <c r="X190" s="5" t="str">
        <f>IF(Clean_Data!$W190&lt;=10,"Close Match","Normal")</f>
        <v>Close Match</v>
      </c>
      <c r="Y190" s="5">
        <f>Clean_Data!$G190+Clean_Data!$J190</f>
        <v>277</v>
      </c>
      <c r="Z190" s="5" t="str">
        <f>IF(Clean_Data!$Y190&gt;=170,"170+ Match","Below 170")</f>
        <v>170+ Match</v>
      </c>
      <c r="AA190" s="5" t="s">
        <v>202</v>
      </c>
      <c r="AB190" s="17" t="s">
        <v>66</v>
      </c>
    </row>
    <row r="191" spans="1:28" x14ac:dyDescent="0.3">
      <c r="A191" s="18" t="s">
        <v>197</v>
      </c>
      <c r="B191" s="19" t="str">
        <f>LEFT(Clean_Data!$A191,4)</f>
        <v>2016</v>
      </c>
      <c r="C191" s="19" t="s">
        <v>180</v>
      </c>
      <c r="D191" s="19" t="str">
        <f>IF(ISNUMBER(SEARCH("Final",Clean_Data!$C191)),"Final",
IF(ISNUMBER(SEARCH("Semi",Clean_Data!$C191)),"Semi-Final",
IF(ISNUMBER(SEARCH("Elimination",Clean_Data!$C191)),"Eliminator",
"League")))</f>
        <v>League</v>
      </c>
      <c r="E191" s="20" t="s">
        <v>433</v>
      </c>
      <c r="F191" s="19" t="s">
        <v>143</v>
      </c>
      <c r="G191" s="19">
        <v>129</v>
      </c>
      <c r="H191" s="19">
        <v>8</v>
      </c>
      <c r="I191" s="19" t="s">
        <v>142</v>
      </c>
      <c r="J191" s="19">
        <v>130</v>
      </c>
      <c r="K191" s="19">
        <v>4</v>
      </c>
      <c r="L191" s="19" t="s">
        <v>434</v>
      </c>
      <c r="M191" s="19" t="s">
        <v>143</v>
      </c>
      <c r="N191" s="19" t="s">
        <v>37</v>
      </c>
      <c r="O191" s="19" t="s">
        <v>155</v>
      </c>
      <c r="P191" s="19" t="str">
        <f>IF(Clean_Data!$G191&gt;Clean_Data!$J191,Clean_Data!$F191,Clean_Data!$I191)</f>
        <v>Barisal Bulls</v>
      </c>
      <c r="Q191" s="19" t="s">
        <v>28</v>
      </c>
      <c r="R191" s="19" t="s">
        <v>29</v>
      </c>
      <c r="S191" s="19">
        <v>6</v>
      </c>
      <c r="T191" s="19">
        <v>0</v>
      </c>
      <c r="U191" s="19" t="s">
        <v>151</v>
      </c>
      <c r="V191" s="19" t="str">
        <f>IF(Clean_Data!$T191&gt;0,"Runs","Wickets")</f>
        <v>Wickets</v>
      </c>
      <c r="W191" s="19">
        <f>IF(Clean_Data!$T191&gt;0,Clean_Data!$T191,Clean_Data!$S191)</f>
        <v>6</v>
      </c>
      <c r="X191" s="19" t="str">
        <f>IF(Clean_Data!$W191&lt;=10,"Close Match","Normal")</f>
        <v>Close Match</v>
      </c>
      <c r="Y191" s="19">
        <f>Clean_Data!$G191+Clean_Data!$J191</f>
        <v>259</v>
      </c>
      <c r="Z191" s="19" t="str">
        <f>IF(Clean_Data!$Y191&gt;=170,"170+ Match","Below 170")</f>
        <v>170+ Match</v>
      </c>
      <c r="AA191" s="19" t="s">
        <v>39</v>
      </c>
      <c r="AB191" s="21" t="s">
        <v>147</v>
      </c>
    </row>
    <row r="192" spans="1:28" x14ac:dyDescent="0.3">
      <c r="A192" s="16" t="s">
        <v>197</v>
      </c>
      <c r="B192" s="5" t="str">
        <f>LEFT(Clean_Data!$A192,4)</f>
        <v>2016</v>
      </c>
      <c r="C192" s="5" t="s">
        <v>186</v>
      </c>
      <c r="D192" s="5" t="str">
        <f>IF(ISNUMBER(SEARCH("Final",Clean_Data!$C192)),"Final",
IF(ISNUMBER(SEARCH("Semi",Clean_Data!$C192)),"Semi-Final",
IF(ISNUMBER(SEARCH("Elimination",Clean_Data!$C192)),"Eliminator",
"League")))</f>
        <v>League</v>
      </c>
      <c r="E192" s="6" t="s">
        <v>435</v>
      </c>
      <c r="F192" s="5" t="s">
        <v>206</v>
      </c>
      <c r="G192" s="5">
        <v>44</v>
      </c>
      <c r="H192" s="5">
        <v>10</v>
      </c>
      <c r="I192" s="5" t="s">
        <v>113</v>
      </c>
      <c r="J192" s="5">
        <v>45</v>
      </c>
      <c r="K192" s="5">
        <v>1</v>
      </c>
      <c r="L192" s="5" t="s">
        <v>235</v>
      </c>
      <c r="M192" s="5" t="s">
        <v>113</v>
      </c>
      <c r="N192" s="5" t="s">
        <v>26</v>
      </c>
      <c r="O192" s="5" t="s">
        <v>189</v>
      </c>
      <c r="P192" s="5" t="str">
        <f>IF(Clean_Data!$G192&gt;Clean_Data!$J192,Clean_Data!$F192,Clean_Data!$I192)</f>
        <v>Rangpur Riders</v>
      </c>
      <c r="Q192" s="5" t="s">
        <v>28</v>
      </c>
      <c r="R192" s="5" t="s">
        <v>29</v>
      </c>
      <c r="S192" s="5">
        <v>9</v>
      </c>
      <c r="T192" s="5">
        <v>0</v>
      </c>
      <c r="U192" s="5" t="s">
        <v>71</v>
      </c>
      <c r="V192" s="5" t="str">
        <f>IF(Clean_Data!$T192&gt;0,"Runs","Wickets")</f>
        <v>Wickets</v>
      </c>
      <c r="W192" s="5">
        <f>IF(Clean_Data!$T192&gt;0,Clean_Data!$T192,Clean_Data!$S192)</f>
        <v>9</v>
      </c>
      <c r="X192" s="5" t="str">
        <f>IF(Clean_Data!$W192&lt;=10,"Close Match","Normal")</f>
        <v>Close Match</v>
      </c>
      <c r="Y192" s="5">
        <f>Clean_Data!$G192+Clean_Data!$J192</f>
        <v>89</v>
      </c>
      <c r="Z192" s="5" t="str">
        <f>IF(Clean_Data!$Y192&gt;=170,"170+ Match","Below 170")</f>
        <v>Below 170</v>
      </c>
      <c r="AA192" s="5" t="s">
        <v>50</v>
      </c>
      <c r="AB192" s="17" t="s">
        <v>147</v>
      </c>
    </row>
    <row r="193" spans="1:28" x14ac:dyDescent="0.3">
      <c r="A193" s="18" t="s">
        <v>197</v>
      </c>
      <c r="B193" s="19" t="str">
        <f>LEFT(Clean_Data!$A193,4)</f>
        <v>2016</v>
      </c>
      <c r="C193" s="19" t="s">
        <v>190</v>
      </c>
      <c r="D193" s="19" t="str">
        <f>IF(ISNUMBER(SEARCH("Final",Clean_Data!$C193)),"Final",
IF(ISNUMBER(SEARCH("Semi",Clean_Data!$C193)),"Semi-Final",
IF(ISNUMBER(SEARCH("Elimination",Clean_Data!$C193)),"Eliminator",
"League")))</f>
        <v>League</v>
      </c>
      <c r="E193" s="20" t="s">
        <v>436</v>
      </c>
      <c r="F193" s="19" t="s">
        <v>179</v>
      </c>
      <c r="G193" s="19">
        <v>124</v>
      </c>
      <c r="H193" s="19">
        <v>10</v>
      </c>
      <c r="I193" s="19" t="s">
        <v>113</v>
      </c>
      <c r="J193" s="19">
        <v>125</v>
      </c>
      <c r="K193" s="19">
        <v>1</v>
      </c>
      <c r="L193" s="19" t="s">
        <v>221</v>
      </c>
      <c r="M193" s="19" t="s">
        <v>113</v>
      </c>
      <c r="N193" s="19" t="s">
        <v>26</v>
      </c>
      <c r="O193" s="19" t="s">
        <v>189</v>
      </c>
      <c r="P193" s="19" t="str">
        <f>IF(Clean_Data!$G193&gt;Clean_Data!$J193,Clean_Data!$F193,Clean_Data!$I193)</f>
        <v>Rangpur Riders</v>
      </c>
      <c r="Q193" s="19" t="s">
        <v>28</v>
      </c>
      <c r="R193" s="19" t="s">
        <v>29</v>
      </c>
      <c r="S193" s="19">
        <v>9</v>
      </c>
      <c r="T193" s="19">
        <v>0</v>
      </c>
      <c r="U193" s="19" t="s">
        <v>71</v>
      </c>
      <c r="V193" s="19" t="str">
        <f>IF(Clean_Data!$T193&gt;0,"Runs","Wickets")</f>
        <v>Wickets</v>
      </c>
      <c r="W193" s="19">
        <f>IF(Clean_Data!$T193&gt;0,Clean_Data!$T193,Clean_Data!$S193)</f>
        <v>9</v>
      </c>
      <c r="X193" s="19" t="str">
        <f>IF(Clean_Data!$W193&lt;=10,"Close Match","Normal")</f>
        <v>Close Match</v>
      </c>
      <c r="Y193" s="19">
        <f>Clean_Data!$G193+Clean_Data!$J193</f>
        <v>249</v>
      </c>
      <c r="Z193" s="19" t="str">
        <f>IF(Clean_Data!$Y193&gt;=170,"170+ Match","Below 170")</f>
        <v>170+ Match</v>
      </c>
      <c r="AA193" s="19" t="s">
        <v>202</v>
      </c>
      <c r="AB193" s="21" t="s">
        <v>39</v>
      </c>
    </row>
    <row r="194" spans="1:28" x14ac:dyDescent="0.3">
      <c r="A194" s="16" t="s">
        <v>197</v>
      </c>
      <c r="B194" s="5" t="str">
        <f>LEFT(Clean_Data!$A194,4)</f>
        <v>2016</v>
      </c>
      <c r="C194" s="5" t="s">
        <v>195</v>
      </c>
      <c r="D194" s="5" t="str">
        <f>IF(ISNUMBER(SEARCH("Final",Clean_Data!$C194)),"Final",
IF(ISNUMBER(SEARCH("Semi",Clean_Data!$C194)),"Semi-Final",
IF(ISNUMBER(SEARCH("Elimination",Clean_Data!$C194)),"Eliminator",
"League")))</f>
        <v>League</v>
      </c>
      <c r="E194" s="6" t="s">
        <v>436</v>
      </c>
      <c r="F194" s="5" t="s">
        <v>206</v>
      </c>
      <c r="G194" s="5">
        <v>133</v>
      </c>
      <c r="H194" s="5">
        <v>8</v>
      </c>
      <c r="I194" s="5" t="s">
        <v>199</v>
      </c>
      <c r="J194" s="5">
        <v>130</v>
      </c>
      <c r="K194" s="5">
        <v>10</v>
      </c>
      <c r="L194" s="5" t="s">
        <v>157</v>
      </c>
      <c r="M194" s="5" t="s">
        <v>206</v>
      </c>
      <c r="N194" s="5" t="s">
        <v>37</v>
      </c>
      <c r="O194" s="5" t="s">
        <v>215</v>
      </c>
      <c r="P194" s="5" t="str">
        <f>IF(Clean_Data!$G194&gt;Clean_Data!$J194,Clean_Data!$F194,Clean_Data!$I194)</f>
        <v>Khulna Titans</v>
      </c>
      <c r="Q194" s="5" t="s">
        <v>28</v>
      </c>
      <c r="R194" s="5" t="s">
        <v>29</v>
      </c>
      <c r="S194" s="5">
        <v>0</v>
      </c>
      <c r="T194" s="5">
        <v>3</v>
      </c>
      <c r="U194" s="5" t="s">
        <v>437</v>
      </c>
      <c r="V194" s="5" t="str">
        <f>IF(Clean_Data!$T194&gt;0,"Runs","Wickets")</f>
        <v>Runs</v>
      </c>
      <c r="W194" s="5">
        <f>IF(Clean_Data!$T194&gt;0,Clean_Data!$T194,Clean_Data!$S194)</f>
        <v>3</v>
      </c>
      <c r="X194" s="5" t="str">
        <f>IF(Clean_Data!$W194&lt;=10,"Close Match","Normal")</f>
        <v>Close Match</v>
      </c>
      <c r="Y194" s="5">
        <f>Clean_Data!$G194+Clean_Data!$J194</f>
        <v>263</v>
      </c>
      <c r="Z194" s="5" t="str">
        <f>IF(Clean_Data!$Y194&gt;=170,"170+ Match","Below 170")</f>
        <v>170+ Match</v>
      </c>
      <c r="AA194" s="5" t="s">
        <v>438</v>
      </c>
      <c r="AB194" s="17" t="s">
        <v>410</v>
      </c>
    </row>
    <row r="195" spans="1:28" x14ac:dyDescent="0.3">
      <c r="A195" s="18" t="s">
        <v>197</v>
      </c>
      <c r="B195" s="19" t="str">
        <f>LEFT(Clean_Data!$A195,4)</f>
        <v>2016</v>
      </c>
      <c r="C195" s="19" t="s">
        <v>33</v>
      </c>
      <c r="D195" s="19" t="str">
        <f>IF(ISNUMBER(SEARCH("Final",Clean_Data!$C195)),"Final",
IF(ISNUMBER(SEARCH("Semi",Clean_Data!$C195)),"Semi-Final",
IF(ISNUMBER(SEARCH("Elimination",Clean_Data!$C195)),"Eliminator",
"League")))</f>
        <v>League</v>
      </c>
      <c r="E195" s="20" t="s">
        <v>439</v>
      </c>
      <c r="F195" s="19" t="s">
        <v>142</v>
      </c>
      <c r="G195" s="19">
        <v>148</v>
      </c>
      <c r="H195" s="19">
        <v>6</v>
      </c>
      <c r="I195" s="19" t="s">
        <v>160</v>
      </c>
      <c r="J195" s="19">
        <v>149</v>
      </c>
      <c r="K195" s="19">
        <v>2</v>
      </c>
      <c r="L195" s="19" t="s">
        <v>370</v>
      </c>
      <c r="M195" s="19" t="s">
        <v>160</v>
      </c>
      <c r="N195" s="19" t="s">
        <v>26</v>
      </c>
      <c r="O195" s="19" t="s">
        <v>193</v>
      </c>
      <c r="P195" s="19" t="str">
        <f>IF(Clean_Data!$G195&gt;Clean_Data!$J195,Clean_Data!$F195,Clean_Data!$I195)</f>
        <v>Dhaka Dynamites</v>
      </c>
      <c r="Q195" s="19" t="s">
        <v>28</v>
      </c>
      <c r="R195" s="19" t="s">
        <v>29</v>
      </c>
      <c r="S195" s="19">
        <v>8</v>
      </c>
      <c r="T195" s="19">
        <v>0</v>
      </c>
      <c r="U195" s="19" t="s">
        <v>30</v>
      </c>
      <c r="V195" s="19" t="str">
        <f>IF(Clean_Data!$T195&gt;0,"Runs","Wickets")</f>
        <v>Wickets</v>
      </c>
      <c r="W195" s="19">
        <f>IF(Clean_Data!$T195&gt;0,Clean_Data!$T195,Clean_Data!$S195)</f>
        <v>8</v>
      </c>
      <c r="X195" s="19" t="str">
        <f>IF(Clean_Data!$W195&lt;=10,"Close Match","Normal")</f>
        <v>Close Match</v>
      </c>
      <c r="Y195" s="19">
        <f>Clean_Data!$G195+Clean_Data!$J195</f>
        <v>297</v>
      </c>
      <c r="Z195" s="19" t="str">
        <f>IF(Clean_Data!$Y195&gt;=170,"170+ Match","Below 170")</f>
        <v>170+ Match</v>
      </c>
      <c r="AA195" s="19" t="s">
        <v>202</v>
      </c>
      <c r="AB195" s="21" t="s">
        <v>39</v>
      </c>
    </row>
    <row r="196" spans="1:28" x14ac:dyDescent="0.3">
      <c r="A196" s="16" t="s">
        <v>197</v>
      </c>
      <c r="B196" s="5" t="str">
        <f>LEFT(Clean_Data!$A196,4)</f>
        <v>2016</v>
      </c>
      <c r="C196" s="5" t="s">
        <v>40</v>
      </c>
      <c r="D196" s="5" t="str">
        <f>IF(ISNUMBER(SEARCH("Final",Clean_Data!$C196)),"Final",
IF(ISNUMBER(SEARCH("Semi",Clean_Data!$C196)),"Semi-Final",
IF(ISNUMBER(SEARCH("Elimination",Clean_Data!$C196)),"Eliminator",
"League")))</f>
        <v>League</v>
      </c>
      <c r="E196" s="6" t="s">
        <v>439</v>
      </c>
      <c r="F196" s="5" t="s">
        <v>179</v>
      </c>
      <c r="G196" s="5">
        <v>161</v>
      </c>
      <c r="H196" s="5">
        <v>3</v>
      </c>
      <c r="I196" s="5" t="s">
        <v>143</v>
      </c>
      <c r="J196" s="5">
        <v>132</v>
      </c>
      <c r="K196" s="5">
        <v>8</v>
      </c>
      <c r="L196" s="5" t="s">
        <v>356</v>
      </c>
      <c r="M196" s="5" t="s">
        <v>143</v>
      </c>
      <c r="N196" s="5" t="s">
        <v>26</v>
      </c>
      <c r="O196" s="5" t="s">
        <v>245</v>
      </c>
      <c r="P196" s="5" t="str">
        <f>IF(Clean_Data!$G196&gt;Clean_Data!$J196,Clean_Data!$F196,Clean_Data!$I196)</f>
        <v>Chittagong Vikings</v>
      </c>
      <c r="Q196" s="5" t="s">
        <v>28</v>
      </c>
      <c r="R196" s="5" t="s">
        <v>29</v>
      </c>
      <c r="S196" s="5">
        <v>0</v>
      </c>
      <c r="T196" s="5">
        <v>29</v>
      </c>
      <c r="U196" s="5" t="s">
        <v>109</v>
      </c>
      <c r="V196" s="5" t="str">
        <f>IF(Clean_Data!$T196&gt;0,"Runs","Wickets")</f>
        <v>Runs</v>
      </c>
      <c r="W196" s="5">
        <f>IF(Clean_Data!$T196&gt;0,Clean_Data!$T196,Clean_Data!$S196)</f>
        <v>29</v>
      </c>
      <c r="X196" s="5" t="str">
        <f>IF(Clean_Data!$W196&lt;=10,"Close Match","Normal")</f>
        <v>Normal</v>
      </c>
      <c r="Y196" s="5">
        <f>Clean_Data!$G196+Clean_Data!$J196</f>
        <v>293</v>
      </c>
      <c r="Z196" s="5" t="str">
        <f>IF(Clean_Data!$Y196&gt;=170,"170+ Match","Below 170")</f>
        <v>170+ Match</v>
      </c>
      <c r="AA196" s="5" t="s">
        <v>440</v>
      </c>
      <c r="AB196" s="17" t="s">
        <v>291</v>
      </c>
    </row>
    <row r="197" spans="1:28" x14ac:dyDescent="0.3">
      <c r="A197" s="18" t="s">
        <v>226</v>
      </c>
      <c r="B197" s="19" t="str">
        <f>LEFT(Clean_Data!$A197,4)</f>
        <v>2017</v>
      </c>
      <c r="C197" s="19" t="s">
        <v>321</v>
      </c>
      <c r="D197" s="19" t="str">
        <f>IF(ISNUMBER(SEARCH("Final",Clean_Data!$C197)),"Final",
IF(ISNUMBER(SEARCH("Semi",Clean_Data!$C197)),"Semi-Final",
IF(ISNUMBER(SEARCH("Elimination",Clean_Data!$C197)),"Eliminator",
"League")))</f>
        <v>League</v>
      </c>
      <c r="E197" s="20" t="s">
        <v>441</v>
      </c>
      <c r="F197" s="19" t="s">
        <v>160</v>
      </c>
      <c r="G197" s="19">
        <v>205</v>
      </c>
      <c r="H197" s="19">
        <v>5</v>
      </c>
      <c r="I197" s="19" t="s">
        <v>199</v>
      </c>
      <c r="J197" s="19">
        <v>106</v>
      </c>
      <c r="K197" s="19">
        <v>10</v>
      </c>
      <c r="L197" s="19" t="s">
        <v>260</v>
      </c>
      <c r="M197" s="19" t="s">
        <v>160</v>
      </c>
      <c r="N197" s="19" t="s">
        <v>37</v>
      </c>
      <c r="O197" s="19" t="s">
        <v>193</v>
      </c>
      <c r="P197" s="19" t="str">
        <f>IF(Clean_Data!$G197&gt;Clean_Data!$J197,Clean_Data!$F197,Clean_Data!$I197)</f>
        <v>Dhaka Dynamites</v>
      </c>
      <c r="Q197" s="19" t="s">
        <v>28</v>
      </c>
      <c r="R197" s="19" t="s">
        <v>29</v>
      </c>
      <c r="S197" s="19">
        <v>0</v>
      </c>
      <c r="T197" s="19">
        <v>99</v>
      </c>
      <c r="U197" s="19" t="s">
        <v>442</v>
      </c>
      <c r="V197" s="19" t="str">
        <f>IF(Clean_Data!$T197&gt;0,"Runs","Wickets")</f>
        <v>Runs</v>
      </c>
      <c r="W197" s="19">
        <f>IF(Clean_Data!$T197&gt;0,Clean_Data!$T197,Clean_Data!$S197)</f>
        <v>99</v>
      </c>
      <c r="X197" s="19" t="str">
        <f>IF(Clean_Data!$W197&lt;=10,"Close Match","Normal")</f>
        <v>Normal</v>
      </c>
      <c r="Y197" s="19">
        <f>Clean_Data!$G197+Clean_Data!$J197</f>
        <v>311</v>
      </c>
      <c r="Z197" s="19" t="str">
        <f>IF(Clean_Data!$Y197&gt;=170,"170+ Match","Below 170")</f>
        <v>170+ Match</v>
      </c>
      <c r="AA197" s="19" t="s">
        <v>66</v>
      </c>
      <c r="AB197" s="21" t="s">
        <v>229</v>
      </c>
    </row>
    <row r="198" spans="1:28" x14ac:dyDescent="0.3">
      <c r="A198" s="16" t="s">
        <v>226</v>
      </c>
      <c r="B198" s="5" t="str">
        <f>LEFT(Clean_Data!$A198,4)</f>
        <v>2017</v>
      </c>
      <c r="C198" s="5" t="s">
        <v>324</v>
      </c>
      <c r="D198" s="5" t="str">
        <f>IF(ISNUMBER(SEARCH("Final",Clean_Data!$C198)),"Final",
IF(ISNUMBER(SEARCH("Semi",Clean_Data!$C198)),"Semi-Final",
IF(ISNUMBER(SEARCH("Elimination",Clean_Data!$C198)),"Eliminator",
"League")))</f>
        <v>League</v>
      </c>
      <c r="E198" s="6" t="s">
        <v>441</v>
      </c>
      <c r="F198" s="5" t="s">
        <v>113</v>
      </c>
      <c r="G198" s="5">
        <v>97</v>
      </c>
      <c r="H198" s="5">
        <v>10</v>
      </c>
      <c r="I198" s="5" t="s">
        <v>143</v>
      </c>
      <c r="J198" s="5">
        <v>100</v>
      </c>
      <c r="K198" s="5">
        <v>6</v>
      </c>
      <c r="L198" s="5" t="s">
        <v>443</v>
      </c>
      <c r="M198" s="5" t="s">
        <v>143</v>
      </c>
      <c r="N198" s="5" t="s">
        <v>26</v>
      </c>
      <c r="O198" s="5" t="s">
        <v>145</v>
      </c>
      <c r="P198" s="5" t="str">
        <f>IF(Clean_Data!$G198&gt;Clean_Data!$J198,Clean_Data!$F198,Clean_Data!$I198)</f>
        <v>Comilla Victorians</v>
      </c>
      <c r="Q198" s="5" t="s">
        <v>28</v>
      </c>
      <c r="R198" s="5" t="s">
        <v>29</v>
      </c>
      <c r="S198" s="5">
        <v>4</v>
      </c>
      <c r="T198" s="5">
        <v>0</v>
      </c>
      <c r="U198" s="5" t="s">
        <v>90</v>
      </c>
      <c r="V198" s="5" t="str">
        <f>IF(Clean_Data!$T198&gt;0,"Runs","Wickets")</f>
        <v>Wickets</v>
      </c>
      <c r="W198" s="5">
        <f>IF(Clean_Data!$T198&gt;0,Clean_Data!$T198,Clean_Data!$S198)</f>
        <v>4</v>
      </c>
      <c r="X198" s="5" t="str">
        <f>IF(Clean_Data!$W198&lt;=10,"Close Match","Normal")</f>
        <v>Close Match</v>
      </c>
      <c r="Y198" s="5">
        <f>Clean_Data!$G198+Clean_Data!$J198</f>
        <v>197</v>
      </c>
      <c r="Z198" s="5" t="str">
        <f>IF(Clean_Data!$Y198&gt;=170,"170+ Match","Below 170")</f>
        <v>170+ Match</v>
      </c>
      <c r="AA198" s="5" t="s">
        <v>39</v>
      </c>
      <c r="AB198" s="17" t="s">
        <v>147</v>
      </c>
    </row>
    <row r="199" spans="1:28" x14ac:dyDescent="0.3">
      <c r="A199" s="18" t="s">
        <v>226</v>
      </c>
      <c r="B199" s="19" t="str">
        <f>LEFT(Clean_Data!$A199,4)</f>
        <v>2017</v>
      </c>
      <c r="C199" s="19" t="s">
        <v>326</v>
      </c>
      <c r="D199" s="19" t="str">
        <f>IF(ISNUMBER(SEARCH("Final",Clean_Data!$C199)),"Final",
IF(ISNUMBER(SEARCH("Semi",Clean_Data!$C199)),"Semi-Final",
IF(ISNUMBER(SEARCH("Elimination",Clean_Data!$C199)),"Eliminator",
"League")))</f>
        <v>League</v>
      </c>
      <c r="E199" s="20" t="s">
        <v>444</v>
      </c>
      <c r="F199" s="19" t="s">
        <v>143</v>
      </c>
      <c r="G199" s="19">
        <v>167</v>
      </c>
      <c r="H199" s="19">
        <v>6</v>
      </c>
      <c r="I199" s="19" t="s">
        <v>160</v>
      </c>
      <c r="J199" s="19">
        <v>155</v>
      </c>
      <c r="K199" s="19">
        <v>8</v>
      </c>
      <c r="L199" s="19" t="s">
        <v>79</v>
      </c>
      <c r="M199" s="19" t="s">
        <v>160</v>
      </c>
      <c r="N199" s="19" t="s">
        <v>26</v>
      </c>
      <c r="O199" s="19" t="s">
        <v>145</v>
      </c>
      <c r="P199" s="19" t="str">
        <f>IF(Clean_Data!$G199&gt;Clean_Data!$J199,Clean_Data!$F199,Clean_Data!$I199)</f>
        <v>Comilla Victorians</v>
      </c>
      <c r="Q199" s="19" t="s">
        <v>88</v>
      </c>
      <c r="R199" s="19" t="s">
        <v>89</v>
      </c>
      <c r="S199" s="19">
        <v>0</v>
      </c>
      <c r="T199" s="19">
        <v>12</v>
      </c>
      <c r="U199" s="19" t="s">
        <v>417</v>
      </c>
      <c r="V199" s="19" t="str">
        <f>IF(Clean_Data!$T199&gt;0,"Runs","Wickets")</f>
        <v>Runs</v>
      </c>
      <c r="W199" s="19">
        <f>IF(Clean_Data!$T199&gt;0,Clean_Data!$T199,Clean_Data!$S199)</f>
        <v>12</v>
      </c>
      <c r="X199" s="19" t="str">
        <f>IF(Clean_Data!$W199&lt;=10,"Close Match","Normal")</f>
        <v>Normal</v>
      </c>
      <c r="Y199" s="19">
        <f>Clean_Data!$G199+Clean_Data!$J199</f>
        <v>322</v>
      </c>
      <c r="Z199" s="19" t="str">
        <f>IF(Clean_Data!$Y199&gt;=170,"170+ Match","Below 170")</f>
        <v>170+ Match</v>
      </c>
      <c r="AA199" s="19" t="s">
        <v>39</v>
      </c>
      <c r="AB199" s="21" t="s">
        <v>229</v>
      </c>
    </row>
    <row r="200" spans="1:28" x14ac:dyDescent="0.3">
      <c r="A200" s="16" t="s">
        <v>226</v>
      </c>
      <c r="B200" s="5" t="str">
        <f>LEFT(Clean_Data!$A200,4)</f>
        <v>2017</v>
      </c>
      <c r="C200" s="5" t="s">
        <v>328</v>
      </c>
      <c r="D200" s="5" t="str">
        <f>IF(ISNUMBER(SEARCH("Final",Clean_Data!$C200)),"Final",
IF(ISNUMBER(SEARCH("Semi",Clean_Data!$C200)),"Semi-Final",
IF(ISNUMBER(SEARCH("Elimination",Clean_Data!$C200)),"Eliminator",
"League")))</f>
        <v>League</v>
      </c>
      <c r="E200" s="6" t="s">
        <v>444</v>
      </c>
      <c r="F200" s="5" t="s">
        <v>199</v>
      </c>
      <c r="G200" s="5">
        <v>157</v>
      </c>
      <c r="H200" s="5">
        <v>6</v>
      </c>
      <c r="I200" s="5" t="s">
        <v>179</v>
      </c>
      <c r="J200" s="5">
        <v>124</v>
      </c>
      <c r="K200" s="5">
        <v>10</v>
      </c>
      <c r="L200" s="5" t="s">
        <v>213</v>
      </c>
      <c r="M200" s="5" t="s">
        <v>199</v>
      </c>
      <c r="N200" s="5" t="s">
        <v>37</v>
      </c>
      <c r="O200" s="5" t="s">
        <v>208</v>
      </c>
      <c r="P200" s="5" t="str">
        <f>IF(Clean_Data!$G200&gt;Clean_Data!$J200,Clean_Data!$F200,Clean_Data!$I200)</f>
        <v>Rajshahi Kings</v>
      </c>
      <c r="Q200" s="5" t="s">
        <v>88</v>
      </c>
      <c r="R200" s="5" t="s">
        <v>89</v>
      </c>
      <c r="S200" s="5">
        <v>0</v>
      </c>
      <c r="T200" s="5">
        <v>33</v>
      </c>
      <c r="U200" s="5" t="s">
        <v>131</v>
      </c>
      <c r="V200" s="5" t="str">
        <f>IF(Clean_Data!$T200&gt;0,"Runs","Wickets")</f>
        <v>Runs</v>
      </c>
      <c r="W200" s="5">
        <f>IF(Clean_Data!$T200&gt;0,Clean_Data!$T200,Clean_Data!$S200)</f>
        <v>33</v>
      </c>
      <c r="X200" s="5" t="str">
        <f>IF(Clean_Data!$W200&lt;=10,"Close Match","Normal")</f>
        <v>Normal</v>
      </c>
      <c r="Y200" s="5">
        <f>Clean_Data!$G200+Clean_Data!$J200</f>
        <v>281</v>
      </c>
      <c r="Z200" s="5" t="str">
        <f>IF(Clean_Data!$Y200&gt;=170,"170+ Match","Below 170")</f>
        <v>170+ Match</v>
      </c>
      <c r="AA200" s="5" t="s">
        <v>445</v>
      </c>
      <c r="AB200" s="17" t="s">
        <v>446</v>
      </c>
    </row>
    <row r="201" spans="1:28" x14ac:dyDescent="0.3">
      <c r="A201" s="18" t="s">
        <v>226</v>
      </c>
      <c r="B201" s="19" t="str">
        <f>LEFT(Clean_Data!$A201,4)</f>
        <v>2017</v>
      </c>
      <c r="C201" s="19" t="s">
        <v>330</v>
      </c>
      <c r="D201" s="19" t="str">
        <f>IF(ISNUMBER(SEARCH("Final",Clean_Data!$C201)),"Final",
IF(ISNUMBER(SEARCH("Semi",Clean_Data!$C201)),"Semi-Final",
IF(ISNUMBER(SEARCH("Elimination",Clean_Data!$C201)),"Eliminator",
"League")))</f>
        <v>League</v>
      </c>
      <c r="E201" s="20" t="s">
        <v>447</v>
      </c>
      <c r="F201" s="19" t="s">
        <v>206</v>
      </c>
      <c r="G201" s="19">
        <v>111</v>
      </c>
      <c r="H201" s="19">
        <v>10</v>
      </c>
      <c r="I201" s="19" t="s">
        <v>143</v>
      </c>
      <c r="J201" s="19">
        <v>112</v>
      </c>
      <c r="K201" s="19">
        <v>1</v>
      </c>
      <c r="L201" s="19" t="s">
        <v>381</v>
      </c>
      <c r="M201" s="19" t="s">
        <v>206</v>
      </c>
      <c r="N201" s="19" t="s">
        <v>37</v>
      </c>
      <c r="O201" s="19" t="s">
        <v>145</v>
      </c>
      <c r="P201" s="19" t="str">
        <f>IF(Clean_Data!$G201&gt;Clean_Data!$J201,Clean_Data!$F201,Clean_Data!$I201)</f>
        <v>Comilla Victorians</v>
      </c>
      <c r="Q201" s="19" t="s">
        <v>88</v>
      </c>
      <c r="R201" s="19" t="s">
        <v>89</v>
      </c>
      <c r="S201" s="19">
        <v>9</v>
      </c>
      <c r="T201" s="19">
        <v>0</v>
      </c>
      <c r="U201" s="19" t="s">
        <v>71</v>
      </c>
      <c r="V201" s="19" t="str">
        <f>IF(Clean_Data!$T201&gt;0,"Runs","Wickets")</f>
        <v>Wickets</v>
      </c>
      <c r="W201" s="19">
        <f>IF(Clean_Data!$T201&gt;0,Clean_Data!$T201,Clean_Data!$S201)</f>
        <v>9</v>
      </c>
      <c r="X201" s="19" t="str">
        <f>IF(Clean_Data!$W201&lt;=10,"Close Match","Normal")</f>
        <v>Close Match</v>
      </c>
      <c r="Y201" s="19">
        <f>Clean_Data!$G201+Clean_Data!$J201</f>
        <v>223</v>
      </c>
      <c r="Z201" s="19" t="str">
        <f>IF(Clean_Data!$Y201&gt;=170,"170+ Match","Below 170")</f>
        <v>170+ Match</v>
      </c>
      <c r="AA201" s="19" t="s">
        <v>39</v>
      </c>
      <c r="AB201" s="21" t="s">
        <v>229</v>
      </c>
    </row>
    <row r="202" spans="1:28" x14ac:dyDescent="0.3">
      <c r="A202" s="16" t="s">
        <v>226</v>
      </c>
      <c r="B202" s="5" t="str">
        <f>LEFT(Clean_Data!$A202,4)</f>
        <v>2017</v>
      </c>
      <c r="C202" s="5" t="s">
        <v>334</v>
      </c>
      <c r="D202" s="5" t="str">
        <f>IF(ISNUMBER(SEARCH("Final",Clean_Data!$C202)),"Final",
IF(ISNUMBER(SEARCH("Semi",Clean_Data!$C202)),"Semi-Final",
IF(ISNUMBER(SEARCH("Elimination",Clean_Data!$C202)),"Eliminator",
"League")))</f>
        <v>League</v>
      </c>
      <c r="E202" s="6" t="s">
        <v>447</v>
      </c>
      <c r="F202" s="5" t="s">
        <v>238</v>
      </c>
      <c r="G202" s="5">
        <v>173</v>
      </c>
      <c r="H202" s="5">
        <v>5</v>
      </c>
      <c r="I202" s="5" t="s">
        <v>113</v>
      </c>
      <c r="J202" s="5">
        <v>177</v>
      </c>
      <c r="K202" s="5">
        <v>6</v>
      </c>
      <c r="L202" s="5" t="s">
        <v>448</v>
      </c>
      <c r="M202" s="5" t="s">
        <v>113</v>
      </c>
      <c r="N202" s="5" t="s">
        <v>26</v>
      </c>
      <c r="O202" s="5" t="s">
        <v>189</v>
      </c>
      <c r="P202" s="5" t="str">
        <f>IF(Clean_Data!$G202&gt;Clean_Data!$J202,Clean_Data!$F202,Clean_Data!$I202)</f>
        <v>Rangpur Riders</v>
      </c>
      <c r="Q202" s="5" t="s">
        <v>88</v>
      </c>
      <c r="R202" s="5" t="s">
        <v>89</v>
      </c>
      <c r="S202" s="5">
        <v>4</v>
      </c>
      <c r="T202" s="5">
        <v>0</v>
      </c>
      <c r="U202" s="5" t="s">
        <v>90</v>
      </c>
      <c r="V202" s="5" t="str">
        <f>IF(Clean_Data!$T202&gt;0,"Runs","Wickets")</f>
        <v>Wickets</v>
      </c>
      <c r="W202" s="5">
        <f>IF(Clean_Data!$T202&gt;0,Clean_Data!$T202,Clean_Data!$S202)</f>
        <v>4</v>
      </c>
      <c r="X202" s="5" t="str">
        <f>IF(Clean_Data!$W202&lt;=10,"Close Match","Normal")</f>
        <v>Close Match</v>
      </c>
      <c r="Y202" s="5">
        <f>Clean_Data!$G202+Clean_Data!$J202</f>
        <v>350</v>
      </c>
      <c r="Z202" s="5" t="str">
        <f>IF(Clean_Data!$Y202&gt;=170,"170+ Match","Below 170")</f>
        <v>170+ Match</v>
      </c>
      <c r="AA202" s="5" t="s">
        <v>50</v>
      </c>
      <c r="AB202" s="17" t="s">
        <v>147</v>
      </c>
    </row>
    <row r="203" spans="1:28" x14ac:dyDescent="0.3">
      <c r="A203" s="18" t="s">
        <v>226</v>
      </c>
      <c r="B203" s="19" t="str">
        <f>LEFT(Clean_Data!$A203,4)</f>
        <v>2017</v>
      </c>
      <c r="C203" s="19" t="s">
        <v>336</v>
      </c>
      <c r="D203" s="19" t="str">
        <f>IF(ISNUMBER(SEARCH("Final",Clean_Data!$C203)),"Final",
IF(ISNUMBER(SEARCH("Semi",Clean_Data!$C203)),"Semi-Final",
IF(ISNUMBER(SEARCH("Elimination",Clean_Data!$C203)),"Eliminator",
"League")))</f>
        <v>League</v>
      </c>
      <c r="E203" s="20" t="s">
        <v>449</v>
      </c>
      <c r="F203" s="19" t="s">
        <v>206</v>
      </c>
      <c r="G203" s="19">
        <v>213</v>
      </c>
      <c r="H203" s="19">
        <v>5</v>
      </c>
      <c r="I203" s="19" t="s">
        <v>199</v>
      </c>
      <c r="J203" s="19">
        <v>145</v>
      </c>
      <c r="K203" s="19">
        <v>10</v>
      </c>
      <c r="L203" s="19" t="s">
        <v>450</v>
      </c>
      <c r="M203" s="19" t="s">
        <v>199</v>
      </c>
      <c r="N203" s="19" t="s">
        <v>26</v>
      </c>
      <c r="O203" s="19" t="s">
        <v>215</v>
      </c>
      <c r="P203" s="19" t="str">
        <f>IF(Clean_Data!$G203&gt;Clean_Data!$J203,Clean_Data!$F203,Clean_Data!$I203)</f>
        <v>Khulna Titans</v>
      </c>
      <c r="Q203" s="19" t="s">
        <v>88</v>
      </c>
      <c r="R203" s="19" t="s">
        <v>89</v>
      </c>
      <c r="S203" s="19">
        <v>0</v>
      </c>
      <c r="T203" s="19">
        <v>68</v>
      </c>
      <c r="U203" s="19" t="s">
        <v>361</v>
      </c>
      <c r="V203" s="19" t="str">
        <f>IF(Clean_Data!$T203&gt;0,"Runs","Wickets")</f>
        <v>Runs</v>
      </c>
      <c r="W203" s="19">
        <f>IF(Clean_Data!$T203&gt;0,Clean_Data!$T203,Clean_Data!$S203)</f>
        <v>68</v>
      </c>
      <c r="X203" s="19" t="str">
        <f>IF(Clean_Data!$W203&lt;=10,"Close Match","Normal")</f>
        <v>Normal</v>
      </c>
      <c r="Y203" s="19">
        <f>Clean_Data!$G203+Clean_Data!$J203</f>
        <v>358</v>
      </c>
      <c r="Z203" s="19" t="str">
        <f>IF(Clean_Data!$Y203&gt;=170,"170+ Match","Below 170")</f>
        <v>170+ Match</v>
      </c>
      <c r="AA203" s="19" t="s">
        <v>56</v>
      </c>
      <c r="AB203" s="21" t="s">
        <v>50</v>
      </c>
    </row>
    <row r="204" spans="1:28" x14ac:dyDescent="0.3">
      <c r="A204" s="16" t="s">
        <v>226</v>
      </c>
      <c r="B204" s="5" t="str">
        <f>LEFT(Clean_Data!$A204,4)</f>
        <v>2017</v>
      </c>
      <c r="C204" s="5" t="s">
        <v>45</v>
      </c>
      <c r="D204" s="5" t="str">
        <f>IF(ISNUMBER(SEARCH("Final",Clean_Data!$C204)),"Final",
IF(ISNUMBER(SEARCH("Semi",Clean_Data!$C204)),"Semi-Final",
IF(ISNUMBER(SEARCH("Elimination",Clean_Data!$C204)),"Eliminator",
"League")))</f>
        <v>League</v>
      </c>
      <c r="E204" s="6" t="s">
        <v>449</v>
      </c>
      <c r="F204" s="5" t="s">
        <v>179</v>
      </c>
      <c r="G204" s="5">
        <v>187</v>
      </c>
      <c r="H204" s="5">
        <v>5</v>
      </c>
      <c r="I204" s="5" t="s">
        <v>160</v>
      </c>
      <c r="J204" s="5">
        <v>191</v>
      </c>
      <c r="K204" s="5">
        <v>3</v>
      </c>
      <c r="L204" s="5" t="s">
        <v>259</v>
      </c>
      <c r="M204" s="5" t="s">
        <v>179</v>
      </c>
      <c r="N204" s="5" t="s">
        <v>37</v>
      </c>
      <c r="O204" s="5" t="s">
        <v>193</v>
      </c>
      <c r="P204" s="5" t="str">
        <f>IF(Clean_Data!$G204&gt;Clean_Data!$J204,Clean_Data!$F204,Clean_Data!$I204)</f>
        <v>Dhaka Dynamites</v>
      </c>
      <c r="Q204" s="5" t="s">
        <v>88</v>
      </c>
      <c r="R204" s="5" t="s">
        <v>89</v>
      </c>
      <c r="S204" s="5">
        <v>7</v>
      </c>
      <c r="T204" s="5">
        <v>0</v>
      </c>
      <c r="U204" s="5" t="s">
        <v>118</v>
      </c>
      <c r="V204" s="5" t="str">
        <f>IF(Clean_Data!$T204&gt;0,"Runs","Wickets")</f>
        <v>Wickets</v>
      </c>
      <c r="W204" s="5">
        <f>IF(Clean_Data!$T204&gt;0,Clean_Data!$T204,Clean_Data!$S204)</f>
        <v>7</v>
      </c>
      <c r="X204" s="5" t="str">
        <f>IF(Clean_Data!$W204&lt;=10,"Close Match","Normal")</f>
        <v>Close Match</v>
      </c>
      <c r="Y204" s="5">
        <f>Clean_Data!$G204+Clean_Data!$J204</f>
        <v>378</v>
      </c>
      <c r="Z204" s="5" t="str">
        <f>IF(Clean_Data!$Y204&gt;=170,"170+ Match","Below 170")</f>
        <v>170+ Match</v>
      </c>
      <c r="AA204" s="5" t="s">
        <v>39</v>
      </c>
      <c r="AB204" s="17" t="s">
        <v>229</v>
      </c>
    </row>
    <row r="205" spans="1:28" x14ac:dyDescent="0.3">
      <c r="A205" s="18" t="s">
        <v>226</v>
      </c>
      <c r="B205" s="19" t="str">
        <f>LEFT(Clean_Data!$A205,4)</f>
        <v>2017</v>
      </c>
      <c r="C205" s="19" t="s">
        <v>51</v>
      </c>
      <c r="D205" s="19" t="str">
        <f>IF(ISNUMBER(SEARCH("Final",Clean_Data!$C205)),"Final",
IF(ISNUMBER(SEARCH("Semi",Clean_Data!$C205)),"Semi-Final",
IF(ISNUMBER(SEARCH("Elimination",Clean_Data!$C205)),"Eliminator",
"League")))</f>
        <v>League</v>
      </c>
      <c r="E205" s="20" t="s">
        <v>451</v>
      </c>
      <c r="F205" s="19" t="s">
        <v>179</v>
      </c>
      <c r="G205" s="19">
        <v>176</v>
      </c>
      <c r="H205" s="19">
        <v>7</v>
      </c>
      <c r="I205" s="19" t="s">
        <v>113</v>
      </c>
      <c r="J205" s="19">
        <v>180</v>
      </c>
      <c r="K205" s="19">
        <v>7</v>
      </c>
      <c r="L205" s="19" t="s">
        <v>397</v>
      </c>
      <c r="M205" s="19" t="s">
        <v>113</v>
      </c>
      <c r="N205" s="19" t="s">
        <v>26</v>
      </c>
      <c r="O205" s="19" t="s">
        <v>189</v>
      </c>
      <c r="P205" s="19" t="str">
        <f>IF(Clean_Data!$G205&gt;Clean_Data!$J205,Clean_Data!$F205,Clean_Data!$I205)</f>
        <v>Rangpur Riders</v>
      </c>
      <c r="Q205" s="19" t="s">
        <v>88</v>
      </c>
      <c r="R205" s="19" t="s">
        <v>89</v>
      </c>
      <c r="S205" s="19">
        <v>3</v>
      </c>
      <c r="T205" s="19">
        <v>0</v>
      </c>
      <c r="U205" s="19" t="s">
        <v>49</v>
      </c>
      <c r="V205" s="19" t="str">
        <f>IF(Clean_Data!$T205&gt;0,"Runs","Wickets")</f>
        <v>Wickets</v>
      </c>
      <c r="W205" s="19">
        <f>IF(Clean_Data!$T205&gt;0,Clean_Data!$T205,Clean_Data!$S205)</f>
        <v>3</v>
      </c>
      <c r="X205" s="19" t="str">
        <f>IF(Clean_Data!$W205&lt;=10,"Close Match","Normal")</f>
        <v>Close Match</v>
      </c>
      <c r="Y205" s="19">
        <f>Clean_Data!$G205+Clean_Data!$J205</f>
        <v>356</v>
      </c>
      <c r="Z205" s="19" t="str">
        <f>IF(Clean_Data!$Y205&gt;=170,"170+ Match","Below 170")</f>
        <v>170+ Match</v>
      </c>
      <c r="AA205" s="19" t="s">
        <v>229</v>
      </c>
      <c r="AB205" s="21" t="s">
        <v>225</v>
      </c>
    </row>
    <row r="206" spans="1:28" x14ac:dyDescent="0.3">
      <c r="A206" s="16" t="s">
        <v>226</v>
      </c>
      <c r="B206" s="5" t="str">
        <f>LEFT(Clean_Data!$A206,4)</f>
        <v>2017</v>
      </c>
      <c r="C206" s="5" t="s">
        <v>58</v>
      </c>
      <c r="D206" s="5" t="str">
        <f>IF(ISNUMBER(SEARCH("Final",Clean_Data!$C206)),"Final",
IF(ISNUMBER(SEARCH("Semi",Clean_Data!$C206)),"Semi-Final",
IF(ISNUMBER(SEARCH("Elimination",Clean_Data!$C206)),"Eliminator",
"League")))</f>
        <v>League</v>
      </c>
      <c r="E206" s="6" t="s">
        <v>451</v>
      </c>
      <c r="F206" s="5" t="s">
        <v>199</v>
      </c>
      <c r="G206" s="5">
        <v>185</v>
      </c>
      <c r="H206" s="5">
        <v>7</v>
      </c>
      <c r="I206" s="5" t="s">
        <v>143</v>
      </c>
      <c r="J206" s="5">
        <v>155</v>
      </c>
      <c r="K206" s="5">
        <v>10</v>
      </c>
      <c r="L206" s="5" t="s">
        <v>213</v>
      </c>
      <c r="M206" s="5" t="s">
        <v>199</v>
      </c>
      <c r="N206" s="5" t="s">
        <v>37</v>
      </c>
      <c r="O206" s="5" t="s">
        <v>208</v>
      </c>
      <c r="P206" s="5" t="str">
        <f>IF(Clean_Data!$G206&gt;Clean_Data!$J206,Clean_Data!$F206,Clean_Data!$I206)</f>
        <v>Rajshahi Kings</v>
      </c>
      <c r="Q206" s="5" t="s">
        <v>88</v>
      </c>
      <c r="R206" s="5" t="s">
        <v>89</v>
      </c>
      <c r="S206" s="5">
        <v>0</v>
      </c>
      <c r="T206" s="5">
        <v>30</v>
      </c>
      <c r="U206" s="5" t="s">
        <v>452</v>
      </c>
      <c r="V206" s="5" t="str">
        <f>IF(Clean_Data!$T206&gt;0,"Runs","Wickets")</f>
        <v>Runs</v>
      </c>
      <c r="W206" s="5">
        <f>IF(Clean_Data!$T206&gt;0,Clean_Data!$T206,Clean_Data!$S206)</f>
        <v>30</v>
      </c>
      <c r="X206" s="5" t="str">
        <f>IF(Clean_Data!$W206&lt;=10,"Close Match","Normal")</f>
        <v>Normal</v>
      </c>
      <c r="Y206" s="5">
        <f>Clean_Data!$G206+Clean_Data!$J206</f>
        <v>340</v>
      </c>
      <c r="Z206" s="5" t="str">
        <f>IF(Clean_Data!$Y206&gt;=170,"170+ Match","Below 170")</f>
        <v>170+ Match</v>
      </c>
      <c r="AA206" s="5" t="s">
        <v>72</v>
      </c>
      <c r="AB206" s="17" t="s">
        <v>216</v>
      </c>
    </row>
    <row r="207" spans="1:28" x14ac:dyDescent="0.3">
      <c r="A207" s="18" t="s">
        <v>226</v>
      </c>
      <c r="B207" s="19" t="str">
        <f>LEFT(Clean_Data!$A207,4)</f>
        <v>2017</v>
      </c>
      <c r="C207" s="19" t="s">
        <v>60</v>
      </c>
      <c r="D207" s="19" t="str">
        <f>IF(ISNUMBER(SEARCH("Final",Clean_Data!$C207)),"Final",
IF(ISNUMBER(SEARCH("Semi",Clean_Data!$C207)),"Semi-Final",
IF(ISNUMBER(SEARCH("Elimination",Clean_Data!$C207)),"Eliminator",
"League")))</f>
        <v>League</v>
      </c>
      <c r="E207" s="20" t="s">
        <v>453</v>
      </c>
      <c r="F207" s="19" t="s">
        <v>179</v>
      </c>
      <c r="G207" s="19">
        <v>211</v>
      </c>
      <c r="H207" s="19">
        <v>5</v>
      </c>
      <c r="I207" s="19" t="s">
        <v>238</v>
      </c>
      <c r="J207" s="19">
        <v>171</v>
      </c>
      <c r="K207" s="19">
        <v>8</v>
      </c>
      <c r="L207" s="19" t="s">
        <v>454</v>
      </c>
      <c r="M207" s="19" t="s">
        <v>238</v>
      </c>
      <c r="N207" s="19" t="s">
        <v>26</v>
      </c>
      <c r="O207" s="19" t="s">
        <v>245</v>
      </c>
      <c r="P207" s="19" t="str">
        <f>IF(Clean_Data!$G207&gt;Clean_Data!$J207,Clean_Data!$F207,Clean_Data!$I207)</f>
        <v>Chittagong Vikings</v>
      </c>
      <c r="Q207" s="19" t="s">
        <v>88</v>
      </c>
      <c r="R207" s="19" t="s">
        <v>89</v>
      </c>
      <c r="S207" s="19">
        <v>0</v>
      </c>
      <c r="T207" s="19">
        <v>40</v>
      </c>
      <c r="U207" s="19" t="s">
        <v>455</v>
      </c>
      <c r="V207" s="19" t="str">
        <f>IF(Clean_Data!$T207&gt;0,"Runs","Wickets")</f>
        <v>Runs</v>
      </c>
      <c r="W207" s="19">
        <f>IF(Clean_Data!$T207&gt;0,Clean_Data!$T207,Clean_Data!$S207)</f>
        <v>40</v>
      </c>
      <c r="X207" s="19" t="str">
        <f>IF(Clean_Data!$W207&lt;=10,"Close Match","Normal")</f>
        <v>Normal</v>
      </c>
      <c r="Y207" s="19">
        <f>Clean_Data!$G207+Clean_Data!$J207</f>
        <v>382</v>
      </c>
      <c r="Z207" s="19" t="str">
        <f>IF(Clean_Data!$Y207&gt;=170,"170+ Match","Below 170")</f>
        <v>170+ Match</v>
      </c>
      <c r="AA207" s="19" t="s">
        <v>72</v>
      </c>
      <c r="AB207" s="21" t="s">
        <v>225</v>
      </c>
    </row>
    <row r="208" spans="1:28" x14ac:dyDescent="0.3">
      <c r="A208" s="16" t="s">
        <v>226</v>
      </c>
      <c r="B208" s="5" t="str">
        <f>LEFT(Clean_Data!$A208,4)</f>
        <v>2017</v>
      </c>
      <c r="C208" s="5" t="s">
        <v>67</v>
      </c>
      <c r="D208" s="5" t="str">
        <f>IF(ISNUMBER(SEARCH("Final",Clean_Data!$C208)),"Final",
IF(ISNUMBER(SEARCH("Semi",Clean_Data!$C208)),"Semi-Final",
IF(ISNUMBER(SEARCH("Elimination",Clean_Data!$C208)),"Eliminator",
"League")))</f>
        <v>League</v>
      </c>
      <c r="E208" s="6" t="s">
        <v>453</v>
      </c>
      <c r="F208" s="5" t="s">
        <v>206</v>
      </c>
      <c r="G208" s="5">
        <v>158</v>
      </c>
      <c r="H208" s="5">
        <v>8</v>
      </c>
      <c r="I208" s="5" t="s">
        <v>113</v>
      </c>
      <c r="J208" s="5">
        <v>149</v>
      </c>
      <c r="K208" s="5">
        <v>6</v>
      </c>
      <c r="L208" s="5" t="s">
        <v>157</v>
      </c>
      <c r="M208" s="5" t="s">
        <v>113</v>
      </c>
      <c r="N208" s="5" t="s">
        <v>26</v>
      </c>
      <c r="O208" s="5" t="s">
        <v>215</v>
      </c>
      <c r="P208" s="5" t="str">
        <f>IF(Clean_Data!$G208&gt;Clean_Data!$J208,Clean_Data!$F208,Clean_Data!$I208)</f>
        <v>Khulna Titans</v>
      </c>
      <c r="Q208" s="5" t="s">
        <v>88</v>
      </c>
      <c r="R208" s="5" t="s">
        <v>89</v>
      </c>
      <c r="S208" s="5">
        <v>0</v>
      </c>
      <c r="T208" s="5">
        <v>9</v>
      </c>
      <c r="U208" s="5" t="s">
        <v>38</v>
      </c>
      <c r="V208" s="5" t="str">
        <f>IF(Clean_Data!$T208&gt;0,"Runs","Wickets")</f>
        <v>Runs</v>
      </c>
      <c r="W208" s="5">
        <f>IF(Clean_Data!$T208&gt;0,Clean_Data!$T208,Clean_Data!$S208)</f>
        <v>9</v>
      </c>
      <c r="X208" s="5" t="str">
        <f>IF(Clean_Data!$W208&lt;=10,"Close Match","Normal")</f>
        <v>Close Match</v>
      </c>
      <c r="Y208" s="5">
        <f>Clean_Data!$G208+Clean_Data!$J208</f>
        <v>307</v>
      </c>
      <c r="Z208" s="5" t="str">
        <f>IF(Clean_Data!$Y208&gt;=170,"170+ Match","Below 170")</f>
        <v>170+ Match</v>
      </c>
      <c r="AA208" s="5" t="s">
        <v>216</v>
      </c>
      <c r="AB208" s="17" t="s">
        <v>229</v>
      </c>
    </row>
    <row r="209" spans="1:28" x14ac:dyDescent="0.3">
      <c r="A209" s="18" t="s">
        <v>226</v>
      </c>
      <c r="B209" s="19" t="str">
        <f>LEFT(Clean_Data!$A209,4)</f>
        <v>2017</v>
      </c>
      <c r="C209" s="19" t="s">
        <v>68</v>
      </c>
      <c r="D209" s="19" t="str">
        <f>IF(ISNUMBER(SEARCH("Final",Clean_Data!$C209)),"Final",
IF(ISNUMBER(SEARCH("Semi",Clean_Data!$C209)),"Semi-Final",
IF(ISNUMBER(SEARCH("Elimination",Clean_Data!$C209)),"Eliminator",
"League")))</f>
        <v>League</v>
      </c>
      <c r="E209" s="20" t="s">
        <v>456</v>
      </c>
      <c r="F209" s="19" t="s">
        <v>113</v>
      </c>
      <c r="G209" s="19">
        <v>142</v>
      </c>
      <c r="H209" s="19">
        <v>10</v>
      </c>
      <c r="I209" s="19" t="s">
        <v>160</v>
      </c>
      <c r="J209" s="19">
        <v>139</v>
      </c>
      <c r="K209" s="19">
        <v>10</v>
      </c>
      <c r="L209" s="19" t="s">
        <v>102</v>
      </c>
      <c r="M209" s="19" t="s">
        <v>160</v>
      </c>
      <c r="N209" s="19" t="s">
        <v>26</v>
      </c>
      <c r="O209" s="19" t="s">
        <v>189</v>
      </c>
      <c r="P209" s="19" t="str">
        <f>IF(Clean_Data!$G209&gt;Clean_Data!$J209,Clean_Data!$F209,Clean_Data!$I209)</f>
        <v>Rangpur Riders</v>
      </c>
      <c r="Q209" s="19" t="s">
        <v>28</v>
      </c>
      <c r="R209" s="19" t="s">
        <v>29</v>
      </c>
      <c r="S209" s="19">
        <v>0</v>
      </c>
      <c r="T209" s="19">
        <v>3</v>
      </c>
      <c r="U209" s="19" t="s">
        <v>437</v>
      </c>
      <c r="V209" s="19" t="str">
        <f>IF(Clean_Data!$T209&gt;0,"Runs","Wickets")</f>
        <v>Runs</v>
      </c>
      <c r="W209" s="19">
        <f>IF(Clean_Data!$T209&gt;0,Clean_Data!$T209,Clean_Data!$S209)</f>
        <v>3</v>
      </c>
      <c r="X209" s="19" t="str">
        <f>IF(Clean_Data!$W209&lt;=10,"Close Match","Normal")</f>
        <v>Close Match</v>
      </c>
      <c r="Y209" s="19">
        <f>Clean_Data!$G209+Clean_Data!$J209</f>
        <v>281</v>
      </c>
      <c r="Z209" s="19" t="str">
        <f>IF(Clean_Data!$Y209&gt;=170,"170+ Match","Below 170")</f>
        <v>170+ Match</v>
      </c>
      <c r="AA209" s="19" t="s">
        <v>72</v>
      </c>
      <c r="AB209" s="21" t="s">
        <v>229</v>
      </c>
    </row>
    <row r="210" spans="1:28" x14ac:dyDescent="0.3">
      <c r="A210" s="16" t="s">
        <v>226</v>
      </c>
      <c r="B210" s="5" t="str">
        <f>LEFT(Clean_Data!$A210,4)</f>
        <v>2017</v>
      </c>
      <c r="C210" s="5" t="s">
        <v>78</v>
      </c>
      <c r="D210" s="5" t="str">
        <f>IF(ISNUMBER(SEARCH("Final",Clean_Data!$C210)),"Final",
IF(ISNUMBER(SEARCH("Semi",Clean_Data!$C210)),"Semi-Final",
IF(ISNUMBER(SEARCH("Elimination",Clean_Data!$C210)),"Eliminator",
"League")))</f>
        <v>League</v>
      </c>
      <c r="E210" s="6" t="s">
        <v>456</v>
      </c>
      <c r="F210" s="5" t="s">
        <v>199</v>
      </c>
      <c r="G210" s="5">
        <v>166</v>
      </c>
      <c r="H210" s="5">
        <v>8</v>
      </c>
      <c r="I210" s="5" t="s">
        <v>206</v>
      </c>
      <c r="J210" s="5">
        <v>168</v>
      </c>
      <c r="K210" s="5">
        <v>8</v>
      </c>
      <c r="L210" s="5" t="s">
        <v>247</v>
      </c>
      <c r="M210" s="5" t="s">
        <v>206</v>
      </c>
      <c r="N210" s="5" t="s">
        <v>26</v>
      </c>
      <c r="O210" s="5" t="s">
        <v>215</v>
      </c>
      <c r="P210" s="5" t="str">
        <f>IF(Clean_Data!$G210&gt;Clean_Data!$J210,Clean_Data!$F210,Clean_Data!$I210)</f>
        <v>Khulna Titans</v>
      </c>
      <c r="Q210" s="5" t="s">
        <v>28</v>
      </c>
      <c r="R210" s="5" t="s">
        <v>29</v>
      </c>
      <c r="S210" s="5">
        <v>2</v>
      </c>
      <c r="T210" s="5">
        <v>0</v>
      </c>
      <c r="U210" s="5" t="s">
        <v>281</v>
      </c>
      <c r="V210" s="5" t="str">
        <f>IF(Clean_Data!$T210&gt;0,"Runs","Wickets")</f>
        <v>Wickets</v>
      </c>
      <c r="W210" s="5">
        <f>IF(Clean_Data!$T210&gt;0,Clean_Data!$T210,Clean_Data!$S210)</f>
        <v>2</v>
      </c>
      <c r="X210" s="5" t="str">
        <f>IF(Clean_Data!$W210&lt;=10,"Close Match","Normal")</f>
        <v>Close Match</v>
      </c>
      <c r="Y210" s="5">
        <f>Clean_Data!$G210+Clean_Data!$J210</f>
        <v>334</v>
      </c>
      <c r="Z210" s="5" t="str">
        <f>IF(Clean_Data!$Y210&gt;=170,"170+ Match","Below 170")</f>
        <v>170+ Match</v>
      </c>
      <c r="AA210" s="5" t="s">
        <v>39</v>
      </c>
      <c r="AB210" s="17" t="s">
        <v>44</v>
      </c>
    </row>
    <row r="211" spans="1:28" x14ac:dyDescent="0.3">
      <c r="A211" s="18" t="s">
        <v>226</v>
      </c>
      <c r="B211" s="19" t="str">
        <f>LEFT(Clean_Data!$A211,4)</f>
        <v>2017</v>
      </c>
      <c r="C211" s="19" t="s">
        <v>85</v>
      </c>
      <c r="D211" s="19" t="str">
        <f>IF(ISNUMBER(SEARCH("Final",Clean_Data!$C211)),"Final",
IF(ISNUMBER(SEARCH("Semi",Clean_Data!$C211)),"Semi-Final",
IF(ISNUMBER(SEARCH("Elimination",Clean_Data!$C211)),"Eliminator",
"League")))</f>
        <v>League</v>
      </c>
      <c r="E211" s="20" t="s">
        <v>457</v>
      </c>
      <c r="F211" s="19" t="s">
        <v>113</v>
      </c>
      <c r="G211" s="19">
        <v>169</v>
      </c>
      <c r="H211" s="19">
        <v>7</v>
      </c>
      <c r="I211" s="19" t="s">
        <v>238</v>
      </c>
      <c r="J211" s="19">
        <v>162</v>
      </c>
      <c r="K211" s="19">
        <v>4</v>
      </c>
      <c r="L211" s="19" t="s">
        <v>102</v>
      </c>
      <c r="M211" s="19" t="s">
        <v>238</v>
      </c>
      <c r="N211" s="19" t="s">
        <v>26</v>
      </c>
      <c r="O211" s="19" t="s">
        <v>189</v>
      </c>
      <c r="P211" s="19" t="str">
        <f>IF(Clean_Data!$G211&gt;Clean_Data!$J211,Clean_Data!$F211,Clean_Data!$I211)</f>
        <v>Rangpur Riders</v>
      </c>
      <c r="Q211" s="19" t="s">
        <v>28</v>
      </c>
      <c r="R211" s="19" t="s">
        <v>29</v>
      </c>
      <c r="S211" s="19">
        <v>0</v>
      </c>
      <c r="T211" s="19">
        <v>7</v>
      </c>
      <c r="U211" s="19" t="s">
        <v>364</v>
      </c>
      <c r="V211" s="19" t="str">
        <f>IF(Clean_Data!$T211&gt;0,"Runs","Wickets")</f>
        <v>Runs</v>
      </c>
      <c r="W211" s="19">
        <f>IF(Clean_Data!$T211&gt;0,Clean_Data!$T211,Clean_Data!$S211)</f>
        <v>7</v>
      </c>
      <c r="X211" s="19" t="str">
        <f>IF(Clean_Data!$W211&lt;=10,"Close Match","Normal")</f>
        <v>Close Match</v>
      </c>
      <c r="Y211" s="19">
        <f>Clean_Data!$G211+Clean_Data!$J211</f>
        <v>331</v>
      </c>
      <c r="Z211" s="19" t="str">
        <f>IF(Clean_Data!$Y211&gt;=170,"170+ Match","Below 170")</f>
        <v>170+ Match</v>
      </c>
      <c r="AA211" s="19" t="s">
        <v>72</v>
      </c>
      <c r="AB211" s="21" t="s">
        <v>229</v>
      </c>
    </row>
    <row r="212" spans="1:28" x14ac:dyDescent="0.3">
      <c r="A212" s="16" t="s">
        <v>226</v>
      </c>
      <c r="B212" s="5" t="str">
        <f>LEFT(Clean_Data!$A212,4)</f>
        <v>2017</v>
      </c>
      <c r="C212" s="5" t="s">
        <v>91</v>
      </c>
      <c r="D212" s="5" t="str">
        <f>IF(ISNUMBER(SEARCH("Final",Clean_Data!$C212)),"Final",
IF(ISNUMBER(SEARCH("Semi",Clean_Data!$C212)),"Semi-Final",
IF(ISNUMBER(SEARCH("Elimination",Clean_Data!$C212)),"Eliminator",
"League")))</f>
        <v>League</v>
      </c>
      <c r="E212" s="6" t="s">
        <v>457</v>
      </c>
      <c r="F212" s="5" t="s">
        <v>160</v>
      </c>
      <c r="G212" s="5">
        <v>128</v>
      </c>
      <c r="H212" s="5">
        <v>10</v>
      </c>
      <c r="I212" s="5" t="s">
        <v>143</v>
      </c>
      <c r="J212" s="5">
        <v>129</v>
      </c>
      <c r="K212" s="5">
        <v>6</v>
      </c>
      <c r="L212" s="5" t="s">
        <v>458</v>
      </c>
      <c r="M212" s="5" t="s">
        <v>160</v>
      </c>
      <c r="N212" s="5" t="s">
        <v>37</v>
      </c>
      <c r="O212" s="5" t="s">
        <v>145</v>
      </c>
      <c r="P212" s="5" t="str">
        <f>IF(Clean_Data!$G212&gt;Clean_Data!$J212,Clean_Data!$F212,Clean_Data!$I212)</f>
        <v>Comilla Victorians</v>
      </c>
      <c r="Q212" s="5" t="s">
        <v>28</v>
      </c>
      <c r="R212" s="5" t="s">
        <v>29</v>
      </c>
      <c r="S212" s="5">
        <v>4</v>
      </c>
      <c r="T212" s="5">
        <v>0</v>
      </c>
      <c r="U212" s="5" t="s">
        <v>90</v>
      </c>
      <c r="V212" s="5" t="str">
        <f>IF(Clean_Data!$T212&gt;0,"Runs","Wickets")</f>
        <v>Wickets</v>
      </c>
      <c r="W212" s="5">
        <f>IF(Clean_Data!$T212&gt;0,Clean_Data!$T212,Clean_Data!$S212)</f>
        <v>4</v>
      </c>
      <c r="X212" s="5" t="str">
        <f>IF(Clean_Data!$W212&lt;=10,"Close Match","Normal")</f>
        <v>Close Match</v>
      </c>
      <c r="Y212" s="5">
        <f>Clean_Data!$G212+Clean_Data!$J212</f>
        <v>257</v>
      </c>
      <c r="Z212" s="5" t="str">
        <f>IF(Clean_Data!$Y212&gt;=170,"170+ Match","Below 170")</f>
        <v>170+ Match</v>
      </c>
      <c r="AA212" s="5" t="s">
        <v>66</v>
      </c>
      <c r="AB212" s="17" t="s">
        <v>147</v>
      </c>
    </row>
    <row r="213" spans="1:28" x14ac:dyDescent="0.3">
      <c r="A213" s="18" t="s">
        <v>226</v>
      </c>
      <c r="B213" s="19" t="str">
        <f>LEFT(Clean_Data!$A213,4)</f>
        <v>2017</v>
      </c>
      <c r="C213" s="19" t="s">
        <v>95</v>
      </c>
      <c r="D213" s="19" t="str">
        <f>IF(ISNUMBER(SEARCH("Final",Clean_Data!$C213)),"Final",
IF(ISNUMBER(SEARCH("Semi",Clean_Data!$C213)),"Semi-Final",
IF(ISNUMBER(SEARCH("Elimination",Clean_Data!$C213)),"Eliminator",
"League")))</f>
        <v>League</v>
      </c>
      <c r="E213" s="20" t="s">
        <v>459</v>
      </c>
      <c r="F213" s="19" t="s">
        <v>143</v>
      </c>
      <c r="G213" s="19">
        <v>153</v>
      </c>
      <c r="H213" s="19">
        <v>6</v>
      </c>
      <c r="I213" s="19" t="s">
        <v>113</v>
      </c>
      <c r="J213" s="19">
        <v>139</v>
      </c>
      <c r="K213" s="19">
        <v>7</v>
      </c>
      <c r="L213" s="19" t="s">
        <v>443</v>
      </c>
      <c r="M213" s="19" t="s">
        <v>113</v>
      </c>
      <c r="N213" s="19" t="s">
        <v>26</v>
      </c>
      <c r="O213" s="19" t="s">
        <v>145</v>
      </c>
      <c r="P213" s="19" t="str">
        <f>IF(Clean_Data!$G213&gt;Clean_Data!$J213,Clean_Data!$F213,Clean_Data!$I213)</f>
        <v>Comilla Victorians</v>
      </c>
      <c r="Q213" s="19" t="s">
        <v>28</v>
      </c>
      <c r="R213" s="19" t="s">
        <v>29</v>
      </c>
      <c r="S213" s="19">
        <v>0</v>
      </c>
      <c r="T213" s="19">
        <v>14</v>
      </c>
      <c r="U213" s="19" t="s">
        <v>135</v>
      </c>
      <c r="V213" s="19" t="str">
        <f>IF(Clean_Data!$T213&gt;0,"Runs","Wickets")</f>
        <v>Runs</v>
      </c>
      <c r="W213" s="19">
        <f>IF(Clean_Data!$T213&gt;0,Clean_Data!$T213,Clean_Data!$S213)</f>
        <v>14</v>
      </c>
      <c r="X213" s="19" t="str">
        <f>IF(Clean_Data!$W213&lt;=10,"Close Match","Normal")</f>
        <v>Normal</v>
      </c>
      <c r="Y213" s="19">
        <f>Clean_Data!$G213+Clean_Data!$J213</f>
        <v>292</v>
      </c>
      <c r="Z213" s="19" t="str">
        <f>IF(Clean_Data!$Y213&gt;=170,"170+ Match","Below 170")</f>
        <v>170+ Match</v>
      </c>
      <c r="AA213" s="19" t="s">
        <v>50</v>
      </c>
      <c r="AB213" s="21" t="s">
        <v>147</v>
      </c>
    </row>
    <row r="214" spans="1:28" x14ac:dyDescent="0.3">
      <c r="A214" s="16" t="s">
        <v>226</v>
      </c>
      <c r="B214" s="5" t="str">
        <f>LEFT(Clean_Data!$A214,4)</f>
        <v>2017</v>
      </c>
      <c r="C214" s="5" t="s">
        <v>104</v>
      </c>
      <c r="D214" s="5" t="str">
        <f>IF(ISNUMBER(SEARCH("Final",Clean_Data!$C214)),"Final",
IF(ISNUMBER(SEARCH("Semi",Clean_Data!$C214)),"Semi-Final",
IF(ISNUMBER(SEARCH("Elimination",Clean_Data!$C214)),"Eliminator",
"League")))</f>
        <v>League</v>
      </c>
      <c r="E214" s="6" t="s">
        <v>459</v>
      </c>
      <c r="F214" s="5" t="s">
        <v>160</v>
      </c>
      <c r="G214" s="5">
        <v>201</v>
      </c>
      <c r="H214" s="5">
        <v>7</v>
      </c>
      <c r="I214" s="5" t="s">
        <v>199</v>
      </c>
      <c r="J214" s="5">
        <v>133</v>
      </c>
      <c r="K214" s="5">
        <v>10</v>
      </c>
      <c r="L214" s="5" t="s">
        <v>259</v>
      </c>
      <c r="M214" s="5" t="s">
        <v>199</v>
      </c>
      <c r="N214" s="5" t="s">
        <v>26</v>
      </c>
      <c r="O214" s="5" t="s">
        <v>193</v>
      </c>
      <c r="P214" s="5" t="str">
        <f>IF(Clean_Data!$G214&gt;Clean_Data!$J214,Clean_Data!$F214,Clean_Data!$I214)</f>
        <v>Dhaka Dynamites</v>
      </c>
      <c r="Q214" s="5" t="s">
        <v>28</v>
      </c>
      <c r="R214" s="5" t="s">
        <v>29</v>
      </c>
      <c r="S214" s="5">
        <v>0</v>
      </c>
      <c r="T214" s="5">
        <v>68</v>
      </c>
      <c r="U214" s="5" t="s">
        <v>361</v>
      </c>
      <c r="V214" s="5" t="str">
        <f>IF(Clean_Data!$T214&gt;0,"Runs","Wickets")</f>
        <v>Runs</v>
      </c>
      <c r="W214" s="5">
        <f>IF(Clean_Data!$T214&gt;0,Clean_Data!$T214,Clean_Data!$S214)</f>
        <v>68</v>
      </c>
      <c r="X214" s="5" t="str">
        <f>IF(Clean_Data!$W214&lt;=10,"Close Match","Normal")</f>
        <v>Normal</v>
      </c>
      <c r="Y214" s="5">
        <f>Clean_Data!$G214+Clean_Data!$J214</f>
        <v>334</v>
      </c>
      <c r="Z214" s="5" t="str">
        <f>IF(Clean_Data!$Y214&gt;=170,"170+ Match","Below 170")</f>
        <v>170+ Match</v>
      </c>
      <c r="AA214" s="5" t="s">
        <v>39</v>
      </c>
      <c r="AB214" s="17" t="s">
        <v>229</v>
      </c>
    </row>
    <row r="215" spans="1:28" x14ac:dyDescent="0.3">
      <c r="A215" s="18" t="s">
        <v>226</v>
      </c>
      <c r="B215" s="19" t="str">
        <f>LEFT(Clean_Data!$A215,4)</f>
        <v>2017</v>
      </c>
      <c r="C215" s="19" t="s">
        <v>110</v>
      </c>
      <c r="D215" s="19" t="str">
        <f>IF(ISNUMBER(SEARCH("Final",Clean_Data!$C215)),"Final",
IF(ISNUMBER(SEARCH("Semi",Clean_Data!$C215)),"Semi-Final",
IF(ISNUMBER(SEARCH("Elimination",Clean_Data!$C215)),"Eliminator",
"League")))</f>
        <v>League</v>
      </c>
      <c r="E215" s="20" t="s">
        <v>460</v>
      </c>
      <c r="F215" s="19" t="s">
        <v>179</v>
      </c>
      <c r="G215" s="19">
        <v>160</v>
      </c>
      <c r="H215" s="19">
        <v>5</v>
      </c>
      <c r="I215" s="19" t="s">
        <v>206</v>
      </c>
      <c r="J215" s="19">
        <v>164</v>
      </c>
      <c r="K215" s="19">
        <v>5</v>
      </c>
      <c r="L215" s="19" t="s">
        <v>461</v>
      </c>
      <c r="M215" s="19" t="s">
        <v>206</v>
      </c>
      <c r="N215" s="19" t="s">
        <v>26</v>
      </c>
      <c r="O215" s="19" t="s">
        <v>215</v>
      </c>
      <c r="P215" s="19" t="str">
        <f>IF(Clean_Data!$G215&gt;Clean_Data!$J215,Clean_Data!$F215,Clean_Data!$I215)</f>
        <v>Khulna Titans</v>
      </c>
      <c r="Q215" s="19" t="s">
        <v>28</v>
      </c>
      <c r="R215" s="19" t="s">
        <v>29</v>
      </c>
      <c r="S215" s="19">
        <v>5</v>
      </c>
      <c r="T215" s="19">
        <v>0</v>
      </c>
      <c r="U215" s="19" t="s">
        <v>55</v>
      </c>
      <c r="V215" s="19" t="str">
        <f>IF(Clean_Data!$T215&gt;0,"Runs","Wickets")</f>
        <v>Wickets</v>
      </c>
      <c r="W215" s="19">
        <f>IF(Clean_Data!$T215&gt;0,Clean_Data!$T215,Clean_Data!$S215)</f>
        <v>5</v>
      </c>
      <c r="X215" s="19" t="str">
        <f>IF(Clean_Data!$W215&lt;=10,"Close Match","Normal")</f>
        <v>Close Match</v>
      </c>
      <c r="Y215" s="19">
        <f>Clean_Data!$G215+Clean_Data!$J215</f>
        <v>324</v>
      </c>
      <c r="Z215" s="19" t="str">
        <f>IF(Clean_Data!$Y215&gt;=170,"170+ Match","Below 170")</f>
        <v>170+ Match</v>
      </c>
      <c r="AA215" s="19" t="s">
        <v>39</v>
      </c>
      <c r="AB215" s="21" t="s">
        <v>229</v>
      </c>
    </row>
    <row r="216" spans="1:28" x14ac:dyDescent="0.3">
      <c r="A216" s="16" t="s">
        <v>226</v>
      </c>
      <c r="B216" s="5" t="str">
        <f>LEFT(Clean_Data!$A216,4)</f>
        <v>2017</v>
      </c>
      <c r="C216" s="5" t="s">
        <v>116</v>
      </c>
      <c r="D216" s="5" t="str">
        <f>IF(ISNUMBER(SEARCH("Final",Clean_Data!$C216)),"Final",
IF(ISNUMBER(SEARCH("Semi",Clean_Data!$C216)),"Semi-Final",
IF(ISNUMBER(SEARCH("Elimination",Clean_Data!$C216)),"Eliminator",
"League")))</f>
        <v>League</v>
      </c>
      <c r="E216" s="6" t="s">
        <v>460</v>
      </c>
      <c r="F216" s="5" t="s">
        <v>238</v>
      </c>
      <c r="G216" s="5">
        <v>146</v>
      </c>
      <c r="H216" s="5">
        <v>6</v>
      </c>
      <c r="I216" s="5" t="s">
        <v>199</v>
      </c>
      <c r="J216" s="5">
        <v>150</v>
      </c>
      <c r="K216" s="5">
        <v>3</v>
      </c>
      <c r="L216" s="5" t="s">
        <v>462</v>
      </c>
      <c r="M216" s="5" t="s">
        <v>199</v>
      </c>
      <c r="N216" s="5" t="s">
        <v>26</v>
      </c>
      <c r="O216" s="5" t="s">
        <v>208</v>
      </c>
      <c r="P216" s="5" t="str">
        <f>IF(Clean_Data!$G216&gt;Clean_Data!$J216,Clean_Data!$F216,Clean_Data!$I216)</f>
        <v>Rajshahi Kings</v>
      </c>
      <c r="Q216" s="5" t="s">
        <v>28</v>
      </c>
      <c r="R216" s="5" t="s">
        <v>29</v>
      </c>
      <c r="S216" s="5">
        <v>7</v>
      </c>
      <c r="T216" s="5">
        <v>0</v>
      </c>
      <c r="U216" s="5" t="s">
        <v>118</v>
      </c>
      <c r="V216" s="5" t="str">
        <f>IF(Clean_Data!$T216&gt;0,"Runs","Wickets")</f>
        <v>Wickets</v>
      </c>
      <c r="W216" s="5">
        <f>IF(Clean_Data!$T216&gt;0,Clean_Data!$T216,Clean_Data!$S216)</f>
        <v>7</v>
      </c>
      <c r="X216" s="5" t="str">
        <f>IF(Clean_Data!$W216&lt;=10,"Close Match","Normal")</f>
        <v>Close Match</v>
      </c>
      <c r="Y216" s="5">
        <f>Clean_Data!$G216+Clean_Data!$J216</f>
        <v>296</v>
      </c>
      <c r="Z216" s="5" t="str">
        <f>IF(Clean_Data!$Y216&gt;=170,"170+ Match","Below 170")</f>
        <v>170+ Match</v>
      </c>
      <c r="AA216" s="5" t="s">
        <v>50</v>
      </c>
      <c r="AB216" s="17" t="s">
        <v>147</v>
      </c>
    </row>
    <row r="217" spans="1:28" x14ac:dyDescent="0.3">
      <c r="A217" s="18" t="s">
        <v>226</v>
      </c>
      <c r="B217" s="19" t="str">
        <f>LEFT(Clean_Data!$A217,4)</f>
        <v>2017</v>
      </c>
      <c r="C217" s="19" t="s">
        <v>132</v>
      </c>
      <c r="D217" s="19" t="str">
        <f>IF(ISNUMBER(SEARCH("Final",Clean_Data!$C217)),"Final",
IF(ISNUMBER(SEARCH("Semi",Clean_Data!$C217)),"Semi-Final",
IF(ISNUMBER(SEARCH("Elimination",Clean_Data!$C217)),"Eliminator",
"League")))</f>
        <v>League</v>
      </c>
      <c r="E217" s="20" t="s">
        <v>463</v>
      </c>
      <c r="F217" s="19" t="s">
        <v>179</v>
      </c>
      <c r="G217" s="19">
        <v>139</v>
      </c>
      <c r="H217" s="19">
        <v>4</v>
      </c>
      <c r="I217" s="19" t="s">
        <v>143</v>
      </c>
      <c r="J217" s="19">
        <v>140</v>
      </c>
      <c r="K217" s="19">
        <v>4</v>
      </c>
      <c r="L217" s="19" t="s">
        <v>464</v>
      </c>
      <c r="M217" s="19" t="s">
        <v>143</v>
      </c>
      <c r="N217" s="19" t="s">
        <v>26</v>
      </c>
      <c r="O217" s="19" t="s">
        <v>145</v>
      </c>
      <c r="P217" s="19" t="str">
        <f>IF(Clean_Data!$G217&gt;Clean_Data!$J217,Clean_Data!$F217,Clean_Data!$I217)</f>
        <v>Comilla Victorians</v>
      </c>
      <c r="Q217" s="19" t="s">
        <v>28</v>
      </c>
      <c r="R217" s="19" t="s">
        <v>29</v>
      </c>
      <c r="S217" s="19">
        <v>6</v>
      </c>
      <c r="T217" s="19">
        <v>0</v>
      </c>
      <c r="U217" s="19" t="s">
        <v>151</v>
      </c>
      <c r="V217" s="19" t="str">
        <f>IF(Clean_Data!$T217&gt;0,"Runs","Wickets")</f>
        <v>Wickets</v>
      </c>
      <c r="W217" s="19">
        <f>IF(Clean_Data!$T217&gt;0,Clean_Data!$T217,Clean_Data!$S217)</f>
        <v>6</v>
      </c>
      <c r="X217" s="19" t="str">
        <f>IF(Clean_Data!$W217&lt;=10,"Close Match","Normal")</f>
        <v>Close Match</v>
      </c>
      <c r="Y217" s="19">
        <f>Clean_Data!$G217+Clean_Data!$J217</f>
        <v>279</v>
      </c>
      <c r="Z217" s="19" t="str">
        <f>IF(Clean_Data!$Y217&gt;=170,"170+ Match","Below 170")</f>
        <v>170+ Match</v>
      </c>
      <c r="AA217" s="19" t="s">
        <v>229</v>
      </c>
      <c r="AB217" s="21" t="s">
        <v>44</v>
      </c>
    </row>
    <row r="218" spans="1:28" x14ac:dyDescent="0.3">
      <c r="A218" s="16" t="s">
        <v>226</v>
      </c>
      <c r="B218" s="5" t="str">
        <f>LEFT(Clean_Data!$A218,4)</f>
        <v>2017</v>
      </c>
      <c r="C218" s="5" t="s">
        <v>138</v>
      </c>
      <c r="D218" s="5" t="str">
        <f>IF(ISNUMBER(SEARCH("Final",Clean_Data!$C218)),"Final",
IF(ISNUMBER(SEARCH("Semi",Clean_Data!$C218)),"Semi-Final",
IF(ISNUMBER(SEARCH("Elimination",Clean_Data!$C218)),"Eliminator",
"League")))</f>
        <v>League</v>
      </c>
      <c r="E218" s="6" t="s">
        <v>463</v>
      </c>
      <c r="F218" s="5" t="s">
        <v>206</v>
      </c>
      <c r="G218" s="5">
        <v>156</v>
      </c>
      <c r="H218" s="5">
        <v>5</v>
      </c>
      <c r="I218" s="5" t="s">
        <v>160</v>
      </c>
      <c r="J218" s="5">
        <v>157</v>
      </c>
      <c r="K218" s="5">
        <v>6</v>
      </c>
      <c r="L218" s="5" t="s">
        <v>188</v>
      </c>
      <c r="M218" s="5" t="s">
        <v>160</v>
      </c>
      <c r="N218" s="5" t="s">
        <v>26</v>
      </c>
      <c r="O218" s="5" t="s">
        <v>193</v>
      </c>
      <c r="P218" s="5" t="str">
        <f>IF(Clean_Data!$G218&gt;Clean_Data!$J218,Clean_Data!$F218,Clean_Data!$I218)</f>
        <v>Dhaka Dynamites</v>
      </c>
      <c r="Q218" s="5" t="s">
        <v>28</v>
      </c>
      <c r="R218" s="5" t="s">
        <v>29</v>
      </c>
      <c r="S218" s="5">
        <v>4</v>
      </c>
      <c r="T218" s="5">
        <v>0</v>
      </c>
      <c r="U218" s="5" t="s">
        <v>90</v>
      </c>
      <c r="V218" s="5" t="str">
        <f>IF(Clean_Data!$T218&gt;0,"Runs","Wickets")</f>
        <v>Wickets</v>
      </c>
      <c r="W218" s="5">
        <f>IF(Clean_Data!$T218&gt;0,Clean_Data!$T218,Clean_Data!$S218)</f>
        <v>4</v>
      </c>
      <c r="X218" s="5" t="str">
        <f>IF(Clean_Data!$W218&lt;=10,"Close Match","Normal")</f>
        <v>Close Match</v>
      </c>
      <c r="Y218" s="5">
        <f>Clean_Data!$G218+Clean_Data!$J218</f>
        <v>313</v>
      </c>
      <c r="Z218" s="5" t="str">
        <f>IF(Clean_Data!$Y218&gt;=170,"170+ Match","Below 170")</f>
        <v>170+ Match</v>
      </c>
      <c r="AA218" s="5" t="s">
        <v>50</v>
      </c>
      <c r="AB218" s="17" t="s">
        <v>147</v>
      </c>
    </row>
    <row r="219" spans="1:28" x14ac:dyDescent="0.3">
      <c r="A219" s="18" t="s">
        <v>226</v>
      </c>
      <c r="B219" s="19" t="str">
        <f>LEFT(Clean_Data!$A219,4)</f>
        <v>2017</v>
      </c>
      <c r="C219" s="19" t="s">
        <v>148</v>
      </c>
      <c r="D219" s="19" t="str">
        <f>IF(ISNUMBER(SEARCH("Final",Clean_Data!$C219)),"Final",
IF(ISNUMBER(SEARCH("Semi",Clean_Data!$C219)),"Semi-Final",
IF(ISNUMBER(SEARCH("Elimination",Clean_Data!$C219)),"Eliminator",
"League")))</f>
        <v>League</v>
      </c>
      <c r="E219" s="20" t="s">
        <v>465</v>
      </c>
      <c r="F219" s="19" t="s">
        <v>199</v>
      </c>
      <c r="G219" s="19">
        <v>115</v>
      </c>
      <c r="H219" s="19">
        <v>7</v>
      </c>
      <c r="I219" s="19" t="s">
        <v>143</v>
      </c>
      <c r="J219" s="19">
        <v>120</v>
      </c>
      <c r="K219" s="19">
        <v>1</v>
      </c>
      <c r="L219" s="19" t="s">
        <v>217</v>
      </c>
      <c r="M219" s="19" t="s">
        <v>143</v>
      </c>
      <c r="N219" s="19" t="s">
        <v>26</v>
      </c>
      <c r="O219" s="19" t="s">
        <v>145</v>
      </c>
      <c r="P219" s="19" t="str">
        <f>IF(Clean_Data!$G219&gt;Clean_Data!$J219,Clean_Data!$F219,Clean_Data!$I219)</f>
        <v>Comilla Victorians</v>
      </c>
      <c r="Q219" s="19" t="s">
        <v>28</v>
      </c>
      <c r="R219" s="19" t="s">
        <v>29</v>
      </c>
      <c r="S219" s="19">
        <v>9</v>
      </c>
      <c r="T219" s="19">
        <v>0</v>
      </c>
      <c r="U219" s="19" t="s">
        <v>71</v>
      </c>
      <c r="V219" s="19" t="str">
        <f>IF(Clean_Data!$T219&gt;0,"Runs","Wickets")</f>
        <v>Wickets</v>
      </c>
      <c r="W219" s="19">
        <f>IF(Clean_Data!$T219&gt;0,Clean_Data!$T219,Clean_Data!$S219)</f>
        <v>9</v>
      </c>
      <c r="X219" s="19" t="str">
        <f>IF(Clean_Data!$W219&lt;=10,"Close Match","Normal")</f>
        <v>Close Match</v>
      </c>
      <c r="Y219" s="19">
        <f>Clean_Data!$G219+Clean_Data!$J219</f>
        <v>235</v>
      </c>
      <c r="Z219" s="19" t="str">
        <f>IF(Clean_Data!$Y219&gt;=170,"170+ Match","Below 170")</f>
        <v>170+ Match</v>
      </c>
      <c r="AA219" s="19" t="s">
        <v>66</v>
      </c>
      <c r="AB219" s="21" t="s">
        <v>229</v>
      </c>
    </row>
    <row r="220" spans="1:28" x14ac:dyDescent="0.3">
      <c r="A220" s="16" t="s">
        <v>226</v>
      </c>
      <c r="B220" s="5" t="str">
        <f>LEFT(Clean_Data!$A220,4)</f>
        <v>2017</v>
      </c>
      <c r="C220" s="5" t="s">
        <v>156</v>
      </c>
      <c r="D220" s="5" t="str">
        <f>IF(ISNUMBER(SEARCH("Final",Clean_Data!$C220)),"Final",
IF(ISNUMBER(SEARCH("Semi",Clean_Data!$C220)),"Semi-Final",
IF(ISNUMBER(SEARCH("Elimination",Clean_Data!$C220)),"Eliminator",
"League")))</f>
        <v>League</v>
      </c>
      <c r="E220" s="6" t="s">
        <v>465</v>
      </c>
      <c r="F220" s="5" t="s">
        <v>206</v>
      </c>
      <c r="G220" s="5">
        <v>170</v>
      </c>
      <c r="H220" s="5">
        <v>7</v>
      </c>
      <c r="I220" s="5" t="s">
        <v>179</v>
      </c>
      <c r="J220" s="5">
        <v>152</v>
      </c>
      <c r="K220" s="5">
        <v>7</v>
      </c>
      <c r="L220" s="5" t="s">
        <v>466</v>
      </c>
      <c r="M220" s="5" t="s">
        <v>179</v>
      </c>
      <c r="N220" s="5" t="s">
        <v>26</v>
      </c>
      <c r="O220" s="5" t="s">
        <v>215</v>
      </c>
      <c r="P220" s="5" t="str">
        <f>IF(Clean_Data!$G220&gt;Clean_Data!$J220,Clean_Data!$F220,Clean_Data!$I220)</f>
        <v>Khulna Titans</v>
      </c>
      <c r="Q220" s="5" t="s">
        <v>28</v>
      </c>
      <c r="R220" s="5" t="s">
        <v>29</v>
      </c>
      <c r="S220" s="5">
        <v>0</v>
      </c>
      <c r="T220" s="5">
        <v>18</v>
      </c>
      <c r="U220" s="5" t="s">
        <v>162</v>
      </c>
      <c r="V220" s="5" t="str">
        <f>IF(Clean_Data!$T220&gt;0,"Runs","Wickets")</f>
        <v>Runs</v>
      </c>
      <c r="W220" s="5">
        <f>IF(Clean_Data!$T220&gt;0,Clean_Data!$T220,Clean_Data!$S220)</f>
        <v>18</v>
      </c>
      <c r="X220" s="5" t="str">
        <f>IF(Clean_Data!$W220&lt;=10,"Close Match","Normal")</f>
        <v>Normal</v>
      </c>
      <c r="Y220" s="5">
        <f>Clean_Data!$G220+Clean_Data!$J220</f>
        <v>322</v>
      </c>
      <c r="Z220" s="5" t="str">
        <f>IF(Clean_Data!$Y220&gt;=170,"170+ Match","Below 170")</f>
        <v>170+ Match</v>
      </c>
      <c r="AA220" s="5" t="s">
        <v>50</v>
      </c>
      <c r="AB220" s="17" t="s">
        <v>147</v>
      </c>
    </row>
    <row r="221" spans="1:28" x14ac:dyDescent="0.3">
      <c r="A221" s="18" t="s">
        <v>226</v>
      </c>
      <c r="B221" s="19" t="str">
        <f>LEFT(Clean_Data!$A221,4)</f>
        <v>2017</v>
      </c>
      <c r="C221" s="19" t="s">
        <v>163</v>
      </c>
      <c r="D221" s="19" t="str">
        <f>IF(ISNUMBER(SEARCH("Final",Clean_Data!$C221)),"Final",
IF(ISNUMBER(SEARCH("Semi",Clean_Data!$C221)),"Semi-Final",
IF(ISNUMBER(SEARCH("Elimination",Clean_Data!$C221)),"Eliminator",
"League")))</f>
        <v>League</v>
      </c>
      <c r="E221" s="20" t="s">
        <v>467</v>
      </c>
      <c r="F221" s="19" t="s">
        <v>238</v>
      </c>
      <c r="G221" s="19">
        <v>101</v>
      </c>
      <c r="H221" s="19">
        <v>9</v>
      </c>
      <c r="I221" s="19" t="s">
        <v>160</v>
      </c>
      <c r="J221" s="19">
        <v>106</v>
      </c>
      <c r="K221" s="19">
        <v>2</v>
      </c>
      <c r="L221" s="19" t="s">
        <v>235</v>
      </c>
      <c r="M221" s="19" t="s">
        <v>160</v>
      </c>
      <c r="N221" s="19" t="s">
        <v>26</v>
      </c>
      <c r="O221" s="19" t="s">
        <v>193</v>
      </c>
      <c r="P221" s="19" t="str">
        <f>IF(Clean_Data!$G221&gt;Clean_Data!$J221,Clean_Data!$F221,Clean_Data!$I221)</f>
        <v>Dhaka Dynamites</v>
      </c>
      <c r="Q221" s="19" t="s">
        <v>28</v>
      </c>
      <c r="R221" s="19" t="s">
        <v>29</v>
      </c>
      <c r="S221" s="19">
        <v>8</v>
      </c>
      <c r="T221" s="19">
        <v>0</v>
      </c>
      <c r="U221" s="19" t="s">
        <v>30</v>
      </c>
      <c r="V221" s="19" t="str">
        <f>IF(Clean_Data!$T221&gt;0,"Runs","Wickets")</f>
        <v>Wickets</v>
      </c>
      <c r="W221" s="19">
        <f>IF(Clean_Data!$T221&gt;0,Clean_Data!$T221,Clean_Data!$S221)</f>
        <v>8</v>
      </c>
      <c r="X221" s="19" t="str">
        <f>IF(Clean_Data!$W221&lt;=10,"Close Match","Normal")</f>
        <v>Close Match</v>
      </c>
      <c r="Y221" s="19">
        <f>Clean_Data!$G221+Clean_Data!$J221</f>
        <v>207</v>
      </c>
      <c r="Z221" s="19" t="str">
        <f>IF(Clean_Data!$Y221&gt;=170,"170+ Match","Below 170")</f>
        <v>170+ Match</v>
      </c>
      <c r="AA221" s="19" t="s">
        <v>39</v>
      </c>
      <c r="AB221" s="21" t="s">
        <v>147</v>
      </c>
    </row>
    <row r="222" spans="1:28" x14ac:dyDescent="0.3">
      <c r="A222" s="16" t="s">
        <v>226</v>
      </c>
      <c r="B222" s="5" t="str">
        <f>LEFT(Clean_Data!$A222,4)</f>
        <v>2017</v>
      </c>
      <c r="C222" s="5" t="s">
        <v>168</v>
      </c>
      <c r="D222" s="5" t="str">
        <f>IF(ISNUMBER(SEARCH("Final",Clean_Data!$C222)),"Final",
IF(ISNUMBER(SEARCH("Semi",Clean_Data!$C222)),"Semi-Final",
IF(ISNUMBER(SEARCH("Elimination",Clean_Data!$C222)),"Eliminator",
"League")))</f>
        <v>League</v>
      </c>
      <c r="E222" s="6" t="s">
        <v>467</v>
      </c>
      <c r="F222" s="5" t="s">
        <v>113</v>
      </c>
      <c r="G222" s="5">
        <v>134</v>
      </c>
      <c r="H222" s="5">
        <v>5</v>
      </c>
      <c r="I222" s="5" t="s">
        <v>199</v>
      </c>
      <c r="J222" s="5">
        <v>138</v>
      </c>
      <c r="K222" s="5">
        <v>2</v>
      </c>
      <c r="L222" s="5" t="s">
        <v>87</v>
      </c>
      <c r="M222" s="5" t="s">
        <v>113</v>
      </c>
      <c r="N222" s="5" t="s">
        <v>37</v>
      </c>
      <c r="O222" s="5" t="s">
        <v>208</v>
      </c>
      <c r="P222" s="5" t="str">
        <f>IF(Clean_Data!$G222&gt;Clean_Data!$J222,Clean_Data!$F222,Clean_Data!$I222)</f>
        <v>Rajshahi Kings</v>
      </c>
      <c r="Q222" s="5" t="s">
        <v>28</v>
      </c>
      <c r="R222" s="5" t="s">
        <v>29</v>
      </c>
      <c r="S222" s="5">
        <v>8</v>
      </c>
      <c r="T222" s="5">
        <v>0</v>
      </c>
      <c r="U222" s="5" t="s">
        <v>30</v>
      </c>
      <c r="V222" s="5" t="str">
        <f>IF(Clean_Data!$T222&gt;0,"Runs","Wickets")</f>
        <v>Wickets</v>
      </c>
      <c r="W222" s="5">
        <f>IF(Clean_Data!$T222&gt;0,Clean_Data!$T222,Clean_Data!$S222)</f>
        <v>8</v>
      </c>
      <c r="X222" s="5" t="str">
        <f>IF(Clean_Data!$W222&lt;=10,"Close Match","Normal")</f>
        <v>Close Match</v>
      </c>
      <c r="Y222" s="5">
        <f>Clean_Data!$G222+Clean_Data!$J222</f>
        <v>272</v>
      </c>
      <c r="Z222" s="5" t="str">
        <f>IF(Clean_Data!$Y222&gt;=170,"170+ Match","Below 170")</f>
        <v>170+ Match</v>
      </c>
      <c r="AA222" s="5" t="s">
        <v>72</v>
      </c>
      <c r="AB222" s="17" t="s">
        <v>229</v>
      </c>
    </row>
    <row r="223" spans="1:28" x14ac:dyDescent="0.3">
      <c r="A223" s="18" t="s">
        <v>226</v>
      </c>
      <c r="B223" s="19" t="str">
        <f>LEFT(Clean_Data!$A223,4)</f>
        <v>2017</v>
      </c>
      <c r="C223" s="19" t="s">
        <v>170</v>
      </c>
      <c r="D223" s="19" t="str">
        <f>IF(ISNUMBER(SEARCH("Final",Clean_Data!$C223)),"Final",
IF(ISNUMBER(SEARCH("Semi",Clean_Data!$C223)),"Semi-Final",
IF(ISNUMBER(SEARCH("Elimination",Clean_Data!$C223)),"Eliminator",
"League")))</f>
        <v>League</v>
      </c>
      <c r="E223" s="20" t="s">
        <v>468</v>
      </c>
      <c r="F223" s="19" t="s">
        <v>238</v>
      </c>
      <c r="G223" s="19">
        <v>135</v>
      </c>
      <c r="H223" s="19">
        <v>5</v>
      </c>
      <c r="I223" s="19" t="s">
        <v>206</v>
      </c>
      <c r="J223" s="19">
        <v>138</v>
      </c>
      <c r="K223" s="19">
        <v>4</v>
      </c>
      <c r="L223" s="19" t="s">
        <v>157</v>
      </c>
      <c r="M223" s="19" t="s">
        <v>206</v>
      </c>
      <c r="N223" s="19" t="s">
        <v>26</v>
      </c>
      <c r="O223" s="19" t="s">
        <v>215</v>
      </c>
      <c r="P223" s="19" t="str">
        <f>IF(Clean_Data!$G223&gt;Clean_Data!$J223,Clean_Data!$F223,Clean_Data!$I223)</f>
        <v>Khulna Titans</v>
      </c>
      <c r="Q223" s="19" t="s">
        <v>469</v>
      </c>
      <c r="R223" s="19" t="s">
        <v>470</v>
      </c>
      <c r="S223" s="19">
        <v>6</v>
      </c>
      <c r="T223" s="19">
        <v>0</v>
      </c>
      <c r="U223" s="19" t="s">
        <v>151</v>
      </c>
      <c r="V223" s="19" t="str">
        <f>IF(Clean_Data!$T223&gt;0,"Runs","Wickets")</f>
        <v>Wickets</v>
      </c>
      <c r="W223" s="19">
        <f>IF(Clean_Data!$T223&gt;0,Clean_Data!$T223,Clean_Data!$S223)</f>
        <v>6</v>
      </c>
      <c r="X223" s="19" t="str">
        <f>IF(Clean_Data!$W223&lt;=10,"Close Match","Normal")</f>
        <v>Close Match</v>
      </c>
      <c r="Y223" s="19">
        <f>Clean_Data!$G223+Clean_Data!$J223</f>
        <v>273</v>
      </c>
      <c r="Z223" s="19" t="str">
        <f>IF(Clean_Data!$Y223&gt;=170,"170+ Match","Below 170")</f>
        <v>170+ Match</v>
      </c>
      <c r="AA223" s="19" t="s">
        <v>72</v>
      </c>
      <c r="AB223" s="21" t="s">
        <v>66</v>
      </c>
    </row>
    <row r="224" spans="1:28" x14ac:dyDescent="0.3">
      <c r="A224" s="16" t="s">
        <v>226</v>
      </c>
      <c r="B224" s="5" t="str">
        <f>LEFT(Clean_Data!$A224,4)</f>
        <v>2017</v>
      </c>
      <c r="C224" s="5" t="s">
        <v>176</v>
      </c>
      <c r="D224" s="5" t="str">
        <f>IF(ISNUMBER(SEARCH("Final",Clean_Data!$C224)),"Final",
IF(ISNUMBER(SEARCH("Semi",Clean_Data!$C224)),"Semi-Final",
IF(ISNUMBER(SEARCH("Elimination",Clean_Data!$C224)),"Eliminator",
"League")))</f>
        <v>League</v>
      </c>
      <c r="E224" s="6" t="s">
        <v>468</v>
      </c>
      <c r="F224" s="5" t="s">
        <v>179</v>
      </c>
      <c r="G224" s="5">
        <v>166</v>
      </c>
      <c r="H224" s="5">
        <v>4</v>
      </c>
      <c r="I224" s="5" t="s">
        <v>113</v>
      </c>
      <c r="J224" s="5">
        <v>155</v>
      </c>
      <c r="K224" s="5">
        <v>8</v>
      </c>
      <c r="L224" s="5" t="s">
        <v>94</v>
      </c>
      <c r="M224" s="5" t="s">
        <v>113</v>
      </c>
      <c r="N224" s="5" t="s">
        <v>26</v>
      </c>
      <c r="O224" s="5" t="s">
        <v>245</v>
      </c>
      <c r="P224" s="5" t="str">
        <f>IF(Clean_Data!$G224&gt;Clean_Data!$J224,Clean_Data!$F224,Clean_Data!$I224)</f>
        <v>Chittagong Vikings</v>
      </c>
      <c r="Q224" s="5" t="s">
        <v>469</v>
      </c>
      <c r="R224" s="5" t="s">
        <v>470</v>
      </c>
      <c r="S224" s="5">
        <v>0</v>
      </c>
      <c r="T224" s="5">
        <v>11</v>
      </c>
      <c r="U224" s="5" t="s">
        <v>273</v>
      </c>
      <c r="V224" s="5" t="str">
        <f>IF(Clean_Data!$T224&gt;0,"Runs","Wickets")</f>
        <v>Runs</v>
      </c>
      <c r="W224" s="5">
        <f>IF(Clean_Data!$T224&gt;0,Clean_Data!$T224,Clean_Data!$S224)</f>
        <v>11</v>
      </c>
      <c r="X224" s="5" t="str">
        <f>IF(Clean_Data!$W224&lt;=10,"Close Match","Normal")</f>
        <v>Normal</v>
      </c>
      <c r="Y224" s="5">
        <f>Clean_Data!$G224+Clean_Data!$J224</f>
        <v>321</v>
      </c>
      <c r="Z224" s="5" t="str">
        <f>IF(Clean_Data!$Y224&gt;=170,"170+ Match","Below 170")</f>
        <v>170+ Match</v>
      </c>
      <c r="AA224" s="5" t="s">
        <v>229</v>
      </c>
      <c r="AB224" s="17" t="s">
        <v>44</v>
      </c>
    </row>
    <row r="225" spans="1:28" x14ac:dyDescent="0.3">
      <c r="A225" s="18" t="s">
        <v>226</v>
      </c>
      <c r="B225" s="19" t="str">
        <f>LEFT(Clean_Data!$A225,4)</f>
        <v>2017</v>
      </c>
      <c r="C225" s="19" t="s">
        <v>180</v>
      </c>
      <c r="D225" s="19" t="str">
        <f>IF(ISNUMBER(SEARCH("Final",Clean_Data!$C225)),"Final",
IF(ISNUMBER(SEARCH("Semi",Clean_Data!$C225)),"Semi-Final",
IF(ISNUMBER(SEARCH("Elimination",Clean_Data!$C225)),"Eliminator",
"League")))</f>
        <v>League</v>
      </c>
      <c r="E225" s="20" t="s">
        <v>471</v>
      </c>
      <c r="F225" s="19" t="s">
        <v>238</v>
      </c>
      <c r="G225" s="19">
        <v>205</v>
      </c>
      <c r="H225" s="19">
        <v>6</v>
      </c>
      <c r="I225" s="19" t="s">
        <v>199</v>
      </c>
      <c r="J225" s="19">
        <v>172</v>
      </c>
      <c r="K225" s="19">
        <v>8</v>
      </c>
      <c r="L225" s="19" t="s">
        <v>472</v>
      </c>
      <c r="M225" s="19" t="s">
        <v>199</v>
      </c>
      <c r="N225" s="19" t="s">
        <v>26</v>
      </c>
      <c r="O225" s="19" t="s">
        <v>250</v>
      </c>
      <c r="P225" s="19" t="str">
        <f>IF(Clean_Data!$G225&gt;Clean_Data!$J225,Clean_Data!$F225,Clean_Data!$I225)</f>
        <v>Sylhet Sixers</v>
      </c>
      <c r="Q225" s="19" t="s">
        <v>469</v>
      </c>
      <c r="R225" s="19" t="s">
        <v>470</v>
      </c>
      <c r="S225" s="19">
        <v>0</v>
      </c>
      <c r="T225" s="19">
        <v>33</v>
      </c>
      <c r="U225" s="19" t="s">
        <v>131</v>
      </c>
      <c r="V225" s="19" t="str">
        <f>IF(Clean_Data!$T225&gt;0,"Runs","Wickets")</f>
        <v>Runs</v>
      </c>
      <c r="W225" s="19">
        <f>IF(Clean_Data!$T225&gt;0,Clean_Data!$T225,Clean_Data!$S225)</f>
        <v>33</v>
      </c>
      <c r="X225" s="19" t="str">
        <f>IF(Clean_Data!$W225&lt;=10,"Close Match","Normal")</f>
        <v>Normal</v>
      </c>
      <c r="Y225" s="19">
        <f>Clean_Data!$G225+Clean_Data!$J225</f>
        <v>377</v>
      </c>
      <c r="Z225" s="19" t="str">
        <f>IF(Clean_Data!$Y225&gt;=170,"170+ Match","Below 170")</f>
        <v>170+ Match</v>
      </c>
      <c r="AA225" s="19" t="s">
        <v>72</v>
      </c>
      <c r="AB225" s="21" t="s">
        <v>229</v>
      </c>
    </row>
    <row r="226" spans="1:28" x14ac:dyDescent="0.3">
      <c r="A226" s="16" t="s">
        <v>226</v>
      </c>
      <c r="B226" s="5" t="str">
        <f>LEFT(Clean_Data!$A226,4)</f>
        <v>2017</v>
      </c>
      <c r="C226" s="5" t="s">
        <v>186</v>
      </c>
      <c r="D226" s="5" t="str">
        <f>IF(ISNUMBER(SEARCH("Final",Clean_Data!$C226)),"Final",
IF(ISNUMBER(SEARCH("Semi",Clean_Data!$C226)),"Semi-Final",
IF(ISNUMBER(SEARCH("Elimination",Clean_Data!$C226)),"Eliminator",
"League")))</f>
        <v>League</v>
      </c>
      <c r="E226" s="6" t="s">
        <v>471</v>
      </c>
      <c r="F226" s="5" t="s">
        <v>179</v>
      </c>
      <c r="G226" s="5">
        <v>143</v>
      </c>
      <c r="H226" s="5">
        <v>7</v>
      </c>
      <c r="I226" s="5" t="s">
        <v>143</v>
      </c>
      <c r="J226" s="5">
        <v>144</v>
      </c>
      <c r="K226" s="5">
        <v>2</v>
      </c>
      <c r="L226" s="5" t="s">
        <v>268</v>
      </c>
      <c r="M226" s="5" t="s">
        <v>143</v>
      </c>
      <c r="N226" s="5" t="s">
        <v>26</v>
      </c>
      <c r="O226" s="5" t="s">
        <v>145</v>
      </c>
      <c r="P226" s="5" t="str">
        <f>IF(Clean_Data!$G226&gt;Clean_Data!$J226,Clean_Data!$F226,Clean_Data!$I226)</f>
        <v>Comilla Victorians</v>
      </c>
      <c r="Q226" s="5" t="s">
        <v>469</v>
      </c>
      <c r="R226" s="5" t="s">
        <v>470</v>
      </c>
      <c r="S226" s="5">
        <v>8</v>
      </c>
      <c r="T226" s="5">
        <v>0</v>
      </c>
      <c r="U226" s="5" t="s">
        <v>30</v>
      </c>
      <c r="V226" s="5" t="str">
        <f>IF(Clean_Data!$T226&gt;0,"Runs","Wickets")</f>
        <v>Wickets</v>
      </c>
      <c r="W226" s="5">
        <f>IF(Clean_Data!$T226&gt;0,Clean_Data!$T226,Clean_Data!$S226)</f>
        <v>8</v>
      </c>
      <c r="X226" s="5" t="str">
        <f>IF(Clean_Data!$W226&lt;=10,"Close Match","Normal")</f>
        <v>Close Match</v>
      </c>
      <c r="Y226" s="5">
        <f>Clean_Data!$G226+Clean_Data!$J226</f>
        <v>287</v>
      </c>
      <c r="Z226" s="5" t="str">
        <f>IF(Clean_Data!$Y226&gt;=170,"170+ Match","Below 170")</f>
        <v>170+ Match</v>
      </c>
      <c r="AA226" s="5" t="s">
        <v>66</v>
      </c>
      <c r="AB226" s="17" t="s">
        <v>44</v>
      </c>
    </row>
    <row r="227" spans="1:28" x14ac:dyDescent="0.3">
      <c r="A227" s="18" t="s">
        <v>226</v>
      </c>
      <c r="B227" s="19" t="str">
        <f>LEFT(Clean_Data!$A227,4)</f>
        <v>2017</v>
      </c>
      <c r="C227" s="19" t="s">
        <v>190</v>
      </c>
      <c r="D227" s="19" t="str">
        <f>IF(ISNUMBER(SEARCH("Final",Clean_Data!$C227)),"Final",
IF(ISNUMBER(SEARCH("Semi",Clean_Data!$C227)),"Semi-Final",
IF(ISNUMBER(SEARCH("Elimination",Clean_Data!$C227)),"Eliminator",
"League")))</f>
        <v>League</v>
      </c>
      <c r="E227" s="20" t="s">
        <v>473</v>
      </c>
      <c r="F227" s="19" t="s">
        <v>160</v>
      </c>
      <c r="G227" s="19">
        <v>202</v>
      </c>
      <c r="H227" s="19">
        <v>7</v>
      </c>
      <c r="I227" s="19" t="s">
        <v>206</v>
      </c>
      <c r="J227" s="19">
        <v>137</v>
      </c>
      <c r="K227" s="19">
        <v>10</v>
      </c>
      <c r="L227" s="19" t="s">
        <v>272</v>
      </c>
      <c r="M227" s="19" t="s">
        <v>206</v>
      </c>
      <c r="N227" s="19" t="s">
        <v>26</v>
      </c>
      <c r="O227" s="19" t="s">
        <v>193</v>
      </c>
      <c r="P227" s="19" t="str">
        <f>IF(Clean_Data!$G227&gt;Clean_Data!$J227,Clean_Data!$F227,Clean_Data!$I227)</f>
        <v>Dhaka Dynamites</v>
      </c>
      <c r="Q227" s="19" t="s">
        <v>469</v>
      </c>
      <c r="R227" s="19" t="s">
        <v>470</v>
      </c>
      <c r="S227" s="19">
        <v>0</v>
      </c>
      <c r="T227" s="19">
        <v>65</v>
      </c>
      <c r="U227" s="19" t="s">
        <v>474</v>
      </c>
      <c r="V227" s="19" t="str">
        <f>IF(Clean_Data!$T227&gt;0,"Runs","Wickets")</f>
        <v>Runs</v>
      </c>
      <c r="W227" s="19">
        <f>IF(Clean_Data!$T227&gt;0,Clean_Data!$T227,Clean_Data!$S227)</f>
        <v>65</v>
      </c>
      <c r="X227" s="19" t="str">
        <f>IF(Clean_Data!$W227&lt;=10,"Close Match","Normal")</f>
        <v>Normal</v>
      </c>
      <c r="Y227" s="19">
        <f>Clean_Data!$G227+Clean_Data!$J227</f>
        <v>339</v>
      </c>
      <c r="Z227" s="19" t="str">
        <f>IF(Clean_Data!$Y227&gt;=170,"170+ Match","Below 170")</f>
        <v>170+ Match</v>
      </c>
      <c r="AA227" s="19" t="s">
        <v>241</v>
      </c>
      <c r="AB227" s="21" t="s">
        <v>229</v>
      </c>
    </row>
    <row r="228" spans="1:28" x14ac:dyDescent="0.3">
      <c r="A228" s="16" t="s">
        <v>226</v>
      </c>
      <c r="B228" s="5" t="str">
        <f>LEFT(Clean_Data!$A228,4)</f>
        <v>2017</v>
      </c>
      <c r="C228" s="5" t="s">
        <v>195</v>
      </c>
      <c r="D228" s="5" t="str">
        <f>IF(ISNUMBER(SEARCH("Final",Clean_Data!$C228)),"Final",
IF(ISNUMBER(SEARCH("Semi",Clean_Data!$C228)),"Semi-Final",
IF(ISNUMBER(SEARCH("Elimination",Clean_Data!$C228)),"Eliminator",
"League")))</f>
        <v>League</v>
      </c>
      <c r="E228" s="6" t="s">
        <v>473</v>
      </c>
      <c r="F228" s="5" t="s">
        <v>143</v>
      </c>
      <c r="G228" s="5">
        <v>145</v>
      </c>
      <c r="H228" s="5">
        <v>6</v>
      </c>
      <c r="I228" s="5" t="s">
        <v>238</v>
      </c>
      <c r="J228" s="5">
        <v>148</v>
      </c>
      <c r="K228" s="5">
        <v>6</v>
      </c>
      <c r="L228" s="5" t="s">
        <v>262</v>
      </c>
      <c r="M228" s="5" t="s">
        <v>238</v>
      </c>
      <c r="N228" s="5" t="s">
        <v>26</v>
      </c>
      <c r="O228" s="5" t="s">
        <v>250</v>
      </c>
      <c r="P228" s="5" t="str">
        <f>IF(Clean_Data!$G228&gt;Clean_Data!$J228,Clean_Data!$F228,Clean_Data!$I228)</f>
        <v>Sylhet Sixers</v>
      </c>
      <c r="Q228" s="5" t="s">
        <v>469</v>
      </c>
      <c r="R228" s="5" t="s">
        <v>470</v>
      </c>
      <c r="S228" s="5">
        <v>4</v>
      </c>
      <c r="T228" s="5">
        <v>0</v>
      </c>
      <c r="U228" s="5" t="s">
        <v>90</v>
      </c>
      <c r="V228" s="5" t="str">
        <f>IF(Clean_Data!$T228&gt;0,"Runs","Wickets")</f>
        <v>Wickets</v>
      </c>
      <c r="W228" s="5">
        <f>IF(Clean_Data!$T228&gt;0,Clean_Data!$T228,Clean_Data!$S228)</f>
        <v>4</v>
      </c>
      <c r="X228" s="5" t="str">
        <f>IF(Clean_Data!$W228&lt;=10,"Close Match","Normal")</f>
        <v>Close Match</v>
      </c>
      <c r="Y228" s="5">
        <f>Clean_Data!$G228+Clean_Data!$J228</f>
        <v>293</v>
      </c>
      <c r="Z228" s="5" t="str">
        <f>IF(Clean_Data!$Y228&gt;=170,"170+ Match","Below 170")</f>
        <v>170+ Match</v>
      </c>
      <c r="AA228" s="5" t="s">
        <v>50</v>
      </c>
      <c r="AB228" s="17" t="s">
        <v>66</v>
      </c>
    </row>
    <row r="229" spans="1:28" x14ac:dyDescent="0.3">
      <c r="A229" s="18" t="s">
        <v>226</v>
      </c>
      <c r="B229" s="19" t="str">
        <f>LEFT(Clean_Data!$A229,4)</f>
        <v>2017</v>
      </c>
      <c r="C229" s="19" t="s">
        <v>33</v>
      </c>
      <c r="D229" s="19" t="str">
        <f>IF(ISNUMBER(SEARCH("Final",Clean_Data!$C229)),"Final",
IF(ISNUMBER(SEARCH("Semi",Clean_Data!$C229)),"Semi-Final",
IF(ISNUMBER(SEARCH("Elimination",Clean_Data!$C229)),"Eliminator",
"League")))</f>
        <v>League</v>
      </c>
      <c r="E229" s="20" t="s">
        <v>475</v>
      </c>
      <c r="F229" s="19" t="s">
        <v>199</v>
      </c>
      <c r="G229" s="19">
        <v>154</v>
      </c>
      <c r="H229" s="19">
        <v>8</v>
      </c>
      <c r="I229" s="19" t="s">
        <v>113</v>
      </c>
      <c r="J229" s="19">
        <v>155</v>
      </c>
      <c r="K229" s="19">
        <v>4</v>
      </c>
      <c r="L229" s="19" t="s">
        <v>183</v>
      </c>
      <c r="M229" s="19" t="s">
        <v>113</v>
      </c>
      <c r="N229" s="19" t="s">
        <v>26</v>
      </c>
      <c r="O229" s="19" t="s">
        <v>189</v>
      </c>
      <c r="P229" s="19" t="str">
        <f>IF(Clean_Data!$G229&gt;Clean_Data!$J229,Clean_Data!$F229,Clean_Data!$I229)</f>
        <v>Rangpur Riders</v>
      </c>
      <c r="Q229" s="19" t="s">
        <v>469</v>
      </c>
      <c r="R229" s="19" t="s">
        <v>470</v>
      </c>
      <c r="S229" s="19">
        <v>6</v>
      </c>
      <c r="T229" s="19">
        <v>0</v>
      </c>
      <c r="U229" s="19" t="s">
        <v>151</v>
      </c>
      <c r="V229" s="19" t="str">
        <f>IF(Clean_Data!$T229&gt;0,"Runs","Wickets")</f>
        <v>Wickets</v>
      </c>
      <c r="W229" s="19">
        <f>IF(Clean_Data!$T229&gt;0,Clean_Data!$T229,Clean_Data!$S229)</f>
        <v>6</v>
      </c>
      <c r="X229" s="19" t="str">
        <f>IF(Clean_Data!$W229&lt;=10,"Close Match","Normal")</f>
        <v>Close Match</v>
      </c>
      <c r="Y229" s="19">
        <f>Clean_Data!$G229+Clean_Data!$J229</f>
        <v>309</v>
      </c>
      <c r="Z229" s="19" t="str">
        <f>IF(Clean_Data!$Y229&gt;=170,"170+ Match","Below 170")</f>
        <v>170+ Match</v>
      </c>
      <c r="AA229" s="19" t="s">
        <v>50</v>
      </c>
      <c r="AB229" s="21" t="s">
        <v>225</v>
      </c>
    </row>
    <row r="230" spans="1:28" x14ac:dyDescent="0.3">
      <c r="A230" s="16" t="s">
        <v>226</v>
      </c>
      <c r="B230" s="5" t="str">
        <f>LEFT(Clean_Data!$A230,4)</f>
        <v>2017</v>
      </c>
      <c r="C230" s="5" t="s">
        <v>40</v>
      </c>
      <c r="D230" s="5" t="str">
        <f>IF(ISNUMBER(SEARCH("Final",Clean_Data!$C230)),"Final",
IF(ISNUMBER(SEARCH("Semi",Clean_Data!$C230)),"Semi-Final",
IF(ISNUMBER(SEARCH("Elimination",Clean_Data!$C230)),"Eliminator",
"League")))</f>
        <v>League</v>
      </c>
      <c r="E230" s="6" t="s">
        <v>475</v>
      </c>
      <c r="F230" s="5" t="s">
        <v>160</v>
      </c>
      <c r="G230" s="5">
        <v>136</v>
      </c>
      <c r="H230" s="5">
        <v>7</v>
      </c>
      <c r="I230" s="5" t="s">
        <v>238</v>
      </c>
      <c r="J230" s="5">
        <v>137</v>
      </c>
      <c r="K230" s="5">
        <v>1</v>
      </c>
      <c r="L230" s="5" t="s">
        <v>262</v>
      </c>
      <c r="M230" s="5" t="s">
        <v>238</v>
      </c>
      <c r="N230" s="5" t="s">
        <v>26</v>
      </c>
      <c r="O230" s="5" t="s">
        <v>250</v>
      </c>
      <c r="P230" s="5" t="str">
        <f>IF(Clean_Data!$G230&gt;Clean_Data!$J230,Clean_Data!$F230,Clean_Data!$I230)</f>
        <v>Sylhet Sixers</v>
      </c>
      <c r="Q230" s="5" t="s">
        <v>469</v>
      </c>
      <c r="R230" s="5" t="s">
        <v>470</v>
      </c>
      <c r="S230" s="5">
        <v>9</v>
      </c>
      <c r="T230" s="5">
        <v>0</v>
      </c>
      <c r="U230" s="5" t="s">
        <v>71</v>
      </c>
      <c r="V230" s="5" t="str">
        <f>IF(Clean_Data!$T230&gt;0,"Runs","Wickets")</f>
        <v>Wickets</v>
      </c>
      <c r="W230" s="5">
        <f>IF(Clean_Data!$T230&gt;0,Clean_Data!$T230,Clean_Data!$S230)</f>
        <v>9</v>
      </c>
      <c r="X230" s="5" t="str">
        <f>IF(Clean_Data!$W230&lt;=10,"Close Match","Normal")</f>
        <v>Close Match</v>
      </c>
      <c r="Y230" s="5">
        <f>Clean_Data!$G230+Clean_Data!$J230</f>
        <v>273</v>
      </c>
      <c r="Z230" s="5" t="str">
        <f>IF(Clean_Data!$Y230&gt;=170,"170+ Match","Below 170")</f>
        <v>170+ Match</v>
      </c>
      <c r="AA230" s="5" t="s">
        <v>66</v>
      </c>
      <c r="AB230" s="17" t="s">
        <v>229</v>
      </c>
    </row>
    <row r="231" spans="1:28" x14ac:dyDescent="0.3">
      <c r="A231" s="18" t="s">
        <v>251</v>
      </c>
      <c r="B231" s="19" t="str">
        <f>LEFT(Clean_Data!$A231,4)</f>
        <v>2018</v>
      </c>
      <c r="C231" s="19" t="s">
        <v>321</v>
      </c>
      <c r="D231" s="19" t="str">
        <f>IF(ISNUMBER(SEARCH("Final",Clean_Data!$C231)),"Final",
IF(ISNUMBER(SEARCH("Semi",Clean_Data!$C231)),"Semi-Final",
IF(ISNUMBER(SEARCH("Elimination",Clean_Data!$C231)),"Eliminator",
"League")))</f>
        <v>League</v>
      </c>
      <c r="E231" s="20" t="s">
        <v>476</v>
      </c>
      <c r="F231" s="19" t="s">
        <v>199</v>
      </c>
      <c r="G231" s="19">
        <v>141</v>
      </c>
      <c r="H231" s="19">
        <v>8</v>
      </c>
      <c r="I231" s="19" t="s">
        <v>113</v>
      </c>
      <c r="J231" s="19">
        <v>145</v>
      </c>
      <c r="K231" s="19">
        <v>4</v>
      </c>
      <c r="L231" s="19" t="s">
        <v>477</v>
      </c>
      <c r="M231" s="19" t="s">
        <v>199</v>
      </c>
      <c r="N231" s="19" t="s">
        <v>37</v>
      </c>
      <c r="O231" s="19" t="s">
        <v>189</v>
      </c>
      <c r="P231" s="19" t="str">
        <f>IF(Clean_Data!$G231&gt;Clean_Data!$J231,Clean_Data!$F231,Clean_Data!$I231)</f>
        <v>Rangpur Riders</v>
      </c>
      <c r="Q231" s="19" t="s">
        <v>88</v>
      </c>
      <c r="R231" s="19" t="s">
        <v>89</v>
      </c>
      <c r="S231" s="19">
        <v>6</v>
      </c>
      <c r="T231" s="19">
        <v>0</v>
      </c>
      <c r="U231" s="19" t="s">
        <v>151</v>
      </c>
      <c r="V231" s="19" t="str">
        <f>IF(Clean_Data!$T231&gt;0,"Runs","Wickets")</f>
        <v>Wickets</v>
      </c>
      <c r="W231" s="19">
        <f>IF(Clean_Data!$T231&gt;0,Clean_Data!$T231,Clean_Data!$S231)</f>
        <v>6</v>
      </c>
      <c r="X231" s="19" t="str">
        <f>IF(Clean_Data!$W231&lt;=10,"Close Match","Normal")</f>
        <v>Close Match</v>
      </c>
      <c r="Y231" s="19">
        <f>Clean_Data!$G231+Clean_Data!$J231</f>
        <v>286</v>
      </c>
      <c r="Z231" s="19" t="str">
        <f>IF(Clean_Data!$Y231&gt;=170,"170+ Match","Below 170")</f>
        <v>170+ Match</v>
      </c>
      <c r="AA231" s="19" t="s">
        <v>255</v>
      </c>
      <c r="AB231" s="21" t="s">
        <v>66</v>
      </c>
    </row>
    <row r="232" spans="1:28" x14ac:dyDescent="0.3">
      <c r="A232" s="16" t="s">
        <v>251</v>
      </c>
      <c r="B232" s="5" t="str">
        <f>LEFT(Clean_Data!$A232,4)</f>
        <v>2018</v>
      </c>
      <c r="C232" s="5" t="s">
        <v>324</v>
      </c>
      <c r="D232" s="5" t="str">
        <f>IF(ISNUMBER(SEARCH("Final",Clean_Data!$C232)),"Final",
IF(ISNUMBER(SEARCH("Semi",Clean_Data!$C232)),"Semi-Final",
IF(ISNUMBER(SEARCH("Elimination",Clean_Data!$C232)),"Eliminator",
"League")))</f>
        <v>League</v>
      </c>
      <c r="E232" s="6" t="s">
        <v>476</v>
      </c>
      <c r="F232" s="5" t="s">
        <v>179</v>
      </c>
      <c r="G232" s="5">
        <v>116</v>
      </c>
      <c r="H232" s="5">
        <v>8</v>
      </c>
      <c r="I232" s="5" t="s">
        <v>143</v>
      </c>
      <c r="J232" s="5">
        <v>117</v>
      </c>
      <c r="K232" s="5">
        <v>3</v>
      </c>
      <c r="L232" s="5" t="s">
        <v>235</v>
      </c>
      <c r="M232" s="5" t="s">
        <v>179</v>
      </c>
      <c r="N232" s="5" t="s">
        <v>37</v>
      </c>
      <c r="O232" s="5" t="s">
        <v>145</v>
      </c>
      <c r="P232" s="5" t="str">
        <f>IF(Clean_Data!$G232&gt;Clean_Data!$J232,Clean_Data!$F232,Clean_Data!$I232)</f>
        <v>Comilla Victorians</v>
      </c>
      <c r="Q232" s="5" t="s">
        <v>88</v>
      </c>
      <c r="R232" s="5" t="s">
        <v>89</v>
      </c>
      <c r="S232" s="5">
        <v>7</v>
      </c>
      <c r="T232" s="5">
        <v>0</v>
      </c>
      <c r="U232" s="5" t="s">
        <v>118</v>
      </c>
      <c r="V232" s="5" t="str">
        <f>IF(Clean_Data!$T232&gt;0,"Runs","Wickets")</f>
        <v>Wickets</v>
      </c>
      <c r="W232" s="5">
        <f>IF(Clean_Data!$T232&gt;0,Clean_Data!$T232,Clean_Data!$S232)</f>
        <v>7</v>
      </c>
      <c r="X232" s="5" t="str">
        <f>IF(Clean_Data!$W232&lt;=10,"Close Match","Normal")</f>
        <v>Close Match</v>
      </c>
      <c r="Y232" s="5">
        <f>Clean_Data!$G232+Clean_Data!$J232</f>
        <v>233</v>
      </c>
      <c r="Z232" s="5" t="str">
        <f>IF(Clean_Data!$Y232&gt;=170,"170+ Match","Below 170")</f>
        <v>170+ Match</v>
      </c>
      <c r="AA232" s="5" t="s">
        <v>50</v>
      </c>
      <c r="AB232" s="17" t="s">
        <v>147</v>
      </c>
    </row>
    <row r="233" spans="1:28" x14ac:dyDescent="0.3">
      <c r="A233" s="18" t="s">
        <v>251</v>
      </c>
      <c r="B233" s="19" t="str">
        <f>LEFT(Clean_Data!$A233,4)</f>
        <v>2018</v>
      </c>
      <c r="C233" s="19" t="s">
        <v>326</v>
      </c>
      <c r="D233" s="19" t="str">
        <f>IF(ISNUMBER(SEARCH("Final",Clean_Data!$C233)),"Final",
IF(ISNUMBER(SEARCH("Semi",Clean_Data!$C233)),"Semi-Final",
IF(ISNUMBER(SEARCH("Elimination",Clean_Data!$C233)),"Eliminator",
"League")))</f>
        <v>League</v>
      </c>
      <c r="E233" s="20" t="s">
        <v>478</v>
      </c>
      <c r="F233" s="19" t="s">
        <v>160</v>
      </c>
      <c r="G233" s="19">
        <v>186</v>
      </c>
      <c r="H233" s="19">
        <v>6</v>
      </c>
      <c r="I233" s="19" t="s">
        <v>113</v>
      </c>
      <c r="J233" s="19">
        <v>189</v>
      </c>
      <c r="K233" s="19">
        <v>2</v>
      </c>
      <c r="L233" s="19" t="s">
        <v>479</v>
      </c>
      <c r="M233" s="19" t="s">
        <v>160</v>
      </c>
      <c r="N233" s="19" t="s">
        <v>37</v>
      </c>
      <c r="O233" s="19" t="s">
        <v>189</v>
      </c>
      <c r="P233" s="19" t="str">
        <f>IF(Clean_Data!$G233&gt;Clean_Data!$J233,Clean_Data!$F233,Clean_Data!$I233)</f>
        <v>Rangpur Riders</v>
      </c>
      <c r="Q233" s="19" t="s">
        <v>88</v>
      </c>
      <c r="R233" s="19" t="s">
        <v>89</v>
      </c>
      <c r="S233" s="19">
        <v>8</v>
      </c>
      <c r="T233" s="19">
        <v>0</v>
      </c>
      <c r="U233" s="19" t="s">
        <v>30</v>
      </c>
      <c r="V233" s="19" t="str">
        <f>IF(Clean_Data!$T233&gt;0,"Runs","Wickets")</f>
        <v>Wickets</v>
      </c>
      <c r="W233" s="19">
        <f>IF(Clean_Data!$T233&gt;0,Clean_Data!$T233,Clean_Data!$S233)</f>
        <v>8</v>
      </c>
      <c r="X233" s="19" t="str">
        <f>IF(Clean_Data!$W233&lt;=10,"Close Match","Normal")</f>
        <v>Close Match</v>
      </c>
      <c r="Y233" s="19">
        <f>Clean_Data!$G233+Clean_Data!$J233</f>
        <v>375</v>
      </c>
      <c r="Z233" s="19" t="str">
        <f>IF(Clean_Data!$Y233&gt;=170,"170+ Match","Below 170")</f>
        <v>170+ Match</v>
      </c>
      <c r="AA233" s="19" t="s">
        <v>66</v>
      </c>
      <c r="AB233" s="21" t="s">
        <v>147</v>
      </c>
    </row>
    <row r="234" spans="1:28" x14ac:dyDescent="0.3">
      <c r="A234" s="16" t="s">
        <v>251</v>
      </c>
      <c r="B234" s="5" t="str">
        <f>LEFT(Clean_Data!$A234,4)</f>
        <v>2018</v>
      </c>
      <c r="C234" s="5" t="s">
        <v>328</v>
      </c>
      <c r="D234" s="5" t="str">
        <f>IF(ISNUMBER(SEARCH("Final",Clean_Data!$C234)),"Final",
IF(ISNUMBER(SEARCH("Semi",Clean_Data!$C234)),"Semi-Final",
IF(ISNUMBER(SEARCH("Elimination",Clean_Data!$C234)),"Eliminator",
"League")))</f>
        <v>League</v>
      </c>
      <c r="E234" s="6" t="s">
        <v>478</v>
      </c>
      <c r="F234" s="5" t="s">
        <v>143</v>
      </c>
      <c r="G234" s="5">
        <v>237</v>
      </c>
      <c r="H234" s="5">
        <v>5</v>
      </c>
      <c r="I234" s="5" t="s">
        <v>206</v>
      </c>
      <c r="J234" s="5">
        <v>157</v>
      </c>
      <c r="K234" s="5">
        <v>10</v>
      </c>
      <c r="L234" s="5" t="s">
        <v>259</v>
      </c>
      <c r="M234" s="5" t="s">
        <v>206</v>
      </c>
      <c r="N234" s="5" t="s">
        <v>26</v>
      </c>
      <c r="O234" s="5" t="s">
        <v>145</v>
      </c>
      <c r="P234" s="5" t="str">
        <f>IF(Clean_Data!$G234&gt;Clean_Data!$J234,Clean_Data!$F234,Clean_Data!$I234)</f>
        <v>Comilla Victorians</v>
      </c>
      <c r="Q234" s="5" t="s">
        <v>88</v>
      </c>
      <c r="R234" s="5" t="s">
        <v>89</v>
      </c>
      <c r="S234" s="5">
        <v>0</v>
      </c>
      <c r="T234" s="5">
        <v>80</v>
      </c>
      <c r="U234" s="5" t="s">
        <v>480</v>
      </c>
      <c r="V234" s="5" t="str">
        <f>IF(Clean_Data!$T234&gt;0,"Runs","Wickets")</f>
        <v>Runs</v>
      </c>
      <c r="W234" s="5">
        <f>IF(Clean_Data!$T234&gt;0,Clean_Data!$T234,Clean_Data!$S234)</f>
        <v>80</v>
      </c>
      <c r="X234" s="5" t="str">
        <f>IF(Clean_Data!$W234&lt;=10,"Close Match","Normal")</f>
        <v>Normal</v>
      </c>
      <c r="Y234" s="5">
        <f>Clean_Data!$G234+Clean_Data!$J234</f>
        <v>394</v>
      </c>
      <c r="Z234" s="5" t="str">
        <f>IF(Clean_Data!$Y234&gt;=170,"170+ Match","Below 170")</f>
        <v>170+ Match</v>
      </c>
      <c r="AA234" s="5" t="s">
        <v>267</v>
      </c>
      <c r="AB234" s="17" t="s">
        <v>225</v>
      </c>
    </row>
    <row r="235" spans="1:28" x14ac:dyDescent="0.3">
      <c r="A235" s="18" t="s">
        <v>251</v>
      </c>
      <c r="B235" s="19" t="str">
        <f>LEFT(Clean_Data!$A235,4)</f>
        <v>2018</v>
      </c>
      <c r="C235" s="19" t="s">
        <v>330</v>
      </c>
      <c r="D235" s="19" t="str">
        <f>IF(ISNUMBER(SEARCH("Final",Clean_Data!$C235)),"Final",
IF(ISNUMBER(SEARCH("Semi",Clean_Data!$C235)),"Semi-Final",
IF(ISNUMBER(SEARCH("Elimination",Clean_Data!$C235)),"Eliminator",
"League")))</f>
        <v>League</v>
      </c>
      <c r="E235" s="20" t="s">
        <v>481</v>
      </c>
      <c r="F235" s="19" t="s">
        <v>199</v>
      </c>
      <c r="G235" s="19">
        <v>198</v>
      </c>
      <c r="H235" s="19">
        <v>5</v>
      </c>
      <c r="I235" s="19" t="s">
        <v>179</v>
      </c>
      <c r="J235" s="19">
        <v>191</v>
      </c>
      <c r="K235" s="19">
        <v>8</v>
      </c>
      <c r="L235" s="19" t="s">
        <v>306</v>
      </c>
      <c r="M235" s="19" t="s">
        <v>179</v>
      </c>
      <c r="N235" s="19" t="s">
        <v>26</v>
      </c>
      <c r="O235" s="19" t="s">
        <v>208</v>
      </c>
      <c r="P235" s="19" t="str">
        <f>IF(Clean_Data!$G235&gt;Clean_Data!$J235,Clean_Data!$F235,Clean_Data!$I235)</f>
        <v>Rajshahi Kings</v>
      </c>
      <c r="Q235" s="19" t="s">
        <v>88</v>
      </c>
      <c r="R235" s="19" t="s">
        <v>89</v>
      </c>
      <c r="S235" s="19">
        <v>0</v>
      </c>
      <c r="T235" s="19">
        <v>7</v>
      </c>
      <c r="U235" s="19" t="s">
        <v>364</v>
      </c>
      <c r="V235" s="19" t="str">
        <f>IF(Clean_Data!$T235&gt;0,"Runs","Wickets")</f>
        <v>Runs</v>
      </c>
      <c r="W235" s="19">
        <f>IF(Clean_Data!$T235&gt;0,Clean_Data!$T235,Clean_Data!$S235)</f>
        <v>7</v>
      </c>
      <c r="X235" s="19" t="str">
        <f>IF(Clean_Data!$W235&lt;=10,"Close Match","Normal")</f>
        <v>Close Match</v>
      </c>
      <c r="Y235" s="19">
        <f>Clean_Data!$G235+Clean_Data!$J235</f>
        <v>389</v>
      </c>
      <c r="Z235" s="19" t="str">
        <f>IF(Clean_Data!$Y235&gt;=170,"170+ Match","Below 170")</f>
        <v>170+ Match</v>
      </c>
      <c r="AA235" s="19" t="s">
        <v>44</v>
      </c>
      <c r="AB235" s="21" t="s">
        <v>267</v>
      </c>
    </row>
    <row r="236" spans="1:28" x14ac:dyDescent="0.3">
      <c r="A236" s="16" t="s">
        <v>251</v>
      </c>
      <c r="B236" s="5" t="str">
        <f>LEFT(Clean_Data!$A236,4)</f>
        <v>2018</v>
      </c>
      <c r="C236" s="5" t="s">
        <v>334</v>
      </c>
      <c r="D236" s="5" t="str">
        <f>IF(ISNUMBER(SEARCH("Final",Clean_Data!$C236)),"Final",
IF(ISNUMBER(SEARCH("Semi",Clean_Data!$C236)),"Semi-Final",
IF(ISNUMBER(SEARCH("Elimination",Clean_Data!$C236)),"Eliminator",
"League")))</f>
        <v>League</v>
      </c>
      <c r="E236" s="6" t="s">
        <v>481</v>
      </c>
      <c r="F236" s="5" t="s">
        <v>238</v>
      </c>
      <c r="G236" s="5">
        <v>195</v>
      </c>
      <c r="H236" s="5">
        <v>4</v>
      </c>
      <c r="I236" s="5" t="s">
        <v>206</v>
      </c>
      <c r="J236" s="5">
        <v>137</v>
      </c>
      <c r="K236" s="5">
        <v>10</v>
      </c>
      <c r="L236" s="5" t="s">
        <v>482</v>
      </c>
      <c r="M236" s="5" t="s">
        <v>238</v>
      </c>
      <c r="N236" s="5" t="s">
        <v>37</v>
      </c>
      <c r="O236" s="5" t="s">
        <v>250</v>
      </c>
      <c r="P236" s="5" t="str">
        <f>IF(Clean_Data!$G236&gt;Clean_Data!$J236,Clean_Data!$F236,Clean_Data!$I236)</f>
        <v>Sylhet Sixers</v>
      </c>
      <c r="Q236" s="5" t="s">
        <v>88</v>
      </c>
      <c r="R236" s="5" t="s">
        <v>89</v>
      </c>
      <c r="S236" s="5">
        <v>0</v>
      </c>
      <c r="T236" s="5">
        <v>58</v>
      </c>
      <c r="U236" s="5" t="s">
        <v>483</v>
      </c>
      <c r="V236" s="5" t="str">
        <f>IF(Clean_Data!$T236&gt;0,"Runs","Wickets")</f>
        <v>Runs</v>
      </c>
      <c r="W236" s="5">
        <f>IF(Clean_Data!$T236&gt;0,Clean_Data!$T236,Clean_Data!$S236)</f>
        <v>58</v>
      </c>
      <c r="X236" s="5" t="str">
        <f>IF(Clean_Data!$W236&lt;=10,"Close Match","Normal")</f>
        <v>Normal</v>
      </c>
      <c r="Y236" s="5">
        <f>Clean_Data!$G236+Clean_Data!$J236</f>
        <v>332</v>
      </c>
      <c r="Z236" s="5" t="str">
        <f>IF(Clean_Data!$Y236&gt;=170,"170+ Match","Below 170")</f>
        <v>170+ Match</v>
      </c>
      <c r="AA236" s="5" t="s">
        <v>255</v>
      </c>
      <c r="AB236" s="17" t="s">
        <v>56</v>
      </c>
    </row>
    <row r="237" spans="1:28" x14ac:dyDescent="0.3">
      <c r="A237" s="18" t="s">
        <v>251</v>
      </c>
      <c r="B237" s="19" t="str">
        <f>LEFT(Clean_Data!$A237,4)</f>
        <v>2018</v>
      </c>
      <c r="C237" s="19" t="s">
        <v>336</v>
      </c>
      <c r="D237" s="19" t="str">
        <f>IF(ISNUMBER(SEARCH("Final",Clean_Data!$C237)),"Final",
IF(ISNUMBER(SEARCH("Semi",Clean_Data!$C237)),"Semi-Final",
IF(ISNUMBER(SEARCH("Elimination",Clean_Data!$C237)),"Eliminator",
"League")))</f>
        <v>League</v>
      </c>
      <c r="E237" s="20" t="s">
        <v>484</v>
      </c>
      <c r="F237" s="19" t="s">
        <v>113</v>
      </c>
      <c r="G237" s="19">
        <v>239</v>
      </c>
      <c r="H237" s="19">
        <v>4</v>
      </c>
      <c r="I237" s="19" t="s">
        <v>179</v>
      </c>
      <c r="J237" s="19">
        <v>167</v>
      </c>
      <c r="K237" s="19">
        <v>8</v>
      </c>
      <c r="L237" s="19" t="s">
        <v>485</v>
      </c>
      <c r="M237" s="19" t="s">
        <v>179</v>
      </c>
      <c r="N237" s="19" t="s">
        <v>26</v>
      </c>
      <c r="O237" s="19" t="s">
        <v>189</v>
      </c>
      <c r="P237" s="19" t="str">
        <f>IF(Clean_Data!$G237&gt;Clean_Data!$J237,Clean_Data!$F237,Clean_Data!$I237)</f>
        <v>Rangpur Riders</v>
      </c>
      <c r="Q237" s="19" t="s">
        <v>88</v>
      </c>
      <c r="R237" s="19" t="s">
        <v>89</v>
      </c>
      <c r="S237" s="19">
        <v>0</v>
      </c>
      <c r="T237" s="19">
        <v>72</v>
      </c>
      <c r="U237" s="19" t="s">
        <v>167</v>
      </c>
      <c r="V237" s="19" t="str">
        <f>IF(Clean_Data!$T237&gt;0,"Runs","Wickets")</f>
        <v>Runs</v>
      </c>
      <c r="W237" s="19">
        <f>IF(Clean_Data!$T237&gt;0,Clean_Data!$T237,Clean_Data!$S237)</f>
        <v>72</v>
      </c>
      <c r="X237" s="19" t="str">
        <f>IF(Clean_Data!$W237&lt;=10,"Close Match","Normal")</f>
        <v>Normal</v>
      </c>
      <c r="Y237" s="19">
        <f>Clean_Data!$G237+Clean_Data!$J237</f>
        <v>406</v>
      </c>
      <c r="Z237" s="19" t="str">
        <f>IF(Clean_Data!$Y237&gt;=170,"170+ Match","Below 170")</f>
        <v>170+ Match</v>
      </c>
      <c r="AA237" s="19" t="s">
        <v>255</v>
      </c>
      <c r="AB237" s="21" t="s">
        <v>44</v>
      </c>
    </row>
    <row r="238" spans="1:28" x14ac:dyDescent="0.3">
      <c r="A238" s="16" t="s">
        <v>251</v>
      </c>
      <c r="B238" s="5" t="str">
        <f>LEFT(Clean_Data!$A238,4)</f>
        <v>2018</v>
      </c>
      <c r="C238" s="5" t="s">
        <v>45</v>
      </c>
      <c r="D238" s="5" t="str">
        <f>IF(ISNUMBER(SEARCH("Final",Clean_Data!$C238)),"Final",
IF(ISNUMBER(SEARCH("Semi",Clean_Data!$C238)),"Semi-Final",
IF(ISNUMBER(SEARCH("Elimination",Clean_Data!$C238)),"Eliminator",
"League")))</f>
        <v>League</v>
      </c>
      <c r="E238" s="6" t="s">
        <v>484</v>
      </c>
      <c r="F238" s="5" t="s">
        <v>238</v>
      </c>
      <c r="G238" s="5">
        <v>180</v>
      </c>
      <c r="H238" s="5">
        <v>6</v>
      </c>
      <c r="I238" s="5" t="s">
        <v>199</v>
      </c>
      <c r="J238" s="5">
        <v>104</v>
      </c>
      <c r="K238" s="5">
        <v>10</v>
      </c>
      <c r="L238" s="5" t="s">
        <v>70</v>
      </c>
      <c r="M238" s="5" t="s">
        <v>199</v>
      </c>
      <c r="N238" s="5" t="s">
        <v>26</v>
      </c>
      <c r="O238" s="5" t="s">
        <v>250</v>
      </c>
      <c r="P238" s="5" t="str">
        <f>IF(Clean_Data!$G238&gt;Clean_Data!$J238,Clean_Data!$F238,Clean_Data!$I238)</f>
        <v>Sylhet Sixers</v>
      </c>
      <c r="Q238" s="5" t="s">
        <v>88</v>
      </c>
      <c r="R238" s="5" t="s">
        <v>89</v>
      </c>
      <c r="S238" s="5">
        <v>0</v>
      </c>
      <c r="T238" s="5">
        <v>76</v>
      </c>
      <c r="U238" s="5" t="s">
        <v>486</v>
      </c>
      <c r="V238" s="5" t="str">
        <f>IF(Clean_Data!$T238&gt;0,"Runs","Wickets")</f>
        <v>Runs</v>
      </c>
      <c r="W238" s="5">
        <f>IF(Clean_Data!$T238&gt;0,Clean_Data!$T238,Clean_Data!$S238)</f>
        <v>76</v>
      </c>
      <c r="X238" s="5" t="str">
        <f>IF(Clean_Data!$W238&lt;=10,"Close Match","Normal")</f>
        <v>Normal</v>
      </c>
      <c r="Y238" s="5">
        <f>Clean_Data!$G238+Clean_Data!$J238</f>
        <v>284</v>
      </c>
      <c r="Z238" s="5" t="str">
        <f>IF(Clean_Data!$Y238&gt;=170,"170+ Match","Below 170")</f>
        <v>170+ Match</v>
      </c>
      <c r="AA238" s="5" t="s">
        <v>216</v>
      </c>
      <c r="AB238" s="17" t="s">
        <v>267</v>
      </c>
    </row>
    <row r="239" spans="1:28" x14ac:dyDescent="0.3">
      <c r="A239" s="18" t="s">
        <v>251</v>
      </c>
      <c r="B239" s="19" t="str">
        <f>LEFT(Clean_Data!$A239,4)</f>
        <v>2018</v>
      </c>
      <c r="C239" s="19" t="s">
        <v>51</v>
      </c>
      <c r="D239" s="19" t="str">
        <f>IF(ISNUMBER(SEARCH("Final",Clean_Data!$C239)),"Final",
IF(ISNUMBER(SEARCH("Semi",Clean_Data!$C239)),"Semi-Final",
IF(ISNUMBER(SEARCH("Elimination",Clean_Data!$C239)),"Eliminator",
"League")))</f>
        <v>League</v>
      </c>
      <c r="E239" s="20" t="s">
        <v>487</v>
      </c>
      <c r="F239" s="19" t="s">
        <v>206</v>
      </c>
      <c r="G239" s="19">
        <v>170</v>
      </c>
      <c r="H239" s="19">
        <v>9</v>
      </c>
      <c r="I239" s="19" t="s">
        <v>238</v>
      </c>
      <c r="J239" s="19">
        <v>149</v>
      </c>
      <c r="K239" s="19">
        <v>7</v>
      </c>
      <c r="L239" s="19" t="s">
        <v>488</v>
      </c>
      <c r="M239" s="19" t="s">
        <v>238</v>
      </c>
      <c r="N239" s="19" t="s">
        <v>26</v>
      </c>
      <c r="O239" s="19" t="s">
        <v>215</v>
      </c>
      <c r="P239" s="19" t="str">
        <f>IF(Clean_Data!$G239&gt;Clean_Data!$J239,Clean_Data!$F239,Clean_Data!$I239)</f>
        <v>Khulna Titans</v>
      </c>
      <c r="Q239" s="19" t="s">
        <v>28</v>
      </c>
      <c r="R239" s="19" t="s">
        <v>29</v>
      </c>
      <c r="S239" s="19">
        <v>0</v>
      </c>
      <c r="T239" s="19">
        <v>21</v>
      </c>
      <c r="U239" s="19" t="s">
        <v>165</v>
      </c>
      <c r="V239" s="19" t="str">
        <f>IF(Clean_Data!$T239&gt;0,"Runs","Wickets")</f>
        <v>Runs</v>
      </c>
      <c r="W239" s="19">
        <f>IF(Clean_Data!$T239&gt;0,Clean_Data!$T239,Clean_Data!$S239)</f>
        <v>21</v>
      </c>
      <c r="X239" s="19" t="str">
        <f>IF(Clean_Data!$W239&lt;=10,"Close Match","Normal")</f>
        <v>Normal</v>
      </c>
      <c r="Y239" s="19">
        <f>Clean_Data!$G239+Clean_Data!$J239</f>
        <v>319</v>
      </c>
      <c r="Z239" s="19" t="str">
        <f>IF(Clean_Data!$Y239&gt;=170,"170+ Match","Below 170")</f>
        <v>170+ Match</v>
      </c>
      <c r="AA239" s="19" t="s">
        <v>255</v>
      </c>
      <c r="AB239" s="21" t="s">
        <v>216</v>
      </c>
    </row>
    <row r="240" spans="1:28" x14ac:dyDescent="0.3">
      <c r="A240" s="16" t="s">
        <v>251</v>
      </c>
      <c r="B240" s="5" t="str">
        <f>LEFT(Clean_Data!$A240,4)</f>
        <v>2018</v>
      </c>
      <c r="C240" s="5" t="s">
        <v>58</v>
      </c>
      <c r="D240" s="5" t="str">
        <f>IF(ISNUMBER(SEARCH("Final",Clean_Data!$C240)),"Final",
IF(ISNUMBER(SEARCH("Semi",Clean_Data!$C240)),"Semi-Final",
IF(ISNUMBER(SEARCH("Elimination",Clean_Data!$C240)),"Eliminator",
"League")))</f>
        <v>League</v>
      </c>
      <c r="E240" s="6" t="s">
        <v>487</v>
      </c>
      <c r="F240" s="5" t="s">
        <v>199</v>
      </c>
      <c r="G240" s="5">
        <v>157</v>
      </c>
      <c r="H240" s="5">
        <v>5</v>
      </c>
      <c r="I240" s="5" t="s">
        <v>179</v>
      </c>
      <c r="J240" s="5">
        <v>159</v>
      </c>
      <c r="K240" s="5">
        <v>4</v>
      </c>
      <c r="L240" s="5" t="s">
        <v>150</v>
      </c>
      <c r="M240" s="5" t="s">
        <v>179</v>
      </c>
      <c r="N240" s="5" t="s">
        <v>26</v>
      </c>
      <c r="O240" s="5" t="s">
        <v>245</v>
      </c>
      <c r="P240" s="5" t="str">
        <f>IF(Clean_Data!$G240&gt;Clean_Data!$J240,Clean_Data!$F240,Clean_Data!$I240)</f>
        <v>Chittagong Vikings</v>
      </c>
      <c r="Q240" s="5" t="s">
        <v>28</v>
      </c>
      <c r="R240" s="5" t="s">
        <v>29</v>
      </c>
      <c r="S240" s="5">
        <v>6</v>
      </c>
      <c r="T240" s="5">
        <v>0</v>
      </c>
      <c r="U240" s="5" t="s">
        <v>151</v>
      </c>
      <c r="V240" s="5" t="str">
        <f>IF(Clean_Data!$T240&gt;0,"Runs","Wickets")</f>
        <v>Wickets</v>
      </c>
      <c r="W240" s="5">
        <f>IF(Clean_Data!$T240&gt;0,Clean_Data!$T240,Clean_Data!$S240)</f>
        <v>6</v>
      </c>
      <c r="X240" s="5" t="str">
        <f>IF(Clean_Data!$W240&lt;=10,"Close Match","Normal")</f>
        <v>Close Match</v>
      </c>
      <c r="Y240" s="5">
        <f>Clean_Data!$G240+Clean_Data!$J240</f>
        <v>316</v>
      </c>
      <c r="Z240" s="5" t="str">
        <f>IF(Clean_Data!$Y240&gt;=170,"170+ Match","Below 170")</f>
        <v>170+ Match</v>
      </c>
      <c r="AA240" s="5" t="s">
        <v>39</v>
      </c>
      <c r="AB240" s="17" t="s">
        <v>147</v>
      </c>
    </row>
    <row r="241" spans="1:28" x14ac:dyDescent="0.3">
      <c r="A241" s="18" t="s">
        <v>251</v>
      </c>
      <c r="B241" s="19" t="str">
        <f>LEFT(Clean_Data!$A241,4)</f>
        <v>2018</v>
      </c>
      <c r="C241" s="19" t="s">
        <v>60</v>
      </c>
      <c r="D241" s="19" t="str">
        <f>IF(ISNUMBER(SEARCH("Final",Clean_Data!$C241)),"Final",
IF(ISNUMBER(SEARCH("Semi",Clean_Data!$C241)),"Semi-Final",
IF(ISNUMBER(SEARCH("Elimination",Clean_Data!$C241)),"Eliminator",
"League")))</f>
        <v>League</v>
      </c>
      <c r="E241" s="20" t="s">
        <v>489</v>
      </c>
      <c r="F241" s="19" t="s">
        <v>143</v>
      </c>
      <c r="G241" s="19">
        <v>153</v>
      </c>
      <c r="H241" s="19">
        <v>8</v>
      </c>
      <c r="I241" s="19" t="s">
        <v>160</v>
      </c>
      <c r="J241" s="19">
        <v>146</v>
      </c>
      <c r="K241" s="19">
        <v>9</v>
      </c>
      <c r="L241" s="19" t="s">
        <v>434</v>
      </c>
      <c r="M241" s="19" t="s">
        <v>160</v>
      </c>
      <c r="N241" s="19" t="s">
        <v>26</v>
      </c>
      <c r="O241" s="19" t="s">
        <v>145</v>
      </c>
      <c r="P241" s="19" t="str">
        <f>IF(Clean_Data!$G241&gt;Clean_Data!$J241,Clean_Data!$F241,Clean_Data!$I241)</f>
        <v>Comilla Victorians</v>
      </c>
      <c r="Q241" s="19" t="s">
        <v>28</v>
      </c>
      <c r="R241" s="19" t="s">
        <v>29</v>
      </c>
      <c r="S241" s="19">
        <v>0</v>
      </c>
      <c r="T241" s="19">
        <v>7</v>
      </c>
      <c r="U241" s="19" t="s">
        <v>364</v>
      </c>
      <c r="V241" s="19" t="str">
        <f>IF(Clean_Data!$T241&gt;0,"Runs","Wickets")</f>
        <v>Runs</v>
      </c>
      <c r="W241" s="19">
        <f>IF(Clean_Data!$T241&gt;0,Clean_Data!$T241,Clean_Data!$S241)</f>
        <v>7</v>
      </c>
      <c r="X241" s="19" t="str">
        <f>IF(Clean_Data!$W241&lt;=10,"Close Match","Normal")</f>
        <v>Close Match</v>
      </c>
      <c r="Y241" s="19">
        <f>Clean_Data!$G241+Clean_Data!$J241</f>
        <v>299</v>
      </c>
      <c r="Z241" s="19" t="str">
        <f>IF(Clean_Data!$Y241&gt;=170,"170+ Match","Below 170")</f>
        <v>170+ Match</v>
      </c>
      <c r="AA241" s="19" t="s">
        <v>50</v>
      </c>
      <c r="AB241" s="21" t="s">
        <v>147</v>
      </c>
    </row>
    <row r="242" spans="1:28" x14ac:dyDescent="0.3">
      <c r="A242" s="16" t="s">
        <v>251</v>
      </c>
      <c r="B242" s="5" t="str">
        <f>LEFT(Clean_Data!$A242,4)</f>
        <v>2018</v>
      </c>
      <c r="C242" s="5" t="s">
        <v>67</v>
      </c>
      <c r="D242" s="5" t="str">
        <f>IF(ISNUMBER(SEARCH("Final",Clean_Data!$C242)),"Final",
IF(ISNUMBER(SEARCH("Semi",Clean_Data!$C242)),"Semi-Final",
IF(ISNUMBER(SEARCH("Elimination",Clean_Data!$C242)),"Eliminator",
"League")))</f>
        <v>League</v>
      </c>
      <c r="E242" s="6" t="s">
        <v>489</v>
      </c>
      <c r="F242" s="5" t="s">
        <v>206</v>
      </c>
      <c r="G242" s="5">
        <v>181</v>
      </c>
      <c r="H242" s="5">
        <v>6</v>
      </c>
      <c r="I242" s="5" t="s">
        <v>113</v>
      </c>
      <c r="J242" s="5">
        <v>183</v>
      </c>
      <c r="K242" s="5">
        <v>4</v>
      </c>
      <c r="L242" s="5" t="s">
        <v>477</v>
      </c>
      <c r="M242" s="5" t="s">
        <v>113</v>
      </c>
      <c r="N242" s="5" t="s">
        <v>26</v>
      </c>
      <c r="O242" s="5" t="s">
        <v>189</v>
      </c>
      <c r="P242" s="5" t="str">
        <f>IF(Clean_Data!$G242&gt;Clean_Data!$J242,Clean_Data!$F242,Clean_Data!$I242)</f>
        <v>Rangpur Riders</v>
      </c>
      <c r="Q242" s="5" t="s">
        <v>28</v>
      </c>
      <c r="R242" s="5" t="s">
        <v>29</v>
      </c>
      <c r="S242" s="5">
        <v>6</v>
      </c>
      <c r="T242" s="5">
        <v>0</v>
      </c>
      <c r="U242" s="5" t="s">
        <v>151</v>
      </c>
      <c r="V242" s="5" t="str">
        <f>IF(Clean_Data!$T242&gt;0,"Runs","Wickets")</f>
        <v>Wickets</v>
      </c>
      <c r="W242" s="5">
        <f>IF(Clean_Data!$T242&gt;0,Clean_Data!$T242,Clean_Data!$S242)</f>
        <v>6</v>
      </c>
      <c r="X242" s="5" t="str">
        <f>IF(Clean_Data!$W242&lt;=10,"Close Match","Normal")</f>
        <v>Close Match</v>
      </c>
      <c r="Y242" s="5">
        <f>Clean_Data!$G242+Clean_Data!$J242</f>
        <v>364</v>
      </c>
      <c r="Z242" s="5" t="str">
        <f>IF(Clean_Data!$Y242&gt;=170,"170+ Match","Below 170")</f>
        <v>170+ Match</v>
      </c>
      <c r="AA242" s="5" t="s">
        <v>44</v>
      </c>
      <c r="AB242" s="17" t="s">
        <v>267</v>
      </c>
    </row>
    <row r="243" spans="1:28" x14ac:dyDescent="0.3">
      <c r="A243" s="18" t="s">
        <v>251</v>
      </c>
      <c r="B243" s="19" t="str">
        <f>LEFT(Clean_Data!$A243,4)</f>
        <v>2018</v>
      </c>
      <c r="C243" s="19" t="s">
        <v>68</v>
      </c>
      <c r="D243" s="19" t="str">
        <f>IF(ISNUMBER(SEARCH("Final",Clean_Data!$C243)),"Final",
IF(ISNUMBER(SEARCH("Semi",Clean_Data!$C243)),"Semi-Final",
IF(ISNUMBER(SEARCH("Elimination",Clean_Data!$C243)),"Eliminator",
"League")))</f>
        <v>League</v>
      </c>
      <c r="E243" s="20" t="s">
        <v>490</v>
      </c>
      <c r="F243" s="19" t="s">
        <v>160</v>
      </c>
      <c r="G243" s="19">
        <v>139</v>
      </c>
      <c r="H243" s="19">
        <v>9</v>
      </c>
      <c r="I243" s="19" t="s">
        <v>179</v>
      </c>
      <c r="J243" s="19">
        <v>145</v>
      </c>
      <c r="K243" s="19">
        <v>7</v>
      </c>
      <c r="L243" s="19" t="s">
        <v>302</v>
      </c>
      <c r="M243" s="19" t="s">
        <v>160</v>
      </c>
      <c r="N243" s="19" t="s">
        <v>37</v>
      </c>
      <c r="O243" s="19" t="s">
        <v>245</v>
      </c>
      <c r="P243" s="19" t="str">
        <f>IF(Clean_Data!$G243&gt;Clean_Data!$J243,Clean_Data!$F243,Clean_Data!$I243)</f>
        <v>Chittagong Vikings</v>
      </c>
      <c r="Q243" s="19" t="s">
        <v>28</v>
      </c>
      <c r="R243" s="19" t="s">
        <v>29</v>
      </c>
      <c r="S243" s="19">
        <v>3</v>
      </c>
      <c r="T243" s="19">
        <v>0</v>
      </c>
      <c r="U243" s="19" t="s">
        <v>49</v>
      </c>
      <c r="V243" s="19" t="str">
        <f>IF(Clean_Data!$T243&gt;0,"Runs","Wickets")</f>
        <v>Wickets</v>
      </c>
      <c r="W243" s="19">
        <f>IF(Clean_Data!$T243&gt;0,Clean_Data!$T243,Clean_Data!$S243)</f>
        <v>3</v>
      </c>
      <c r="X243" s="19" t="str">
        <f>IF(Clean_Data!$W243&lt;=10,"Close Match","Normal")</f>
        <v>Close Match</v>
      </c>
      <c r="Y243" s="19">
        <f>Clean_Data!$G243+Clean_Data!$J243</f>
        <v>284</v>
      </c>
      <c r="Z243" s="19" t="str">
        <f>IF(Clean_Data!$Y243&gt;=170,"170+ Match","Below 170")</f>
        <v>170+ Match</v>
      </c>
      <c r="AA243" s="19" t="s">
        <v>39</v>
      </c>
      <c r="AB243" s="21" t="s">
        <v>147</v>
      </c>
    </row>
    <row r="244" spans="1:28" x14ac:dyDescent="0.3">
      <c r="A244" s="16" t="s">
        <v>251</v>
      </c>
      <c r="B244" s="5" t="str">
        <f>LEFT(Clean_Data!$A244,4)</f>
        <v>2018</v>
      </c>
      <c r="C244" s="5" t="s">
        <v>78</v>
      </c>
      <c r="D244" s="5" t="str">
        <f>IF(ISNUMBER(SEARCH("Final",Clean_Data!$C244)),"Final",
IF(ISNUMBER(SEARCH("Semi",Clean_Data!$C244)),"Semi-Final",
IF(ISNUMBER(SEARCH("Elimination",Clean_Data!$C244)),"Eliminator",
"League")))</f>
        <v>League</v>
      </c>
      <c r="E244" s="6" t="s">
        <v>490</v>
      </c>
      <c r="F244" s="5" t="s">
        <v>199</v>
      </c>
      <c r="G244" s="5">
        <v>176</v>
      </c>
      <c r="H244" s="5">
        <v>3</v>
      </c>
      <c r="I244" s="5" t="s">
        <v>143</v>
      </c>
      <c r="J244" s="5">
        <v>138</v>
      </c>
      <c r="K244" s="5">
        <v>10</v>
      </c>
      <c r="L244" s="5" t="s">
        <v>271</v>
      </c>
      <c r="M244" s="5" t="s">
        <v>143</v>
      </c>
      <c r="N244" s="5" t="s">
        <v>26</v>
      </c>
      <c r="O244" s="5" t="s">
        <v>208</v>
      </c>
      <c r="P244" s="5" t="str">
        <f>IF(Clean_Data!$G244&gt;Clean_Data!$J244,Clean_Data!$F244,Clean_Data!$I244)</f>
        <v>Rajshahi Kings</v>
      </c>
      <c r="Q244" s="5" t="s">
        <v>28</v>
      </c>
      <c r="R244" s="5" t="s">
        <v>29</v>
      </c>
      <c r="S244" s="5">
        <v>0</v>
      </c>
      <c r="T244" s="5">
        <v>38</v>
      </c>
      <c r="U244" s="5" t="s">
        <v>491</v>
      </c>
      <c r="V244" s="5" t="str">
        <f>IF(Clean_Data!$T244&gt;0,"Runs","Wickets")</f>
        <v>Runs</v>
      </c>
      <c r="W244" s="5">
        <f>IF(Clean_Data!$T244&gt;0,Clean_Data!$T244,Clean_Data!$S244)</f>
        <v>38</v>
      </c>
      <c r="X244" s="5" t="str">
        <f>IF(Clean_Data!$W244&lt;=10,"Close Match","Normal")</f>
        <v>Normal</v>
      </c>
      <c r="Y244" s="5">
        <f>Clean_Data!$G244+Clean_Data!$J244</f>
        <v>314</v>
      </c>
      <c r="Z244" s="5" t="str">
        <f>IF(Clean_Data!$Y244&gt;=170,"170+ Match","Below 170")</f>
        <v>170+ Match</v>
      </c>
      <c r="AA244" s="5" t="s">
        <v>44</v>
      </c>
      <c r="AB244" s="17" t="s">
        <v>267</v>
      </c>
    </row>
    <row r="245" spans="1:28" x14ac:dyDescent="0.3">
      <c r="A245" s="18" t="s">
        <v>251</v>
      </c>
      <c r="B245" s="19" t="str">
        <f>LEFT(Clean_Data!$A245,4)</f>
        <v>2018</v>
      </c>
      <c r="C245" s="19" t="s">
        <v>85</v>
      </c>
      <c r="D245" s="19" t="str">
        <f>IF(ISNUMBER(SEARCH("Final",Clean_Data!$C245)),"Final",
IF(ISNUMBER(SEARCH("Semi",Clean_Data!$C245)),"Semi-Final",
IF(ISNUMBER(SEARCH("Elimination",Clean_Data!$C245)),"Eliminator",
"League")))</f>
        <v>League</v>
      </c>
      <c r="E245" s="20" t="s">
        <v>492</v>
      </c>
      <c r="F245" s="19" t="s">
        <v>179</v>
      </c>
      <c r="G245" s="19">
        <v>214</v>
      </c>
      <c r="H245" s="19">
        <v>4</v>
      </c>
      <c r="I245" s="19" t="s">
        <v>206</v>
      </c>
      <c r="J245" s="19">
        <v>188</v>
      </c>
      <c r="K245" s="19">
        <v>8</v>
      </c>
      <c r="L245" s="19" t="s">
        <v>150</v>
      </c>
      <c r="M245" s="19" t="s">
        <v>206</v>
      </c>
      <c r="N245" s="19" t="s">
        <v>26</v>
      </c>
      <c r="O245" s="19" t="s">
        <v>245</v>
      </c>
      <c r="P245" s="19" t="str">
        <f>IF(Clean_Data!$G245&gt;Clean_Data!$J245,Clean_Data!$F245,Clean_Data!$I245)</f>
        <v>Chittagong Vikings</v>
      </c>
      <c r="Q245" s="19" t="s">
        <v>469</v>
      </c>
      <c r="R245" s="19" t="s">
        <v>470</v>
      </c>
      <c r="S245" s="19">
        <v>0</v>
      </c>
      <c r="T245" s="19">
        <v>26</v>
      </c>
      <c r="U245" s="19" t="s">
        <v>115</v>
      </c>
      <c r="V245" s="19" t="str">
        <f>IF(Clean_Data!$T245&gt;0,"Runs","Wickets")</f>
        <v>Runs</v>
      </c>
      <c r="W245" s="19">
        <f>IF(Clean_Data!$T245&gt;0,Clean_Data!$T245,Clean_Data!$S245)</f>
        <v>26</v>
      </c>
      <c r="X245" s="19" t="str">
        <f>IF(Clean_Data!$W245&lt;=10,"Close Match","Normal")</f>
        <v>Normal</v>
      </c>
      <c r="Y245" s="19">
        <f>Clean_Data!$G245+Clean_Data!$J245</f>
        <v>402</v>
      </c>
      <c r="Z245" s="19" t="str">
        <f>IF(Clean_Data!$Y245&gt;=170,"170+ Match","Below 170")</f>
        <v>170+ Match</v>
      </c>
      <c r="AA245" s="19" t="s">
        <v>147</v>
      </c>
      <c r="AB245" s="21" t="s">
        <v>225</v>
      </c>
    </row>
    <row r="246" spans="1:28" x14ac:dyDescent="0.3">
      <c r="A246" s="16" t="s">
        <v>251</v>
      </c>
      <c r="B246" s="5" t="str">
        <f>LEFT(Clean_Data!$A246,4)</f>
        <v>2018</v>
      </c>
      <c r="C246" s="5" t="s">
        <v>91</v>
      </c>
      <c r="D246" s="5" t="str">
        <f>IF(ISNUMBER(SEARCH("Final",Clean_Data!$C246)),"Final",
IF(ISNUMBER(SEARCH("Semi",Clean_Data!$C246)),"Semi-Final",
IF(ISNUMBER(SEARCH("Elimination",Clean_Data!$C246)),"Eliminator",
"League")))</f>
        <v>League</v>
      </c>
      <c r="E246" s="6" t="s">
        <v>492</v>
      </c>
      <c r="F246" s="5" t="s">
        <v>238</v>
      </c>
      <c r="G246" s="5">
        <v>194</v>
      </c>
      <c r="H246" s="5">
        <v>4</v>
      </c>
      <c r="I246" s="5" t="s">
        <v>113</v>
      </c>
      <c r="J246" s="5">
        <v>195</v>
      </c>
      <c r="K246" s="5">
        <v>6</v>
      </c>
      <c r="L246" s="5" t="s">
        <v>461</v>
      </c>
      <c r="M246" s="5" t="s">
        <v>113</v>
      </c>
      <c r="N246" s="5" t="s">
        <v>26</v>
      </c>
      <c r="O246" s="5" t="s">
        <v>189</v>
      </c>
      <c r="P246" s="5" t="str">
        <f>IF(Clean_Data!$G246&gt;Clean_Data!$J246,Clean_Data!$F246,Clean_Data!$I246)</f>
        <v>Rangpur Riders</v>
      </c>
      <c r="Q246" s="5" t="s">
        <v>469</v>
      </c>
      <c r="R246" s="5" t="s">
        <v>470</v>
      </c>
      <c r="S246" s="5">
        <v>4</v>
      </c>
      <c r="T246" s="5">
        <v>0</v>
      </c>
      <c r="U246" s="5" t="s">
        <v>90</v>
      </c>
      <c r="V246" s="5" t="str">
        <f>IF(Clean_Data!$T246&gt;0,"Runs","Wickets")</f>
        <v>Wickets</v>
      </c>
      <c r="W246" s="5">
        <f>IF(Clean_Data!$T246&gt;0,Clean_Data!$T246,Clean_Data!$S246)</f>
        <v>4</v>
      </c>
      <c r="X246" s="5" t="str">
        <f>IF(Clean_Data!$W246&lt;=10,"Close Match","Normal")</f>
        <v>Close Match</v>
      </c>
      <c r="Y246" s="5">
        <f>Clean_Data!$G246+Clean_Data!$J246</f>
        <v>389</v>
      </c>
      <c r="Z246" s="5" t="str">
        <f>IF(Clean_Data!$Y246&gt;=170,"170+ Match","Below 170")</f>
        <v>170+ Match</v>
      </c>
      <c r="AA246" s="5" t="s">
        <v>255</v>
      </c>
      <c r="AB246" s="17" t="s">
        <v>56</v>
      </c>
    </row>
    <row r="247" spans="1:28" x14ac:dyDescent="0.3">
      <c r="A247" s="18" t="s">
        <v>251</v>
      </c>
      <c r="B247" s="19" t="str">
        <f>LEFT(Clean_Data!$A247,4)</f>
        <v>2018</v>
      </c>
      <c r="C247" s="19" t="s">
        <v>95</v>
      </c>
      <c r="D247" s="19" t="str">
        <f>IF(ISNUMBER(SEARCH("Final",Clean_Data!$C247)),"Final",
IF(ISNUMBER(SEARCH("Semi",Clean_Data!$C247)),"Semi-Final",
IF(ISNUMBER(SEARCH("Elimination",Clean_Data!$C247)),"Eliminator",
"League")))</f>
        <v>League</v>
      </c>
      <c r="E247" s="20" t="s">
        <v>493</v>
      </c>
      <c r="F247" s="19" t="s">
        <v>206</v>
      </c>
      <c r="G247" s="19">
        <v>181</v>
      </c>
      <c r="H247" s="19">
        <v>7</v>
      </c>
      <c r="I247" s="19" t="s">
        <v>143</v>
      </c>
      <c r="J247" s="19">
        <v>186</v>
      </c>
      <c r="K247" s="19">
        <v>7</v>
      </c>
      <c r="L247" s="19" t="s">
        <v>253</v>
      </c>
      <c r="M247" s="19" t="s">
        <v>143</v>
      </c>
      <c r="N247" s="19" t="s">
        <v>26</v>
      </c>
      <c r="O247" s="19" t="s">
        <v>145</v>
      </c>
      <c r="P247" s="19" t="str">
        <f>IF(Clean_Data!$G247&gt;Clean_Data!$J247,Clean_Data!$F247,Clean_Data!$I247)</f>
        <v>Comilla Victorians</v>
      </c>
      <c r="Q247" s="19" t="s">
        <v>469</v>
      </c>
      <c r="R247" s="19" t="s">
        <v>470</v>
      </c>
      <c r="S247" s="19">
        <v>3</v>
      </c>
      <c r="T247" s="19">
        <v>0</v>
      </c>
      <c r="U247" s="19" t="s">
        <v>49</v>
      </c>
      <c r="V247" s="19" t="str">
        <f>IF(Clean_Data!$T247&gt;0,"Runs","Wickets")</f>
        <v>Wickets</v>
      </c>
      <c r="W247" s="19">
        <f>IF(Clean_Data!$T247&gt;0,Clean_Data!$T247,Clean_Data!$S247)</f>
        <v>3</v>
      </c>
      <c r="X247" s="19" t="str">
        <f>IF(Clean_Data!$W247&lt;=10,"Close Match","Normal")</f>
        <v>Close Match</v>
      </c>
      <c r="Y247" s="19">
        <f>Clean_Data!$G247+Clean_Data!$J247</f>
        <v>367</v>
      </c>
      <c r="Z247" s="19" t="str">
        <f>IF(Clean_Data!$Y247&gt;=170,"170+ Match","Below 170")</f>
        <v>170+ Match</v>
      </c>
      <c r="AA247" s="19" t="s">
        <v>255</v>
      </c>
      <c r="AB247" s="21" t="s">
        <v>56</v>
      </c>
    </row>
    <row r="248" spans="1:28" x14ac:dyDescent="0.3">
      <c r="A248" s="16" t="s">
        <v>251</v>
      </c>
      <c r="B248" s="5" t="str">
        <f>LEFT(Clean_Data!$A248,4)</f>
        <v>2018</v>
      </c>
      <c r="C248" s="5" t="s">
        <v>104</v>
      </c>
      <c r="D248" s="5" t="str">
        <f>IF(ISNUMBER(SEARCH("Final",Clean_Data!$C248)),"Final",
IF(ISNUMBER(SEARCH("Semi",Clean_Data!$C248)),"Semi-Final",
IF(ISNUMBER(SEARCH("Elimination",Clean_Data!$C248)),"Eliminator",
"League")))</f>
        <v>League</v>
      </c>
      <c r="E248" s="6" t="s">
        <v>493</v>
      </c>
      <c r="F248" s="5" t="s">
        <v>238</v>
      </c>
      <c r="G248" s="5">
        <v>158</v>
      </c>
      <c r="H248" s="5">
        <v>8</v>
      </c>
      <c r="I248" s="5" t="s">
        <v>160</v>
      </c>
      <c r="J248" s="5">
        <v>163</v>
      </c>
      <c r="K248" s="5">
        <v>4</v>
      </c>
      <c r="L248" s="5" t="s">
        <v>108</v>
      </c>
      <c r="M248" s="5" t="s">
        <v>238</v>
      </c>
      <c r="N248" s="5" t="s">
        <v>37</v>
      </c>
      <c r="O248" s="5" t="s">
        <v>193</v>
      </c>
      <c r="P248" s="5" t="str">
        <f>IF(Clean_Data!$G248&gt;Clean_Data!$J248,Clean_Data!$F248,Clean_Data!$I248)</f>
        <v>Dhaka Dynamites</v>
      </c>
      <c r="Q248" s="5" t="s">
        <v>469</v>
      </c>
      <c r="R248" s="5" t="s">
        <v>470</v>
      </c>
      <c r="S248" s="5">
        <v>6</v>
      </c>
      <c r="T248" s="5">
        <v>0</v>
      </c>
      <c r="U248" s="5" t="s">
        <v>151</v>
      </c>
      <c r="V248" s="5" t="str">
        <f>IF(Clean_Data!$T248&gt;0,"Runs","Wickets")</f>
        <v>Wickets</v>
      </c>
      <c r="W248" s="5">
        <f>IF(Clean_Data!$T248&gt;0,Clean_Data!$T248,Clean_Data!$S248)</f>
        <v>6</v>
      </c>
      <c r="X248" s="5" t="str">
        <f>IF(Clean_Data!$W248&lt;=10,"Close Match","Normal")</f>
        <v>Close Match</v>
      </c>
      <c r="Y248" s="5">
        <f>Clean_Data!$G248+Clean_Data!$J248</f>
        <v>321</v>
      </c>
      <c r="Z248" s="5" t="str">
        <f>IF(Clean_Data!$Y248&gt;=170,"170+ Match","Below 170")</f>
        <v>170+ Match</v>
      </c>
      <c r="AA248" s="5" t="s">
        <v>66</v>
      </c>
      <c r="AB248" s="17" t="s">
        <v>147</v>
      </c>
    </row>
    <row r="249" spans="1:28" x14ac:dyDescent="0.3">
      <c r="A249" s="18" t="s">
        <v>251</v>
      </c>
      <c r="B249" s="19" t="str">
        <f>LEFT(Clean_Data!$A249,4)</f>
        <v>2018</v>
      </c>
      <c r="C249" s="19" t="s">
        <v>110</v>
      </c>
      <c r="D249" s="19" t="str">
        <f>IF(ISNUMBER(SEARCH("Final",Clean_Data!$C249)),"Final",
IF(ISNUMBER(SEARCH("Semi",Clean_Data!$C249)),"Semi-Final",
IF(ISNUMBER(SEARCH("Elimination",Clean_Data!$C249)),"Eliminator",
"League")))</f>
        <v>League</v>
      </c>
      <c r="E249" s="20" t="s">
        <v>494</v>
      </c>
      <c r="F249" s="19" t="s">
        <v>238</v>
      </c>
      <c r="G249" s="19">
        <v>187</v>
      </c>
      <c r="H249" s="19">
        <v>5</v>
      </c>
      <c r="I249" s="19" t="s">
        <v>113</v>
      </c>
      <c r="J249" s="19">
        <v>160</v>
      </c>
      <c r="K249" s="19">
        <v>6</v>
      </c>
      <c r="L249" s="19" t="s">
        <v>239</v>
      </c>
      <c r="M249" s="19" t="s">
        <v>113</v>
      </c>
      <c r="N249" s="19" t="s">
        <v>26</v>
      </c>
      <c r="O249" s="19" t="s">
        <v>250</v>
      </c>
      <c r="P249" s="19" t="str">
        <f>IF(Clean_Data!$G249&gt;Clean_Data!$J249,Clean_Data!$F249,Clean_Data!$I249)</f>
        <v>Sylhet Sixers</v>
      </c>
      <c r="Q249" s="19" t="s">
        <v>469</v>
      </c>
      <c r="R249" s="19" t="s">
        <v>470</v>
      </c>
      <c r="S249" s="19">
        <v>0</v>
      </c>
      <c r="T249" s="19">
        <v>27</v>
      </c>
      <c r="U249" s="19" t="s">
        <v>285</v>
      </c>
      <c r="V249" s="19" t="str">
        <f>IF(Clean_Data!$T249&gt;0,"Runs","Wickets")</f>
        <v>Runs</v>
      </c>
      <c r="W249" s="19">
        <f>IF(Clean_Data!$T249&gt;0,Clean_Data!$T249,Clean_Data!$S249)</f>
        <v>27</v>
      </c>
      <c r="X249" s="19" t="str">
        <f>IF(Clean_Data!$W249&lt;=10,"Close Match","Normal")</f>
        <v>Normal</v>
      </c>
      <c r="Y249" s="19">
        <f>Clean_Data!$G249+Clean_Data!$J249</f>
        <v>347</v>
      </c>
      <c r="Z249" s="19" t="str">
        <f>IF(Clean_Data!$Y249&gt;=170,"170+ Match","Below 170")</f>
        <v>170+ Match</v>
      </c>
      <c r="AA249" s="19" t="s">
        <v>66</v>
      </c>
      <c r="AB249" s="21" t="s">
        <v>147</v>
      </c>
    </row>
    <row r="250" spans="1:28" x14ac:dyDescent="0.3">
      <c r="A250" s="16" t="s">
        <v>251</v>
      </c>
      <c r="B250" s="5" t="str">
        <f>LEFT(Clean_Data!$A250,4)</f>
        <v>2018</v>
      </c>
      <c r="C250" s="5" t="s">
        <v>116</v>
      </c>
      <c r="D250" s="5" t="str">
        <f>IF(ISNUMBER(SEARCH("Final",Clean_Data!$C250)),"Final",
IF(ISNUMBER(SEARCH("Semi",Clean_Data!$C250)),"Semi-Final",
IF(ISNUMBER(SEARCH("Elimination",Clean_Data!$C250)),"Eliminator",
"League")))</f>
        <v>League</v>
      </c>
      <c r="E250" s="6" t="s">
        <v>494</v>
      </c>
      <c r="F250" s="5" t="s">
        <v>199</v>
      </c>
      <c r="G250" s="5">
        <v>136</v>
      </c>
      <c r="H250" s="5">
        <v>6</v>
      </c>
      <c r="I250" s="5" t="s">
        <v>160</v>
      </c>
      <c r="J250" s="5">
        <v>116</v>
      </c>
      <c r="K250" s="5">
        <v>9</v>
      </c>
      <c r="L250" s="5" t="s">
        <v>377</v>
      </c>
      <c r="M250" s="5" t="s">
        <v>199</v>
      </c>
      <c r="N250" s="5" t="s">
        <v>37</v>
      </c>
      <c r="O250" s="5" t="s">
        <v>208</v>
      </c>
      <c r="P250" s="5" t="str">
        <f>IF(Clean_Data!$G250&gt;Clean_Data!$J250,Clean_Data!$F250,Clean_Data!$I250)</f>
        <v>Rajshahi Kings</v>
      </c>
      <c r="Q250" s="5" t="s">
        <v>469</v>
      </c>
      <c r="R250" s="5" t="s">
        <v>470</v>
      </c>
      <c r="S250" s="5">
        <v>0</v>
      </c>
      <c r="T250" s="5">
        <v>20</v>
      </c>
      <c r="U250" s="5" t="s">
        <v>495</v>
      </c>
      <c r="V250" s="5" t="str">
        <f>IF(Clean_Data!$T250&gt;0,"Runs","Wickets")</f>
        <v>Runs</v>
      </c>
      <c r="W250" s="5">
        <f>IF(Clean_Data!$T250&gt;0,Clean_Data!$T250,Clean_Data!$S250)</f>
        <v>20</v>
      </c>
      <c r="X250" s="5" t="str">
        <f>IF(Clean_Data!$W250&lt;=10,"Close Match","Normal")</f>
        <v>Normal</v>
      </c>
      <c r="Y250" s="5">
        <f>Clean_Data!$G250+Clean_Data!$J250</f>
        <v>252</v>
      </c>
      <c r="Z250" s="5" t="str">
        <f>IF(Clean_Data!$Y250&gt;=170,"170+ Match","Below 170")</f>
        <v>170+ Match</v>
      </c>
      <c r="AA250" s="5" t="s">
        <v>255</v>
      </c>
      <c r="AB250" s="17" t="s">
        <v>50</v>
      </c>
    </row>
    <row r="251" spans="1:28" x14ac:dyDescent="0.3">
      <c r="A251" s="18" t="s">
        <v>251</v>
      </c>
      <c r="B251" s="19" t="str">
        <f>LEFT(Clean_Data!$A251,4)</f>
        <v>2018</v>
      </c>
      <c r="C251" s="19" t="s">
        <v>123</v>
      </c>
      <c r="D251" s="19" t="str">
        <f>IF(ISNUMBER(SEARCH("Final",Clean_Data!$C251)),"Final",
IF(ISNUMBER(SEARCH("Semi",Clean_Data!$C251)),"Semi-Final",
IF(ISNUMBER(SEARCH("Elimination",Clean_Data!$C251)),"Eliminator",
"League")))</f>
        <v>League</v>
      </c>
      <c r="E251" s="20" t="s">
        <v>496</v>
      </c>
      <c r="F251" s="19" t="s">
        <v>238</v>
      </c>
      <c r="G251" s="19">
        <v>68</v>
      </c>
      <c r="H251" s="19">
        <v>10</v>
      </c>
      <c r="I251" s="19" t="s">
        <v>143</v>
      </c>
      <c r="J251" s="19">
        <v>69</v>
      </c>
      <c r="K251" s="19">
        <v>2</v>
      </c>
      <c r="L251" s="19" t="s">
        <v>443</v>
      </c>
      <c r="M251" s="19" t="s">
        <v>143</v>
      </c>
      <c r="N251" s="19" t="s">
        <v>26</v>
      </c>
      <c r="O251" s="19" t="s">
        <v>145</v>
      </c>
      <c r="P251" s="19" t="str">
        <f>IF(Clean_Data!$G251&gt;Clean_Data!$J251,Clean_Data!$F251,Clean_Data!$I251)</f>
        <v>Comilla Victorians</v>
      </c>
      <c r="Q251" s="19" t="s">
        <v>469</v>
      </c>
      <c r="R251" s="19" t="s">
        <v>470</v>
      </c>
      <c r="S251" s="19">
        <v>8</v>
      </c>
      <c r="T251" s="19">
        <v>0</v>
      </c>
      <c r="U251" s="19" t="s">
        <v>30</v>
      </c>
      <c r="V251" s="19" t="str">
        <f>IF(Clean_Data!$T251&gt;0,"Runs","Wickets")</f>
        <v>Wickets</v>
      </c>
      <c r="W251" s="19">
        <f>IF(Clean_Data!$T251&gt;0,Clean_Data!$T251,Clean_Data!$S251)</f>
        <v>8</v>
      </c>
      <c r="X251" s="19" t="str">
        <f>IF(Clean_Data!$W251&lt;=10,"Close Match","Normal")</f>
        <v>Close Match</v>
      </c>
      <c r="Y251" s="19">
        <f>Clean_Data!$G251+Clean_Data!$J251</f>
        <v>137</v>
      </c>
      <c r="Z251" s="19" t="str">
        <f>IF(Clean_Data!$Y251&gt;=170,"170+ Match","Below 170")</f>
        <v>Below 170</v>
      </c>
      <c r="AA251" s="19" t="s">
        <v>66</v>
      </c>
      <c r="AB251" s="21" t="s">
        <v>147</v>
      </c>
    </row>
    <row r="252" spans="1:28" x14ac:dyDescent="0.3">
      <c r="A252" s="16" t="s">
        <v>251</v>
      </c>
      <c r="B252" s="5" t="str">
        <f>LEFT(Clean_Data!$A252,4)</f>
        <v>2018</v>
      </c>
      <c r="C252" s="5" t="s">
        <v>126</v>
      </c>
      <c r="D252" s="5" t="str">
        <f>IF(ISNUMBER(SEARCH("Final",Clean_Data!$C252)),"Final",
IF(ISNUMBER(SEARCH("Semi",Clean_Data!$C252)),"Semi-Final",
IF(ISNUMBER(SEARCH("Elimination",Clean_Data!$C252)),"Eliminator",
"League")))</f>
        <v>League</v>
      </c>
      <c r="E252" s="6" t="s">
        <v>496</v>
      </c>
      <c r="F252" s="5" t="s">
        <v>206</v>
      </c>
      <c r="G252" s="5">
        <v>128</v>
      </c>
      <c r="H252" s="5">
        <v>9</v>
      </c>
      <c r="I252" s="5" t="s">
        <v>199</v>
      </c>
      <c r="J252" s="5">
        <v>103</v>
      </c>
      <c r="K252" s="5">
        <v>10</v>
      </c>
      <c r="L252" s="5" t="s">
        <v>497</v>
      </c>
      <c r="M252" s="5" t="s">
        <v>206</v>
      </c>
      <c r="N252" s="5" t="s">
        <v>37</v>
      </c>
      <c r="O252" s="5" t="s">
        <v>215</v>
      </c>
      <c r="P252" s="5" t="str">
        <f>IF(Clean_Data!$G252&gt;Clean_Data!$J252,Clean_Data!$F252,Clean_Data!$I252)</f>
        <v>Khulna Titans</v>
      </c>
      <c r="Q252" s="5" t="s">
        <v>469</v>
      </c>
      <c r="R252" s="5" t="s">
        <v>470</v>
      </c>
      <c r="S252" s="5">
        <v>0</v>
      </c>
      <c r="T252" s="5">
        <v>25</v>
      </c>
      <c r="U252" s="5" t="s">
        <v>240</v>
      </c>
      <c r="V252" s="5" t="str">
        <f>IF(Clean_Data!$T252&gt;0,"Runs","Wickets")</f>
        <v>Runs</v>
      </c>
      <c r="W252" s="5">
        <f>IF(Clean_Data!$T252&gt;0,Clean_Data!$T252,Clean_Data!$S252)</f>
        <v>25</v>
      </c>
      <c r="X252" s="5" t="str">
        <f>IF(Clean_Data!$W252&lt;=10,"Close Match","Normal")</f>
        <v>Normal</v>
      </c>
      <c r="Y252" s="5">
        <f>Clean_Data!$G252+Clean_Data!$J252</f>
        <v>231</v>
      </c>
      <c r="Z252" s="5" t="str">
        <f>IF(Clean_Data!$Y252&gt;=170,"170+ Match","Below 170")</f>
        <v>170+ Match</v>
      </c>
      <c r="AA252" s="5" t="s">
        <v>255</v>
      </c>
      <c r="AB252" s="17" t="s">
        <v>225</v>
      </c>
    </row>
    <row r="253" spans="1:28" x14ac:dyDescent="0.3">
      <c r="A253" s="18" t="s">
        <v>251</v>
      </c>
      <c r="B253" s="19" t="str">
        <f>LEFT(Clean_Data!$A253,4)</f>
        <v>2018</v>
      </c>
      <c r="C253" s="19" t="s">
        <v>132</v>
      </c>
      <c r="D253" s="19" t="str">
        <f>IF(ISNUMBER(SEARCH("Final",Clean_Data!$C253)),"Final",
IF(ISNUMBER(SEARCH("Semi",Clean_Data!$C253)),"Semi-Final",
IF(ISNUMBER(SEARCH("Elimination",Clean_Data!$C253)),"Eliminator",
"League")))</f>
        <v>League</v>
      </c>
      <c r="E253" s="20" t="s">
        <v>498</v>
      </c>
      <c r="F253" s="19" t="s">
        <v>143</v>
      </c>
      <c r="G253" s="19">
        <v>184</v>
      </c>
      <c r="H253" s="19">
        <v>5</v>
      </c>
      <c r="I253" s="19" t="s">
        <v>179</v>
      </c>
      <c r="J253" s="19">
        <v>186</v>
      </c>
      <c r="K253" s="19">
        <v>6</v>
      </c>
      <c r="L253" s="19" t="s">
        <v>150</v>
      </c>
      <c r="M253" s="19" t="s">
        <v>179</v>
      </c>
      <c r="N253" s="19" t="s">
        <v>26</v>
      </c>
      <c r="O253" s="19" t="s">
        <v>245</v>
      </c>
      <c r="P253" s="19" t="str">
        <f>IF(Clean_Data!$G253&gt;Clean_Data!$J253,Clean_Data!$F253,Clean_Data!$I253)</f>
        <v>Chittagong Vikings</v>
      </c>
      <c r="Q253" s="19" t="s">
        <v>28</v>
      </c>
      <c r="R253" s="19" t="s">
        <v>29</v>
      </c>
      <c r="S253" s="19">
        <v>4</v>
      </c>
      <c r="T253" s="19">
        <v>0</v>
      </c>
      <c r="U253" s="19" t="s">
        <v>90</v>
      </c>
      <c r="V253" s="19" t="str">
        <f>IF(Clean_Data!$T253&gt;0,"Runs","Wickets")</f>
        <v>Wickets</v>
      </c>
      <c r="W253" s="19">
        <f>IF(Clean_Data!$T253&gt;0,Clean_Data!$T253,Clean_Data!$S253)</f>
        <v>4</v>
      </c>
      <c r="X253" s="19" t="str">
        <f>IF(Clean_Data!$W253&lt;=10,"Close Match","Normal")</f>
        <v>Close Match</v>
      </c>
      <c r="Y253" s="19">
        <f>Clean_Data!$G253+Clean_Data!$J253</f>
        <v>370</v>
      </c>
      <c r="Z253" s="19" t="str">
        <f>IF(Clean_Data!$Y253&gt;=170,"170+ Match","Below 170")</f>
        <v>170+ Match</v>
      </c>
      <c r="AA253" s="19" t="s">
        <v>255</v>
      </c>
      <c r="AB253" s="21" t="s">
        <v>39</v>
      </c>
    </row>
    <row r="254" spans="1:28" x14ac:dyDescent="0.3">
      <c r="A254" s="16" t="s">
        <v>251</v>
      </c>
      <c r="B254" s="5" t="str">
        <f>LEFT(Clean_Data!$A254,4)</f>
        <v>2018</v>
      </c>
      <c r="C254" s="5" t="s">
        <v>138</v>
      </c>
      <c r="D254" s="5" t="str">
        <f>IF(ISNUMBER(SEARCH("Final",Clean_Data!$C254)),"Final",
IF(ISNUMBER(SEARCH("Semi",Clean_Data!$C254)),"Semi-Final",
IF(ISNUMBER(SEARCH("Elimination",Clean_Data!$C254)),"Eliminator",
"League")))</f>
        <v>League</v>
      </c>
      <c r="E254" s="6" t="s">
        <v>498</v>
      </c>
      <c r="F254" s="5" t="s">
        <v>199</v>
      </c>
      <c r="G254" s="5">
        <v>135</v>
      </c>
      <c r="H254" s="5">
        <v>8</v>
      </c>
      <c r="I254" s="5" t="s">
        <v>113</v>
      </c>
      <c r="J254" s="5">
        <v>130</v>
      </c>
      <c r="K254" s="5">
        <v>6</v>
      </c>
      <c r="L254" s="5" t="s">
        <v>462</v>
      </c>
      <c r="M254" s="5" t="s">
        <v>113</v>
      </c>
      <c r="N254" s="5" t="s">
        <v>26</v>
      </c>
      <c r="O254" s="5" t="s">
        <v>208</v>
      </c>
      <c r="P254" s="5" t="str">
        <f>IF(Clean_Data!$G254&gt;Clean_Data!$J254,Clean_Data!$F254,Clean_Data!$I254)</f>
        <v>Rajshahi Kings</v>
      </c>
      <c r="Q254" s="5" t="s">
        <v>28</v>
      </c>
      <c r="R254" s="5" t="s">
        <v>29</v>
      </c>
      <c r="S254" s="5">
        <v>0</v>
      </c>
      <c r="T254" s="5">
        <v>5</v>
      </c>
      <c r="U254" s="5" t="s">
        <v>499</v>
      </c>
      <c r="V254" s="5" t="str">
        <f>IF(Clean_Data!$T254&gt;0,"Runs","Wickets")</f>
        <v>Runs</v>
      </c>
      <c r="W254" s="5">
        <f>IF(Clean_Data!$T254&gt;0,Clean_Data!$T254,Clean_Data!$S254)</f>
        <v>5</v>
      </c>
      <c r="X254" s="5" t="str">
        <f>IF(Clean_Data!$W254&lt;=10,"Close Match","Normal")</f>
        <v>Close Match</v>
      </c>
      <c r="Y254" s="5">
        <f>Clean_Data!$G254+Clean_Data!$J254</f>
        <v>265</v>
      </c>
      <c r="Z254" s="5" t="str">
        <f>IF(Clean_Data!$Y254&gt;=170,"170+ Match","Below 170")</f>
        <v>170+ Match</v>
      </c>
      <c r="AA254" s="5" t="s">
        <v>147</v>
      </c>
      <c r="AB254" s="17" t="s">
        <v>44</v>
      </c>
    </row>
    <row r="255" spans="1:28" x14ac:dyDescent="0.3">
      <c r="A255" s="18" t="s">
        <v>251</v>
      </c>
      <c r="B255" s="19" t="str">
        <f>LEFT(Clean_Data!$A255,4)</f>
        <v>2018</v>
      </c>
      <c r="C255" s="19" t="s">
        <v>148</v>
      </c>
      <c r="D255" s="19" t="str">
        <f>IF(ISNUMBER(SEARCH("Final",Clean_Data!$C255)),"Final",
IF(ISNUMBER(SEARCH("Semi",Clean_Data!$C255)),"Semi-Final",
IF(ISNUMBER(SEARCH("Elimination",Clean_Data!$C255)),"Eliminator",
"League")))</f>
        <v>League</v>
      </c>
      <c r="E255" s="20" t="s">
        <v>500</v>
      </c>
      <c r="F255" s="19" t="s">
        <v>160</v>
      </c>
      <c r="G255" s="19">
        <v>173</v>
      </c>
      <c r="H255" s="19">
        <v>7</v>
      </c>
      <c r="I255" s="19" t="s">
        <v>238</v>
      </c>
      <c r="J255" s="19">
        <v>141</v>
      </c>
      <c r="K255" s="19">
        <v>9</v>
      </c>
      <c r="L255" s="19" t="s">
        <v>501</v>
      </c>
      <c r="M255" s="19" t="s">
        <v>160</v>
      </c>
      <c r="N255" s="19" t="s">
        <v>37</v>
      </c>
      <c r="O255" s="19" t="s">
        <v>193</v>
      </c>
      <c r="P255" s="19" t="str">
        <f>IF(Clean_Data!$G255&gt;Clean_Data!$J255,Clean_Data!$F255,Clean_Data!$I255)</f>
        <v>Dhaka Dynamites</v>
      </c>
      <c r="Q255" s="19" t="s">
        <v>28</v>
      </c>
      <c r="R255" s="19" t="s">
        <v>29</v>
      </c>
      <c r="S255" s="19">
        <v>0</v>
      </c>
      <c r="T255" s="19">
        <v>32</v>
      </c>
      <c r="U255" s="19" t="s">
        <v>414</v>
      </c>
      <c r="V255" s="19" t="str">
        <f>IF(Clean_Data!$T255&gt;0,"Runs","Wickets")</f>
        <v>Runs</v>
      </c>
      <c r="W255" s="19">
        <f>IF(Clean_Data!$T255&gt;0,Clean_Data!$T255,Clean_Data!$S255)</f>
        <v>32</v>
      </c>
      <c r="X255" s="19" t="str">
        <f>IF(Clean_Data!$W255&lt;=10,"Close Match","Normal")</f>
        <v>Normal</v>
      </c>
      <c r="Y255" s="19">
        <f>Clean_Data!$G255+Clean_Data!$J255</f>
        <v>314</v>
      </c>
      <c r="Z255" s="19" t="str">
        <f>IF(Clean_Data!$Y255&gt;=170,"170+ Match","Below 170")</f>
        <v>170+ Match</v>
      </c>
      <c r="AA255" s="19" t="s">
        <v>255</v>
      </c>
      <c r="AB255" s="21" t="s">
        <v>50</v>
      </c>
    </row>
    <row r="256" spans="1:28" x14ac:dyDescent="0.3">
      <c r="A256" s="16" t="s">
        <v>251</v>
      </c>
      <c r="B256" s="5" t="str">
        <f>LEFT(Clean_Data!$A256,4)</f>
        <v>2018</v>
      </c>
      <c r="C256" s="5" t="s">
        <v>156</v>
      </c>
      <c r="D256" s="5" t="str">
        <f>IF(ISNUMBER(SEARCH("Final",Clean_Data!$C256)),"Final",
IF(ISNUMBER(SEARCH("Semi",Clean_Data!$C256)),"Semi-Final",
IF(ISNUMBER(SEARCH("Elimination",Clean_Data!$C256)),"Eliminator",
"League")))</f>
        <v>League</v>
      </c>
      <c r="E256" s="6" t="s">
        <v>500</v>
      </c>
      <c r="F256" s="5" t="s">
        <v>206</v>
      </c>
      <c r="G256" s="5">
        <v>151</v>
      </c>
      <c r="H256" s="5">
        <v>6</v>
      </c>
      <c r="I256" s="5" t="s">
        <v>179</v>
      </c>
      <c r="J256" s="5">
        <v>151</v>
      </c>
      <c r="K256" s="5">
        <v>8</v>
      </c>
      <c r="L256" s="5" t="s">
        <v>302</v>
      </c>
      <c r="M256" s="5" t="s">
        <v>179</v>
      </c>
      <c r="N256" s="5" t="s">
        <v>26</v>
      </c>
      <c r="O256" s="5" t="s">
        <v>502</v>
      </c>
      <c r="P256" s="5" t="str">
        <f>IF(Clean_Data!$G256&gt;Clean_Data!$J256,Clean_Data!$F256,Clean_Data!$I256)</f>
        <v>Chittagong Vikings</v>
      </c>
      <c r="Q256" s="5" t="s">
        <v>28</v>
      </c>
      <c r="R256" s="5" t="s">
        <v>29</v>
      </c>
      <c r="S256" s="5">
        <v>0</v>
      </c>
      <c r="T256" s="5">
        <v>0</v>
      </c>
      <c r="U256" s="5" t="s">
        <v>503</v>
      </c>
      <c r="V256" s="5" t="str">
        <f>IF(Clean_Data!$T256&gt;0,"Runs","Wickets")</f>
        <v>Wickets</v>
      </c>
      <c r="W256" s="5">
        <f>IF(Clean_Data!$T256&gt;0,Clean_Data!$T256,Clean_Data!$S256)</f>
        <v>0</v>
      </c>
      <c r="X256" s="5" t="str">
        <f>IF(Clean_Data!$W256&lt;=10,"Close Match","Normal")</f>
        <v>Close Match</v>
      </c>
      <c r="Y256" s="5">
        <f>Clean_Data!$G256+Clean_Data!$J256</f>
        <v>302</v>
      </c>
      <c r="Z256" s="5" t="str">
        <f>IF(Clean_Data!$Y256&gt;=170,"170+ Match","Below 170")</f>
        <v>170+ Match</v>
      </c>
      <c r="AA256" s="5" t="s">
        <v>216</v>
      </c>
      <c r="AB256" s="17" t="s">
        <v>147</v>
      </c>
    </row>
    <row r="257" spans="1:28" x14ac:dyDescent="0.3">
      <c r="A257" s="18" t="s">
        <v>251</v>
      </c>
      <c r="B257" s="19" t="str">
        <f>LEFT(Clean_Data!$A257,4)</f>
        <v>2018</v>
      </c>
      <c r="C257" s="19" t="s">
        <v>163</v>
      </c>
      <c r="D257" s="19" t="str">
        <f>IF(ISNUMBER(SEARCH("Final",Clean_Data!$C257)),"Final",
IF(ISNUMBER(SEARCH("Semi",Clean_Data!$C257)),"Semi-Final",
IF(ISNUMBER(SEARCH("Elimination",Clean_Data!$C257)),"Eliminator",
"League")))</f>
        <v>League</v>
      </c>
      <c r="E257" s="20" t="s">
        <v>504</v>
      </c>
      <c r="F257" s="19" t="s">
        <v>199</v>
      </c>
      <c r="G257" s="19">
        <v>124</v>
      </c>
      <c r="H257" s="19">
        <v>10</v>
      </c>
      <c r="I257" s="19" t="s">
        <v>143</v>
      </c>
      <c r="J257" s="19">
        <v>130</v>
      </c>
      <c r="K257" s="19">
        <v>5</v>
      </c>
      <c r="L257" s="19" t="s">
        <v>235</v>
      </c>
      <c r="M257" s="19" t="s">
        <v>143</v>
      </c>
      <c r="N257" s="19" t="s">
        <v>26</v>
      </c>
      <c r="O257" s="19" t="s">
        <v>145</v>
      </c>
      <c r="P257" s="19" t="str">
        <f>IF(Clean_Data!$G257&gt;Clean_Data!$J257,Clean_Data!$F257,Clean_Data!$I257)</f>
        <v>Comilla Victorians</v>
      </c>
      <c r="Q257" s="19" t="s">
        <v>28</v>
      </c>
      <c r="R257" s="19" t="s">
        <v>29</v>
      </c>
      <c r="S257" s="19">
        <v>5</v>
      </c>
      <c r="T257" s="19">
        <v>0</v>
      </c>
      <c r="U257" s="19" t="s">
        <v>55</v>
      </c>
      <c r="V257" s="19" t="str">
        <f>IF(Clean_Data!$T257&gt;0,"Runs","Wickets")</f>
        <v>Wickets</v>
      </c>
      <c r="W257" s="19">
        <f>IF(Clean_Data!$T257&gt;0,Clean_Data!$T257,Clean_Data!$S257)</f>
        <v>5</v>
      </c>
      <c r="X257" s="19" t="str">
        <f>IF(Clean_Data!$W257&lt;=10,"Close Match","Normal")</f>
        <v>Close Match</v>
      </c>
      <c r="Y257" s="19">
        <f>Clean_Data!$G257+Clean_Data!$J257</f>
        <v>254</v>
      </c>
      <c r="Z257" s="19" t="str">
        <f>IF(Clean_Data!$Y257&gt;=170,"170+ Match","Below 170")</f>
        <v>170+ Match</v>
      </c>
      <c r="AA257" s="19" t="s">
        <v>255</v>
      </c>
      <c r="AB257" s="21" t="s">
        <v>216</v>
      </c>
    </row>
    <row r="258" spans="1:28" x14ac:dyDescent="0.3">
      <c r="A258" s="16" t="s">
        <v>251</v>
      </c>
      <c r="B258" s="5" t="str">
        <f>LEFT(Clean_Data!$A258,4)</f>
        <v>2018</v>
      </c>
      <c r="C258" s="5" t="s">
        <v>168</v>
      </c>
      <c r="D258" s="5" t="str">
        <f>IF(ISNUMBER(SEARCH("Final",Clean_Data!$C258)),"Final",
IF(ISNUMBER(SEARCH("Semi",Clean_Data!$C258)),"Semi-Final",
IF(ISNUMBER(SEARCH("Elimination",Clean_Data!$C258)),"Eliminator",
"League")))</f>
        <v>League</v>
      </c>
      <c r="E258" s="6" t="s">
        <v>504</v>
      </c>
      <c r="F258" s="5" t="s">
        <v>160</v>
      </c>
      <c r="G258" s="5">
        <v>183</v>
      </c>
      <c r="H258" s="5">
        <v>9</v>
      </c>
      <c r="I258" s="5" t="s">
        <v>113</v>
      </c>
      <c r="J258" s="5">
        <v>181</v>
      </c>
      <c r="K258" s="5">
        <v>9</v>
      </c>
      <c r="L258" s="5" t="s">
        <v>505</v>
      </c>
      <c r="M258" s="5" t="s">
        <v>113</v>
      </c>
      <c r="N258" s="5" t="s">
        <v>26</v>
      </c>
      <c r="O258" s="5" t="s">
        <v>193</v>
      </c>
      <c r="P258" s="5" t="str">
        <f>IF(Clean_Data!$G258&gt;Clean_Data!$J258,Clean_Data!$F258,Clean_Data!$I258)</f>
        <v>Dhaka Dynamites</v>
      </c>
      <c r="Q258" s="5" t="s">
        <v>28</v>
      </c>
      <c r="R258" s="5" t="s">
        <v>29</v>
      </c>
      <c r="S258" s="5">
        <v>0</v>
      </c>
      <c r="T258" s="5">
        <v>2</v>
      </c>
      <c r="U258" s="5" t="s">
        <v>128</v>
      </c>
      <c r="V258" s="5" t="str">
        <f>IF(Clean_Data!$T258&gt;0,"Runs","Wickets")</f>
        <v>Runs</v>
      </c>
      <c r="W258" s="5">
        <f>IF(Clean_Data!$T258&gt;0,Clean_Data!$T258,Clean_Data!$S258)</f>
        <v>2</v>
      </c>
      <c r="X258" s="5" t="str">
        <f>IF(Clean_Data!$W258&lt;=10,"Close Match","Normal")</f>
        <v>Close Match</v>
      </c>
      <c r="Y258" s="5">
        <f>Clean_Data!$G258+Clean_Data!$J258</f>
        <v>364</v>
      </c>
      <c r="Z258" s="5" t="str">
        <f>IF(Clean_Data!$Y258&gt;=170,"170+ Match","Below 170")</f>
        <v>170+ Match</v>
      </c>
      <c r="AA258" s="5" t="s">
        <v>66</v>
      </c>
      <c r="AB258" s="17" t="s">
        <v>147</v>
      </c>
    </row>
    <row r="259" spans="1:28" x14ac:dyDescent="0.3">
      <c r="A259" s="18" t="s">
        <v>251</v>
      </c>
      <c r="B259" s="19" t="str">
        <f>LEFT(Clean_Data!$A259,4)</f>
        <v>2018</v>
      </c>
      <c r="C259" s="19" t="s">
        <v>170</v>
      </c>
      <c r="D259" s="19" t="str">
        <f>IF(ISNUMBER(SEARCH("Final",Clean_Data!$C259)),"Final",
IF(ISNUMBER(SEARCH("Semi",Clean_Data!$C259)),"Semi-Final",
IF(ISNUMBER(SEARCH("Elimination",Clean_Data!$C259)),"Eliminator",
"League")))</f>
        <v>League</v>
      </c>
      <c r="E259" s="20" t="s">
        <v>506</v>
      </c>
      <c r="F259" s="19" t="s">
        <v>206</v>
      </c>
      <c r="G259" s="19">
        <v>117</v>
      </c>
      <c r="H259" s="19">
        <v>9</v>
      </c>
      <c r="I259" s="19" t="s">
        <v>199</v>
      </c>
      <c r="J259" s="19">
        <v>118</v>
      </c>
      <c r="K259" s="19">
        <v>3</v>
      </c>
      <c r="L259" s="19" t="s">
        <v>507</v>
      </c>
      <c r="M259" s="19" t="s">
        <v>206</v>
      </c>
      <c r="N259" s="19" t="s">
        <v>37</v>
      </c>
      <c r="O259" s="19" t="s">
        <v>208</v>
      </c>
      <c r="P259" s="19" t="str">
        <f>IF(Clean_Data!$G259&gt;Clean_Data!$J259,Clean_Data!$F259,Clean_Data!$I259)</f>
        <v>Rajshahi Kings</v>
      </c>
      <c r="Q259" s="19" t="s">
        <v>28</v>
      </c>
      <c r="R259" s="19" t="s">
        <v>29</v>
      </c>
      <c r="S259" s="19">
        <v>7</v>
      </c>
      <c r="T259" s="19">
        <v>0</v>
      </c>
      <c r="U259" s="19" t="s">
        <v>118</v>
      </c>
      <c r="V259" s="19" t="str">
        <f>IF(Clean_Data!$T259&gt;0,"Runs","Wickets")</f>
        <v>Wickets</v>
      </c>
      <c r="W259" s="19">
        <f>IF(Clean_Data!$T259&gt;0,Clean_Data!$T259,Clean_Data!$S259)</f>
        <v>7</v>
      </c>
      <c r="X259" s="19" t="str">
        <f>IF(Clean_Data!$W259&lt;=10,"Close Match","Normal")</f>
        <v>Close Match</v>
      </c>
      <c r="Y259" s="19">
        <f>Clean_Data!$G259+Clean_Data!$J259</f>
        <v>235</v>
      </c>
      <c r="Z259" s="19" t="str">
        <f>IF(Clean_Data!$Y259&gt;=170,"170+ Match","Below 170")</f>
        <v>170+ Match</v>
      </c>
      <c r="AA259" s="19" t="s">
        <v>255</v>
      </c>
      <c r="AB259" s="21" t="s">
        <v>39</v>
      </c>
    </row>
    <row r="260" spans="1:28" x14ac:dyDescent="0.3">
      <c r="A260" s="16" t="s">
        <v>251</v>
      </c>
      <c r="B260" s="5" t="str">
        <f>LEFT(Clean_Data!$A260,4)</f>
        <v>2018</v>
      </c>
      <c r="C260" s="5" t="s">
        <v>176</v>
      </c>
      <c r="D260" s="5" t="str">
        <f>IF(ISNUMBER(SEARCH("Final",Clean_Data!$C260)),"Final",
IF(ISNUMBER(SEARCH("Semi",Clean_Data!$C260)),"Semi-Final",
IF(ISNUMBER(SEARCH("Elimination",Clean_Data!$C260)),"Eliminator",
"League")))</f>
        <v>League</v>
      </c>
      <c r="E260" s="6" t="s">
        <v>506</v>
      </c>
      <c r="F260" s="5" t="s">
        <v>238</v>
      </c>
      <c r="G260" s="5">
        <v>168</v>
      </c>
      <c r="H260" s="5">
        <v>5</v>
      </c>
      <c r="I260" s="5" t="s">
        <v>179</v>
      </c>
      <c r="J260" s="5">
        <v>163</v>
      </c>
      <c r="K260" s="5">
        <v>7</v>
      </c>
      <c r="L260" s="5" t="s">
        <v>450</v>
      </c>
      <c r="M260" s="5" t="s">
        <v>238</v>
      </c>
      <c r="N260" s="5" t="s">
        <v>37</v>
      </c>
      <c r="O260" s="5" t="s">
        <v>250</v>
      </c>
      <c r="P260" s="5" t="str">
        <f>IF(Clean_Data!$G260&gt;Clean_Data!$J260,Clean_Data!$F260,Clean_Data!$I260)</f>
        <v>Sylhet Sixers</v>
      </c>
      <c r="Q260" s="5" t="s">
        <v>28</v>
      </c>
      <c r="R260" s="5" t="s">
        <v>29</v>
      </c>
      <c r="S260" s="5">
        <v>0</v>
      </c>
      <c r="T260" s="5">
        <v>5</v>
      </c>
      <c r="U260" s="5" t="s">
        <v>499</v>
      </c>
      <c r="V260" s="5" t="str">
        <f>IF(Clean_Data!$T260&gt;0,"Runs","Wickets")</f>
        <v>Runs</v>
      </c>
      <c r="W260" s="5">
        <f>IF(Clean_Data!$T260&gt;0,Clean_Data!$T260,Clean_Data!$S260)</f>
        <v>5</v>
      </c>
      <c r="X260" s="5" t="str">
        <f>IF(Clean_Data!$W260&lt;=10,"Close Match","Normal")</f>
        <v>Close Match</v>
      </c>
      <c r="Y260" s="5">
        <f>Clean_Data!$G260+Clean_Data!$J260</f>
        <v>331</v>
      </c>
      <c r="Z260" s="5" t="str">
        <f>IF(Clean_Data!$Y260&gt;=170,"170+ Match","Below 170")</f>
        <v>170+ Match</v>
      </c>
      <c r="AA260" s="5" t="s">
        <v>50</v>
      </c>
      <c r="AB260" s="17" t="s">
        <v>147</v>
      </c>
    </row>
    <row r="261" spans="1:28" x14ac:dyDescent="0.3">
      <c r="A261" s="18" t="s">
        <v>251</v>
      </c>
      <c r="B261" s="19" t="str">
        <f>LEFT(Clean_Data!$A261,4)</f>
        <v>2018</v>
      </c>
      <c r="C261" s="19" t="s">
        <v>180</v>
      </c>
      <c r="D261" s="19" t="str">
        <f>IF(ISNUMBER(SEARCH("Final",Clean_Data!$C261)),"Final",
IF(ISNUMBER(SEARCH("Semi",Clean_Data!$C261)),"Semi-Final",
IF(ISNUMBER(SEARCH("Elimination",Clean_Data!$C261)),"Eliminator",
"League")))</f>
        <v>League</v>
      </c>
      <c r="E261" s="20" t="s">
        <v>508</v>
      </c>
      <c r="F261" s="19" t="s">
        <v>143</v>
      </c>
      <c r="G261" s="19">
        <v>63</v>
      </c>
      <c r="H261" s="19">
        <v>10</v>
      </c>
      <c r="I261" s="19" t="s">
        <v>113</v>
      </c>
      <c r="J261" s="19">
        <v>67</v>
      </c>
      <c r="K261" s="19">
        <v>1</v>
      </c>
      <c r="L261" s="19" t="s">
        <v>397</v>
      </c>
      <c r="M261" s="19" t="s">
        <v>113</v>
      </c>
      <c r="N261" s="19" t="s">
        <v>26</v>
      </c>
      <c r="O261" s="19" t="s">
        <v>189</v>
      </c>
      <c r="P261" s="19" t="str">
        <f>IF(Clean_Data!$G261&gt;Clean_Data!$J261,Clean_Data!$F261,Clean_Data!$I261)</f>
        <v>Rangpur Riders</v>
      </c>
      <c r="Q261" s="19" t="s">
        <v>28</v>
      </c>
      <c r="R261" s="19" t="s">
        <v>29</v>
      </c>
      <c r="S261" s="19">
        <v>9</v>
      </c>
      <c r="T261" s="19">
        <v>0</v>
      </c>
      <c r="U261" s="19" t="s">
        <v>71</v>
      </c>
      <c r="V261" s="19" t="str">
        <f>IF(Clean_Data!$T261&gt;0,"Runs","Wickets")</f>
        <v>Wickets</v>
      </c>
      <c r="W261" s="19">
        <f>IF(Clean_Data!$T261&gt;0,Clean_Data!$T261,Clean_Data!$S261)</f>
        <v>9</v>
      </c>
      <c r="X261" s="19" t="str">
        <f>IF(Clean_Data!$W261&lt;=10,"Close Match","Normal")</f>
        <v>Close Match</v>
      </c>
      <c r="Y261" s="19">
        <f>Clean_Data!$G261+Clean_Data!$J261</f>
        <v>130</v>
      </c>
      <c r="Z261" s="19" t="str">
        <f>IF(Clean_Data!$Y261&gt;=170,"170+ Match","Below 170")</f>
        <v>Below 170</v>
      </c>
      <c r="AA261" s="19" t="s">
        <v>50</v>
      </c>
      <c r="AB261" s="21" t="s">
        <v>147</v>
      </c>
    </row>
    <row r="262" spans="1:28" x14ac:dyDescent="0.3">
      <c r="A262" s="16" t="s">
        <v>251</v>
      </c>
      <c r="B262" s="5" t="str">
        <f>LEFT(Clean_Data!$A262,4)</f>
        <v>2018</v>
      </c>
      <c r="C262" s="5" t="s">
        <v>186</v>
      </c>
      <c r="D262" s="5" t="str">
        <f>IF(ISNUMBER(SEARCH("Final",Clean_Data!$C262)),"Final",
IF(ISNUMBER(SEARCH("Semi",Clean_Data!$C262)),"Semi-Final",
IF(ISNUMBER(SEARCH("Elimination",Clean_Data!$C262)),"Eliminator",
"League")))</f>
        <v>League</v>
      </c>
      <c r="E262" s="6" t="s">
        <v>508</v>
      </c>
      <c r="F262" s="5" t="s">
        <v>160</v>
      </c>
      <c r="G262" s="5">
        <v>192</v>
      </c>
      <c r="H262" s="5">
        <v>6</v>
      </c>
      <c r="I262" s="5" t="s">
        <v>206</v>
      </c>
      <c r="J262" s="5">
        <v>87</v>
      </c>
      <c r="K262" s="5">
        <v>10</v>
      </c>
      <c r="L262" s="5" t="s">
        <v>509</v>
      </c>
      <c r="M262" s="5" t="s">
        <v>206</v>
      </c>
      <c r="N262" s="5" t="s">
        <v>26</v>
      </c>
      <c r="O262" s="5" t="s">
        <v>193</v>
      </c>
      <c r="P262" s="5" t="str">
        <f>IF(Clean_Data!$G262&gt;Clean_Data!$J262,Clean_Data!$F262,Clean_Data!$I262)</f>
        <v>Dhaka Dynamites</v>
      </c>
      <c r="Q262" s="5" t="s">
        <v>28</v>
      </c>
      <c r="R262" s="5" t="s">
        <v>29</v>
      </c>
      <c r="S262" s="5">
        <v>0</v>
      </c>
      <c r="T262" s="5">
        <v>105</v>
      </c>
      <c r="U262" s="5" t="s">
        <v>510</v>
      </c>
      <c r="V262" s="5" t="str">
        <f>IF(Clean_Data!$T262&gt;0,"Runs","Wickets")</f>
        <v>Runs</v>
      </c>
      <c r="W262" s="5">
        <f>IF(Clean_Data!$T262&gt;0,Clean_Data!$T262,Clean_Data!$S262)</f>
        <v>105</v>
      </c>
      <c r="X262" s="5" t="str">
        <f>IF(Clean_Data!$W262&lt;=10,"Close Match","Normal")</f>
        <v>Normal</v>
      </c>
      <c r="Y262" s="5">
        <f>Clean_Data!$G262+Clean_Data!$J262</f>
        <v>279</v>
      </c>
      <c r="Z262" s="5" t="str">
        <f>IF(Clean_Data!$Y262&gt;=170,"170+ Match","Below 170")</f>
        <v>170+ Match</v>
      </c>
      <c r="AA262" s="5" t="s">
        <v>255</v>
      </c>
      <c r="AB262" s="17" t="s">
        <v>39</v>
      </c>
    </row>
    <row r="263" spans="1:28" x14ac:dyDescent="0.3">
      <c r="A263" s="18" t="s">
        <v>251</v>
      </c>
      <c r="B263" s="19" t="str">
        <f>LEFT(Clean_Data!$A263,4)</f>
        <v>2018</v>
      </c>
      <c r="C263" s="19" t="s">
        <v>190</v>
      </c>
      <c r="D263" s="19" t="str">
        <f>IF(ISNUMBER(SEARCH("Final",Clean_Data!$C263)),"Final",
IF(ISNUMBER(SEARCH("Semi",Clean_Data!$C263)),"Semi-Final",
IF(ISNUMBER(SEARCH("Elimination",Clean_Data!$C263)),"Eliminator",
"League")))</f>
        <v>League</v>
      </c>
      <c r="E263" s="20" t="s">
        <v>511</v>
      </c>
      <c r="F263" s="19" t="s">
        <v>113</v>
      </c>
      <c r="G263" s="19">
        <v>169</v>
      </c>
      <c r="H263" s="19">
        <v>3</v>
      </c>
      <c r="I263" s="19" t="s">
        <v>206</v>
      </c>
      <c r="J263" s="19">
        <v>161</v>
      </c>
      <c r="K263" s="19">
        <v>5</v>
      </c>
      <c r="L263" s="19" t="s">
        <v>461</v>
      </c>
      <c r="M263" s="19" t="s">
        <v>206</v>
      </c>
      <c r="N263" s="19" t="s">
        <v>26</v>
      </c>
      <c r="O263" s="19" t="s">
        <v>189</v>
      </c>
      <c r="P263" s="19" t="str">
        <f>IF(Clean_Data!$G263&gt;Clean_Data!$J263,Clean_Data!$F263,Clean_Data!$I263)</f>
        <v>Rangpur Riders</v>
      </c>
      <c r="Q263" s="19" t="s">
        <v>28</v>
      </c>
      <c r="R263" s="19" t="s">
        <v>29</v>
      </c>
      <c r="S263" s="19">
        <v>0</v>
      </c>
      <c r="T263" s="19">
        <v>8</v>
      </c>
      <c r="U263" s="19" t="s">
        <v>218</v>
      </c>
      <c r="V263" s="19" t="str">
        <f>IF(Clean_Data!$T263&gt;0,"Runs","Wickets")</f>
        <v>Runs</v>
      </c>
      <c r="W263" s="19">
        <f>IF(Clean_Data!$T263&gt;0,Clean_Data!$T263,Clean_Data!$S263)</f>
        <v>8</v>
      </c>
      <c r="X263" s="19" t="str">
        <f>IF(Clean_Data!$W263&lt;=10,"Close Match","Normal")</f>
        <v>Close Match</v>
      </c>
      <c r="Y263" s="19">
        <f>Clean_Data!$G263+Clean_Data!$J263</f>
        <v>330</v>
      </c>
      <c r="Z263" s="19" t="str">
        <f>IF(Clean_Data!$Y263&gt;=170,"170+ Match","Below 170")</f>
        <v>170+ Match</v>
      </c>
      <c r="AA263" s="19" t="s">
        <v>255</v>
      </c>
      <c r="AB263" s="21" t="s">
        <v>44</v>
      </c>
    </row>
    <row r="264" spans="1:28" x14ac:dyDescent="0.3">
      <c r="A264" s="16" t="s">
        <v>251</v>
      </c>
      <c r="B264" s="5" t="str">
        <f>LEFT(Clean_Data!$A264,4)</f>
        <v>2018</v>
      </c>
      <c r="C264" s="5" t="s">
        <v>195</v>
      </c>
      <c r="D264" s="5" t="str">
        <f>IF(ISNUMBER(SEARCH("Final",Clean_Data!$C264)),"Final",
IF(ISNUMBER(SEARCH("Semi",Clean_Data!$C264)),"Semi-Final",
IF(ISNUMBER(SEARCH("Elimination",Clean_Data!$C264)),"Eliminator",
"League")))</f>
        <v>League</v>
      </c>
      <c r="E264" s="6" t="s">
        <v>511</v>
      </c>
      <c r="F264" s="5" t="s">
        <v>238</v>
      </c>
      <c r="G264" s="5">
        <v>127</v>
      </c>
      <c r="H264" s="5">
        <v>8</v>
      </c>
      <c r="I264" s="5" t="s">
        <v>143</v>
      </c>
      <c r="J264" s="5">
        <v>130</v>
      </c>
      <c r="K264" s="5">
        <v>6</v>
      </c>
      <c r="L264" s="5" t="s">
        <v>235</v>
      </c>
      <c r="M264" s="5" t="s">
        <v>143</v>
      </c>
      <c r="N264" s="5" t="s">
        <v>26</v>
      </c>
      <c r="O264" s="5" t="s">
        <v>145</v>
      </c>
      <c r="P264" s="5" t="str">
        <f>IF(Clean_Data!$G264&gt;Clean_Data!$J264,Clean_Data!$F264,Clean_Data!$I264)</f>
        <v>Comilla Victorians</v>
      </c>
      <c r="Q264" s="5" t="s">
        <v>28</v>
      </c>
      <c r="R264" s="5" t="s">
        <v>29</v>
      </c>
      <c r="S264" s="5">
        <v>4</v>
      </c>
      <c r="T264" s="5">
        <v>0</v>
      </c>
      <c r="U264" s="5" t="s">
        <v>90</v>
      </c>
      <c r="V264" s="5" t="str">
        <f>IF(Clean_Data!$T264&gt;0,"Runs","Wickets")</f>
        <v>Wickets</v>
      </c>
      <c r="W264" s="5">
        <f>IF(Clean_Data!$T264&gt;0,Clean_Data!$T264,Clean_Data!$S264)</f>
        <v>4</v>
      </c>
      <c r="X264" s="5" t="str">
        <f>IF(Clean_Data!$W264&lt;=10,"Close Match","Normal")</f>
        <v>Close Match</v>
      </c>
      <c r="Y264" s="5">
        <f>Clean_Data!$G264+Clean_Data!$J264</f>
        <v>257</v>
      </c>
      <c r="Z264" s="5" t="str">
        <f>IF(Clean_Data!$Y264&gt;=170,"170+ Match","Below 170")</f>
        <v>170+ Match</v>
      </c>
      <c r="AA264" s="5" t="s">
        <v>66</v>
      </c>
      <c r="AB264" s="17" t="s">
        <v>147</v>
      </c>
    </row>
    <row r="265" spans="1:28" x14ac:dyDescent="0.3">
      <c r="A265" s="18" t="s">
        <v>251</v>
      </c>
      <c r="B265" s="19" t="str">
        <f>LEFT(Clean_Data!$A265,4)</f>
        <v>2018</v>
      </c>
      <c r="C265" s="19" t="s">
        <v>33</v>
      </c>
      <c r="D265" s="19" t="str">
        <f>IF(ISNUMBER(SEARCH("Final",Clean_Data!$C265)),"Final",
IF(ISNUMBER(SEARCH("Semi",Clean_Data!$C265)),"Semi-Final",
IF(ISNUMBER(SEARCH("Elimination",Clean_Data!$C265)),"Eliminator",
"League")))</f>
        <v>League</v>
      </c>
      <c r="E265" s="20" t="s">
        <v>512</v>
      </c>
      <c r="F265" s="19" t="s">
        <v>160</v>
      </c>
      <c r="G265" s="19">
        <v>189</v>
      </c>
      <c r="H265" s="19">
        <v>5</v>
      </c>
      <c r="I265" s="19" t="s">
        <v>199</v>
      </c>
      <c r="J265" s="19">
        <v>106</v>
      </c>
      <c r="K265" s="19">
        <v>10</v>
      </c>
      <c r="L265" s="19" t="s">
        <v>509</v>
      </c>
      <c r="M265" s="19" t="s">
        <v>199</v>
      </c>
      <c r="N265" s="19" t="s">
        <v>26</v>
      </c>
      <c r="O265" s="19" t="s">
        <v>193</v>
      </c>
      <c r="P265" s="19" t="str">
        <f>IF(Clean_Data!$G265&gt;Clean_Data!$J265,Clean_Data!$F265,Clean_Data!$I265)</f>
        <v>Dhaka Dynamites</v>
      </c>
      <c r="Q265" s="19" t="s">
        <v>28</v>
      </c>
      <c r="R265" s="19" t="s">
        <v>29</v>
      </c>
      <c r="S265" s="19">
        <v>0</v>
      </c>
      <c r="T265" s="19">
        <v>83</v>
      </c>
      <c r="U265" s="19" t="s">
        <v>513</v>
      </c>
      <c r="V265" s="19" t="str">
        <f>IF(Clean_Data!$T265&gt;0,"Runs","Wickets")</f>
        <v>Runs</v>
      </c>
      <c r="W265" s="19">
        <f>IF(Clean_Data!$T265&gt;0,Clean_Data!$T265,Clean_Data!$S265)</f>
        <v>83</v>
      </c>
      <c r="X265" s="19" t="str">
        <f>IF(Clean_Data!$W265&lt;=10,"Close Match","Normal")</f>
        <v>Normal</v>
      </c>
      <c r="Y265" s="19">
        <f>Clean_Data!$G265+Clean_Data!$J265</f>
        <v>295</v>
      </c>
      <c r="Z265" s="19" t="str">
        <f>IF(Clean_Data!$Y265&gt;=170,"170+ Match","Below 170")</f>
        <v>170+ Match</v>
      </c>
      <c r="AA265" s="19" t="s">
        <v>66</v>
      </c>
      <c r="AB265" s="21" t="s">
        <v>147</v>
      </c>
    </row>
    <row r="266" spans="1:28" x14ac:dyDescent="0.3">
      <c r="A266" s="16" t="s">
        <v>251</v>
      </c>
      <c r="B266" s="5" t="str">
        <f>LEFT(Clean_Data!$A266,4)</f>
        <v>2018</v>
      </c>
      <c r="C266" s="5" t="s">
        <v>40</v>
      </c>
      <c r="D266" s="5" t="str">
        <f>IF(ISNUMBER(SEARCH("Final",Clean_Data!$C266)),"Final",
IF(ISNUMBER(SEARCH("Semi",Clean_Data!$C266)),"Semi-Final",
IF(ISNUMBER(SEARCH("Elimination",Clean_Data!$C266)),"Eliminator",
"League")))</f>
        <v>League</v>
      </c>
      <c r="E266" s="6" t="s">
        <v>512</v>
      </c>
      <c r="F266" s="5" t="s">
        <v>113</v>
      </c>
      <c r="G266" s="5">
        <v>98</v>
      </c>
      <c r="H266" s="5">
        <v>10</v>
      </c>
      <c r="I266" s="5" t="s">
        <v>179</v>
      </c>
      <c r="J266" s="5">
        <v>101</v>
      </c>
      <c r="K266" s="5">
        <v>7</v>
      </c>
      <c r="L266" s="5" t="s">
        <v>302</v>
      </c>
      <c r="M266" s="5" t="s">
        <v>179</v>
      </c>
      <c r="N266" s="5" t="s">
        <v>26</v>
      </c>
      <c r="O266" s="5" t="s">
        <v>245</v>
      </c>
      <c r="P266" s="5" t="str">
        <f>IF(Clean_Data!$G266&gt;Clean_Data!$J266,Clean_Data!$F266,Clean_Data!$I266)</f>
        <v>Chittagong Vikings</v>
      </c>
      <c r="Q266" s="5" t="s">
        <v>28</v>
      </c>
      <c r="R266" s="5" t="s">
        <v>29</v>
      </c>
      <c r="S266" s="5">
        <v>3</v>
      </c>
      <c r="T266" s="5">
        <v>0</v>
      </c>
      <c r="U266" s="5" t="s">
        <v>49</v>
      </c>
      <c r="V266" s="5" t="str">
        <f>IF(Clean_Data!$T266&gt;0,"Runs","Wickets")</f>
        <v>Wickets</v>
      </c>
      <c r="W266" s="5">
        <f>IF(Clean_Data!$T266&gt;0,Clean_Data!$T266,Clean_Data!$S266)</f>
        <v>3</v>
      </c>
      <c r="X266" s="5" t="str">
        <f>IF(Clean_Data!$W266&lt;=10,"Close Match","Normal")</f>
        <v>Close Match</v>
      </c>
      <c r="Y266" s="5">
        <f>Clean_Data!$G266+Clean_Data!$J266</f>
        <v>199</v>
      </c>
      <c r="Z266" s="5" t="str">
        <f>IF(Clean_Data!$Y266&gt;=170,"170+ Match","Below 170")</f>
        <v>170+ Match</v>
      </c>
      <c r="AA266" s="5" t="s">
        <v>255</v>
      </c>
      <c r="AB266" s="17" t="s">
        <v>44</v>
      </c>
    </row>
    <row r="267" spans="1:28" x14ac:dyDescent="0.3">
      <c r="A267" s="18" t="s">
        <v>274</v>
      </c>
      <c r="B267" s="19" t="str">
        <f>LEFT(Clean_Data!$A267,4)</f>
        <v>2019</v>
      </c>
      <c r="C267" s="19" t="s">
        <v>321</v>
      </c>
      <c r="D267" s="19" t="str">
        <f>IF(ISNUMBER(SEARCH("Final",Clean_Data!$C267)),"Final",
IF(ISNUMBER(SEARCH("Semi",Clean_Data!$C267)),"Semi-Final",
IF(ISNUMBER(SEARCH("Elimination",Clean_Data!$C267)),"Eliminator",
"League")))</f>
        <v>League</v>
      </c>
      <c r="E267" s="20" t="s">
        <v>514</v>
      </c>
      <c r="F267" s="19" t="s">
        <v>276</v>
      </c>
      <c r="G267" s="19">
        <v>166</v>
      </c>
      <c r="H267" s="19">
        <v>8</v>
      </c>
      <c r="I267" s="19" t="s">
        <v>280</v>
      </c>
      <c r="J267" s="19">
        <v>170</v>
      </c>
      <c r="K267" s="19">
        <v>3</v>
      </c>
      <c r="L267" s="19" t="s">
        <v>464</v>
      </c>
      <c r="M267" s="19" t="s">
        <v>280</v>
      </c>
      <c r="N267" s="19" t="s">
        <v>26</v>
      </c>
      <c r="O267" s="19" t="s">
        <v>289</v>
      </c>
      <c r="P267" s="19" t="str">
        <f>IF(Clean_Data!$G267&gt;Clean_Data!$J267,Clean_Data!$F267,Clean_Data!$I267)</f>
        <v>Chattogram Challengers</v>
      </c>
      <c r="Q267" s="19" t="s">
        <v>28</v>
      </c>
      <c r="R267" s="19" t="s">
        <v>29</v>
      </c>
      <c r="S267" s="19">
        <v>7</v>
      </c>
      <c r="T267" s="19">
        <v>0</v>
      </c>
      <c r="U267" s="19" t="s">
        <v>118</v>
      </c>
      <c r="V267" s="19" t="str">
        <f>IF(Clean_Data!$T267&gt;0,"Runs","Wickets")</f>
        <v>Wickets</v>
      </c>
      <c r="W267" s="19">
        <f>IF(Clean_Data!$T267&gt;0,Clean_Data!$T267,Clean_Data!$S267)</f>
        <v>7</v>
      </c>
      <c r="X267" s="19" t="str">
        <f>IF(Clean_Data!$W267&lt;=10,"Close Match","Normal")</f>
        <v>Close Match</v>
      </c>
      <c r="Y267" s="19">
        <f>Clean_Data!$G267+Clean_Data!$J267</f>
        <v>336</v>
      </c>
      <c r="Z267" s="19" t="str">
        <f>IF(Clean_Data!$Y267&gt;=170,"170+ Match","Below 170")</f>
        <v>170+ Match</v>
      </c>
      <c r="AA267" s="19" t="s">
        <v>278</v>
      </c>
      <c r="AB267" s="21" t="s">
        <v>216</v>
      </c>
    </row>
    <row r="268" spans="1:28" x14ac:dyDescent="0.3">
      <c r="A268" s="16" t="s">
        <v>274</v>
      </c>
      <c r="B268" s="5" t="str">
        <f>LEFT(Clean_Data!$A268,4)</f>
        <v>2019</v>
      </c>
      <c r="C268" s="5" t="s">
        <v>324</v>
      </c>
      <c r="D268" s="5" t="str">
        <f>IF(ISNUMBER(SEARCH("Final",Clean_Data!$C268)),"Final",
IF(ISNUMBER(SEARCH("Semi",Clean_Data!$C268)),"Semi-Final",
IF(ISNUMBER(SEARCH("Elimination",Clean_Data!$C268)),"Eliminator",
"League")))</f>
        <v>League</v>
      </c>
      <c r="E268" s="6" t="s">
        <v>514</v>
      </c>
      <c r="F268" s="5" t="s">
        <v>515</v>
      </c>
      <c r="G268" s="5">
        <v>141</v>
      </c>
      <c r="H268" s="5">
        <v>5</v>
      </c>
      <c r="I268" s="5" t="s">
        <v>293</v>
      </c>
      <c r="J268" s="5">
        <v>142</v>
      </c>
      <c r="K268" s="5">
        <v>5</v>
      </c>
      <c r="L268" s="5" t="s">
        <v>429</v>
      </c>
      <c r="M268" s="5" t="s">
        <v>293</v>
      </c>
      <c r="N268" s="5" t="s">
        <v>26</v>
      </c>
      <c r="O268" s="5" t="s">
        <v>516</v>
      </c>
      <c r="P268" s="5" t="str">
        <f>IF(Clean_Data!$G268&gt;Clean_Data!$J268,Clean_Data!$F268,Clean_Data!$I268)</f>
        <v>Cumilla Warriors</v>
      </c>
      <c r="Q268" s="5" t="s">
        <v>28</v>
      </c>
      <c r="R268" s="5" t="s">
        <v>29</v>
      </c>
      <c r="S268" s="5">
        <v>5</v>
      </c>
      <c r="T268" s="5">
        <v>0</v>
      </c>
      <c r="U268" s="5" t="s">
        <v>55</v>
      </c>
      <c r="V268" s="5" t="str">
        <f>IF(Clean_Data!$T268&gt;0,"Runs","Wickets")</f>
        <v>Wickets</v>
      </c>
      <c r="W268" s="5">
        <f>IF(Clean_Data!$T268&gt;0,Clean_Data!$T268,Clean_Data!$S268)</f>
        <v>5</v>
      </c>
      <c r="X268" s="5" t="str">
        <f>IF(Clean_Data!$W268&lt;=10,"Close Match","Normal")</f>
        <v>Close Match</v>
      </c>
      <c r="Y268" s="5">
        <f>Clean_Data!$G268+Clean_Data!$J268</f>
        <v>283</v>
      </c>
      <c r="Z268" s="5" t="str">
        <f>IF(Clean_Data!$Y268&gt;=170,"170+ Match","Below 170")</f>
        <v>170+ Match</v>
      </c>
      <c r="AA268" s="5" t="s">
        <v>56</v>
      </c>
      <c r="AB268" s="17" t="s">
        <v>286</v>
      </c>
    </row>
    <row r="269" spans="1:28" x14ac:dyDescent="0.3">
      <c r="A269" s="18" t="s">
        <v>274</v>
      </c>
      <c r="B269" s="19" t="str">
        <f>LEFT(Clean_Data!$A269,4)</f>
        <v>2019</v>
      </c>
      <c r="C269" s="19" t="s">
        <v>326</v>
      </c>
      <c r="D269" s="19" t="str">
        <f>IF(ISNUMBER(SEARCH("Final",Clean_Data!$C269)),"Final",
IF(ISNUMBER(SEARCH("Semi",Clean_Data!$C269)),"Semi-Final",
IF(ISNUMBER(SEARCH("Elimination",Clean_Data!$C269)),"Eliminator",
"League")))</f>
        <v>League</v>
      </c>
      <c r="E269" s="20" t="s">
        <v>517</v>
      </c>
      <c r="F269" s="19" t="s">
        <v>515</v>
      </c>
      <c r="G269" s="19">
        <v>143</v>
      </c>
      <c r="H269" s="19">
        <v>6</v>
      </c>
      <c r="I269" s="19" t="s">
        <v>276</v>
      </c>
      <c r="J269" s="19">
        <v>145</v>
      </c>
      <c r="K269" s="19">
        <v>4</v>
      </c>
      <c r="L269" s="19" t="s">
        <v>220</v>
      </c>
      <c r="M269" s="19" t="s">
        <v>515</v>
      </c>
      <c r="N269" s="19" t="s">
        <v>37</v>
      </c>
      <c r="O269" s="19" t="s">
        <v>64</v>
      </c>
      <c r="P269" s="19" t="str">
        <f>IF(Clean_Data!$G269&gt;Clean_Data!$J269,Clean_Data!$F269,Clean_Data!$I269)</f>
        <v>Rajshahi Royals</v>
      </c>
      <c r="Q269" s="19" t="s">
        <v>469</v>
      </c>
      <c r="R269" s="19" t="s">
        <v>470</v>
      </c>
      <c r="S269" s="19">
        <v>6</v>
      </c>
      <c r="T269" s="19">
        <v>0</v>
      </c>
      <c r="U269" s="19" t="s">
        <v>151</v>
      </c>
      <c r="V269" s="19" t="str">
        <f>IF(Clean_Data!$T269&gt;0,"Runs","Wickets")</f>
        <v>Wickets</v>
      </c>
      <c r="W269" s="19">
        <f>IF(Clean_Data!$T269&gt;0,Clean_Data!$T269,Clean_Data!$S269)</f>
        <v>6</v>
      </c>
      <c r="X269" s="19" t="str">
        <f>IF(Clean_Data!$W269&lt;=10,"Close Match","Normal")</f>
        <v>Close Match</v>
      </c>
      <c r="Y269" s="19">
        <f>Clean_Data!$G269+Clean_Data!$J269</f>
        <v>288</v>
      </c>
      <c r="Z269" s="19" t="str">
        <f>IF(Clean_Data!$Y269&gt;=170,"170+ Match","Below 170")</f>
        <v>170+ Match</v>
      </c>
      <c r="AA269" s="19" t="s">
        <v>286</v>
      </c>
      <c r="AB269" s="21" t="s">
        <v>225</v>
      </c>
    </row>
    <row r="270" spans="1:28" x14ac:dyDescent="0.3">
      <c r="A270" s="16" t="s">
        <v>274</v>
      </c>
      <c r="B270" s="5" t="str">
        <f>LEFT(Clean_Data!$A270,4)</f>
        <v>2019</v>
      </c>
      <c r="C270" s="5" t="s">
        <v>328</v>
      </c>
      <c r="D270" s="5" t="str">
        <f>IF(ISNUMBER(SEARCH("Final",Clean_Data!$C270)),"Final",
IF(ISNUMBER(SEARCH("Semi",Clean_Data!$C270)),"Semi-Final",
IF(ISNUMBER(SEARCH("Elimination",Clean_Data!$C270)),"Eliminator",
"League")))</f>
        <v>League</v>
      </c>
      <c r="E270" s="6" t="s">
        <v>517</v>
      </c>
      <c r="F270" s="5" t="s">
        <v>277</v>
      </c>
      <c r="G270" s="5">
        <v>121</v>
      </c>
      <c r="H270" s="5">
        <v>10</v>
      </c>
      <c r="I270" s="5" t="s">
        <v>280</v>
      </c>
      <c r="J270" s="5">
        <v>124</v>
      </c>
      <c r="K270" s="5">
        <v>4</v>
      </c>
      <c r="L270" s="5" t="s">
        <v>320</v>
      </c>
      <c r="M270" s="5" t="s">
        <v>280</v>
      </c>
      <c r="N270" s="5" t="s">
        <v>26</v>
      </c>
      <c r="O270" s="5" t="s">
        <v>289</v>
      </c>
      <c r="P270" s="5" t="str">
        <f>IF(Clean_Data!$G270&gt;Clean_Data!$J270,Clean_Data!$F270,Clean_Data!$I270)</f>
        <v>Chattogram Challengers</v>
      </c>
      <c r="Q270" s="5" t="s">
        <v>469</v>
      </c>
      <c r="R270" s="5" t="s">
        <v>470</v>
      </c>
      <c r="S270" s="5">
        <v>6</v>
      </c>
      <c r="T270" s="5">
        <v>0</v>
      </c>
      <c r="U270" s="5" t="s">
        <v>151</v>
      </c>
      <c r="V270" s="5" t="str">
        <f>IF(Clean_Data!$T270&gt;0,"Runs","Wickets")</f>
        <v>Wickets</v>
      </c>
      <c r="W270" s="5">
        <f>IF(Clean_Data!$T270&gt;0,Clean_Data!$T270,Clean_Data!$S270)</f>
        <v>6</v>
      </c>
      <c r="X270" s="5" t="str">
        <f>IF(Clean_Data!$W270&lt;=10,"Close Match","Normal")</f>
        <v>Close Match</v>
      </c>
      <c r="Y270" s="5">
        <f>Clean_Data!$G270+Clean_Data!$J270</f>
        <v>245</v>
      </c>
      <c r="Z270" s="5" t="str">
        <f>IF(Clean_Data!$Y270&gt;=170,"170+ Match","Below 170")</f>
        <v>170+ Match</v>
      </c>
      <c r="AA270" s="5" t="s">
        <v>278</v>
      </c>
      <c r="AB270" s="17" t="s">
        <v>50</v>
      </c>
    </row>
    <row r="271" spans="1:28" x14ac:dyDescent="0.3">
      <c r="A271" s="18" t="s">
        <v>274</v>
      </c>
      <c r="B271" s="19" t="str">
        <f>LEFT(Clean_Data!$A271,4)</f>
        <v>2019</v>
      </c>
      <c r="C271" s="19" t="s">
        <v>330</v>
      </c>
      <c r="D271" s="19" t="str">
        <f>IF(ISNUMBER(SEARCH("Final",Clean_Data!$C271)),"Final",
IF(ISNUMBER(SEARCH("Semi",Clean_Data!$C271)),"Semi-Final",
IF(ISNUMBER(SEARCH("Elimination",Clean_Data!$C271)),"Eliminator",
"League")))</f>
        <v>League</v>
      </c>
      <c r="E271" s="20" t="s">
        <v>518</v>
      </c>
      <c r="F271" s="19" t="s">
        <v>295</v>
      </c>
      <c r="G271" s="19">
        <v>199</v>
      </c>
      <c r="H271" s="19">
        <v>5</v>
      </c>
      <c r="I271" s="19" t="s">
        <v>515</v>
      </c>
      <c r="J271" s="19">
        <v>161</v>
      </c>
      <c r="K271" s="19">
        <v>10</v>
      </c>
      <c r="L271" s="19" t="s">
        <v>519</v>
      </c>
      <c r="M271" s="19" t="s">
        <v>515</v>
      </c>
      <c r="N271" s="19" t="s">
        <v>26</v>
      </c>
      <c r="O271" s="19" t="s">
        <v>297</v>
      </c>
      <c r="P271" s="19" t="str">
        <f>IF(Clean_Data!$G271&gt;Clean_Data!$J271,Clean_Data!$F271,Clean_Data!$I271)</f>
        <v>Rangpur Rangers</v>
      </c>
      <c r="Q271" s="19" t="s">
        <v>469</v>
      </c>
      <c r="R271" s="19" t="s">
        <v>470</v>
      </c>
      <c r="S271" s="19">
        <v>0</v>
      </c>
      <c r="T271" s="19">
        <v>38</v>
      </c>
      <c r="U271" s="19" t="s">
        <v>491</v>
      </c>
      <c r="V271" s="19" t="str">
        <f>IF(Clean_Data!$T271&gt;0,"Runs","Wickets")</f>
        <v>Runs</v>
      </c>
      <c r="W271" s="19">
        <f>IF(Clean_Data!$T271&gt;0,Clean_Data!$T271,Clean_Data!$S271)</f>
        <v>38</v>
      </c>
      <c r="X271" s="19" t="str">
        <f>IF(Clean_Data!$W271&lt;=10,"Close Match","Normal")</f>
        <v>Normal</v>
      </c>
      <c r="Y271" s="19">
        <f>Clean_Data!$G271+Clean_Data!$J271</f>
        <v>360</v>
      </c>
      <c r="Z271" s="19" t="str">
        <f>IF(Clean_Data!$Y271&gt;=170,"170+ Match","Below 170")</f>
        <v>170+ Match</v>
      </c>
      <c r="AA271" s="19" t="s">
        <v>278</v>
      </c>
      <c r="AB271" s="21" t="s">
        <v>56</v>
      </c>
    </row>
    <row r="272" spans="1:28" x14ac:dyDescent="0.3">
      <c r="A272" s="16" t="s">
        <v>274</v>
      </c>
      <c r="B272" s="5" t="str">
        <f>LEFT(Clean_Data!$A272,4)</f>
        <v>2019</v>
      </c>
      <c r="C272" s="5" t="s">
        <v>334</v>
      </c>
      <c r="D272" s="5" t="str">
        <f>IF(ISNUMBER(SEARCH("Final",Clean_Data!$C272)),"Final",
IF(ISNUMBER(SEARCH("Semi",Clean_Data!$C272)),"Semi-Final",
IF(ISNUMBER(SEARCH("Elimination",Clean_Data!$C272)),"Eliminator",
"League")))</f>
        <v>League</v>
      </c>
      <c r="E272" s="6" t="s">
        <v>518</v>
      </c>
      <c r="F272" s="5" t="s">
        <v>287</v>
      </c>
      <c r="G272" s="5">
        <v>172</v>
      </c>
      <c r="H272" s="5">
        <v>4</v>
      </c>
      <c r="I272" s="5" t="s">
        <v>277</v>
      </c>
      <c r="J272" s="5">
        <v>160</v>
      </c>
      <c r="K272" s="5">
        <v>8</v>
      </c>
      <c r="L272" s="5" t="s">
        <v>520</v>
      </c>
      <c r="M272" s="5" t="s">
        <v>277</v>
      </c>
      <c r="N272" s="5" t="s">
        <v>26</v>
      </c>
      <c r="O272" s="5" t="s">
        <v>300</v>
      </c>
      <c r="P272" s="5" t="str">
        <f>IF(Clean_Data!$G272&gt;Clean_Data!$J272,Clean_Data!$F272,Clean_Data!$I272)</f>
        <v>Dhaka Platoon</v>
      </c>
      <c r="Q272" s="5" t="s">
        <v>469</v>
      </c>
      <c r="R272" s="5" t="s">
        <v>470</v>
      </c>
      <c r="S272" s="5">
        <v>0</v>
      </c>
      <c r="T272" s="5">
        <v>12</v>
      </c>
      <c r="U272" s="5" t="s">
        <v>417</v>
      </c>
      <c r="V272" s="5" t="str">
        <f>IF(Clean_Data!$T272&gt;0,"Runs","Wickets")</f>
        <v>Runs</v>
      </c>
      <c r="W272" s="5">
        <f>IF(Clean_Data!$T272&gt;0,Clean_Data!$T272,Clean_Data!$S272)</f>
        <v>12</v>
      </c>
      <c r="X272" s="5" t="str">
        <f>IF(Clean_Data!$W272&lt;=10,"Close Match","Normal")</f>
        <v>Normal</v>
      </c>
      <c r="Y272" s="5">
        <f>Clean_Data!$G272+Clean_Data!$J272</f>
        <v>332</v>
      </c>
      <c r="Z272" s="5" t="str">
        <f>IF(Clean_Data!$Y272&gt;=170,"170+ Match","Below 170")</f>
        <v>170+ Match</v>
      </c>
      <c r="AA272" s="5" t="s">
        <v>286</v>
      </c>
      <c r="AB272" s="17" t="s">
        <v>225</v>
      </c>
    </row>
    <row r="273" spans="1:28" x14ac:dyDescent="0.3">
      <c r="A273" s="18" t="s">
        <v>274</v>
      </c>
      <c r="B273" s="19" t="str">
        <f>LEFT(Clean_Data!$A273,4)</f>
        <v>2019</v>
      </c>
      <c r="C273" s="19" t="s">
        <v>336</v>
      </c>
      <c r="D273" s="19" t="str">
        <f>IF(ISNUMBER(SEARCH("Final",Clean_Data!$C273)),"Final",
IF(ISNUMBER(SEARCH("Semi",Clean_Data!$C273)),"Semi-Final",
IF(ISNUMBER(SEARCH("Elimination",Clean_Data!$C273)),"Eliminator",
"League")))</f>
        <v>League</v>
      </c>
      <c r="E273" s="20" t="s">
        <v>521</v>
      </c>
      <c r="F273" s="19" t="s">
        <v>293</v>
      </c>
      <c r="G273" s="19">
        <v>140</v>
      </c>
      <c r="H273" s="19">
        <v>9</v>
      </c>
      <c r="I273" s="19" t="s">
        <v>515</v>
      </c>
      <c r="J273" s="19">
        <v>140</v>
      </c>
      <c r="K273" s="19">
        <v>10</v>
      </c>
      <c r="L273" s="19" t="s">
        <v>522</v>
      </c>
      <c r="M273" s="19" t="s">
        <v>515</v>
      </c>
      <c r="N273" s="19" t="s">
        <v>26</v>
      </c>
      <c r="O273" s="19" t="s">
        <v>502</v>
      </c>
      <c r="P273" s="19" t="str">
        <f>IF(Clean_Data!$G273&gt;Clean_Data!$J273,Clean_Data!$F273,Clean_Data!$I273)</f>
        <v>Sylhet Thunder</v>
      </c>
      <c r="Q273" s="19" t="s">
        <v>469</v>
      </c>
      <c r="R273" s="19" t="s">
        <v>470</v>
      </c>
      <c r="S273" s="19">
        <v>0</v>
      </c>
      <c r="T273" s="19">
        <v>0</v>
      </c>
      <c r="U273" s="19" t="s">
        <v>503</v>
      </c>
      <c r="V273" s="19" t="str">
        <f>IF(Clean_Data!$T273&gt;0,"Runs","Wickets")</f>
        <v>Wickets</v>
      </c>
      <c r="W273" s="19">
        <f>IF(Clean_Data!$T273&gt;0,Clean_Data!$T273,Clean_Data!$S273)</f>
        <v>0</v>
      </c>
      <c r="X273" s="19" t="str">
        <f>IF(Clean_Data!$W273&lt;=10,"Close Match","Normal")</f>
        <v>Close Match</v>
      </c>
      <c r="Y273" s="19">
        <f>Clean_Data!$G273+Clean_Data!$J273</f>
        <v>280</v>
      </c>
      <c r="Z273" s="19" t="str">
        <f>IF(Clean_Data!$Y273&gt;=170,"170+ Match","Below 170")</f>
        <v>170+ Match</v>
      </c>
      <c r="AA273" s="19" t="s">
        <v>66</v>
      </c>
      <c r="AB273" s="21" t="s">
        <v>286</v>
      </c>
    </row>
    <row r="274" spans="1:28" x14ac:dyDescent="0.3">
      <c r="A274" s="16" t="s">
        <v>274</v>
      </c>
      <c r="B274" s="5" t="str">
        <f>LEFT(Clean_Data!$A274,4)</f>
        <v>2019</v>
      </c>
      <c r="C274" s="5" t="s">
        <v>45</v>
      </c>
      <c r="D274" s="5" t="str">
        <f>IF(ISNUMBER(SEARCH("Final",Clean_Data!$C274)),"Final",
IF(ISNUMBER(SEARCH("Semi",Clean_Data!$C274)),"Semi-Final",
IF(ISNUMBER(SEARCH("Elimination",Clean_Data!$C274)),"Eliminator",
"League")))</f>
        <v>League</v>
      </c>
      <c r="E274" s="6" t="s">
        <v>521</v>
      </c>
      <c r="F274" s="5" t="s">
        <v>276</v>
      </c>
      <c r="G274" s="5">
        <v>179</v>
      </c>
      <c r="H274" s="5">
        <v>4</v>
      </c>
      <c r="I274" s="5" t="s">
        <v>295</v>
      </c>
      <c r="J274" s="5">
        <v>149</v>
      </c>
      <c r="K274" s="5">
        <v>7</v>
      </c>
      <c r="L274" s="5" t="s">
        <v>183</v>
      </c>
      <c r="M274" s="5" t="s">
        <v>295</v>
      </c>
      <c r="N274" s="5" t="s">
        <v>26</v>
      </c>
      <c r="O274" s="5" t="s">
        <v>64</v>
      </c>
      <c r="P274" s="5" t="str">
        <f>IF(Clean_Data!$G274&gt;Clean_Data!$J274,Clean_Data!$F274,Clean_Data!$I274)</f>
        <v>Rajshahi Royals</v>
      </c>
      <c r="Q274" s="5" t="s">
        <v>469</v>
      </c>
      <c r="R274" s="5" t="s">
        <v>470</v>
      </c>
      <c r="S274" s="5">
        <v>0</v>
      </c>
      <c r="T274" s="5">
        <v>30</v>
      </c>
      <c r="U274" s="5" t="s">
        <v>452</v>
      </c>
      <c r="V274" s="5" t="str">
        <f>IF(Clean_Data!$T274&gt;0,"Runs","Wickets")</f>
        <v>Runs</v>
      </c>
      <c r="W274" s="5">
        <f>IF(Clean_Data!$T274&gt;0,Clean_Data!$T274,Clean_Data!$S274)</f>
        <v>30</v>
      </c>
      <c r="X274" s="5" t="str">
        <f>IF(Clean_Data!$W274&lt;=10,"Close Match","Normal")</f>
        <v>Normal</v>
      </c>
      <c r="Y274" s="5">
        <f>Clean_Data!$G274+Clean_Data!$J274</f>
        <v>328</v>
      </c>
      <c r="Z274" s="5" t="str">
        <f>IF(Clean_Data!$Y274&gt;=170,"170+ Match","Below 170")</f>
        <v>170+ Match</v>
      </c>
      <c r="AA274" s="5" t="s">
        <v>278</v>
      </c>
      <c r="AB274" s="17" t="s">
        <v>50</v>
      </c>
    </row>
    <row r="275" spans="1:28" x14ac:dyDescent="0.3">
      <c r="A275" s="18" t="s">
        <v>274</v>
      </c>
      <c r="B275" s="19" t="str">
        <f>LEFT(Clean_Data!$A275,4)</f>
        <v>2019</v>
      </c>
      <c r="C275" s="19" t="s">
        <v>51</v>
      </c>
      <c r="D275" s="19" t="str">
        <f>IF(ISNUMBER(SEARCH("Final",Clean_Data!$C275)),"Final",
IF(ISNUMBER(SEARCH("Semi",Clean_Data!$C275)),"Semi-Final",
IF(ISNUMBER(SEARCH("Elimination",Clean_Data!$C275)),"Eliminator",
"League")))</f>
        <v>League</v>
      </c>
      <c r="E275" s="20" t="s">
        <v>523</v>
      </c>
      <c r="F275" s="19" t="s">
        <v>295</v>
      </c>
      <c r="G275" s="19">
        <v>182</v>
      </c>
      <c r="H275" s="19">
        <v>6</v>
      </c>
      <c r="I275" s="19" t="s">
        <v>276</v>
      </c>
      <c r="J275" s="19">
        <v>135</v>
      </c>
      <c r="K275" s="19">
        <v>8</v>
      </c>
      <c r="L275" s="19" t="s">
        <v>296</v>
      </c>
      <c r="M275" s="19" t="s">
        <v>276</v>
      </c>
      <c r="N275" s="19" t="s">
        <v>26</v>
      </c>
      <c r="O275" s="19" t="s">
        <v>297</v>
      </c>
      <c r="P275" s="19" t="str">
        <f>IF(Clean_Data!$G275&gt;Clean_Data!$J275,Clean_Data!$F275,Clean_Data!$I275)</f>
        <v>Rangpur Rangers</v>
      </c>
      <c r="Q275" s="19" t="s">
        <v>28</v>
      </c>
      <c r="R275" s="19" t="s">
        <v>29</v>
      </c>
      <c r="S275" s="19">
        <v>0</v>
      </c>
      <c r="T275" s="19">
        <v>47</v>
      </c>
      <c r="U275" s="19" t="s">
        <v>524</v>
      </c>
      <c r="V275" s="19" t="str">
        <f>IF(Clean_Data!$T275&gt;0,"Runs","Wickets")</f>
        <v>Runs</v>
      </c>
      <c r="W275" s="19">
        <f>IF(Clean_Data!$T275&gt;0,Clean_Data!$T275,Clean_Data!$S275)</f>
        <v>47</v>
      </c>
      <c r="X275" s="19" t="str">
        <f>IF(Clean_Data!$W275&lt;=10,"Close Match","Normal")</f>
        <v>Normal</v>
      </c>
      <c r="Y275" s="19">
        <f>Clean_Data!$G275+Clean_Data!$J275</f>
        <v>317</v>
      </c>
      <c r="Z275" s="19" t="str">
        <f>IF(Clean_Data!$Y275&gt;=170,"170+ Match","Below 170")</f>
        <v>170+ Match</v>
      </c>
      <c r="AA275" s="19" t="s">
        <v>278</v>
      </c>
      <c r="AB275" s="21" t="s">
        <v>225</v>
      </c>
    </row>
    <row r="276" spans="1:28" x14ac:dyDescent="0.3">
      <c r="A276" s="16" t="s">
        <v>274</v>
      </c>
      <c r="B276" s="5" t="str">
        <f>LEFT(Clean_Data!$A276,4)</f>
        <v>2019</v>
      </c>
      <c r="C276" s="5" t="s">
        <v>58</v>
      </c>
      <c r="D276" s="5" t="str">
        <f>IF(ISNUMBER(SEARCH("Final",Clean_Data!$C276)),"Final",
IF(ISNUMBER(SEARCH("Semi",Clean_Data!$C276)),"Semi-Final",
IF(ISNUMBER(SEARCH("Elimination",Clean_Data!$C276)),"Eliminator",
"League")))</f>
        <v>League</v>
      </c>
      <c r="E276" s="6" t="s">
        <v>523</v>
      </c>
      <c r="F276" s="5" t="s">
        <v>280</v>
      </c>
      <c r="G276" s="5">
        <v>159</v>
      </c>
      <c r="H276" s="5">
        <v>6</v>
      </c>
      <c r="I276" s="5" t="s">
        <v>293</v>
      </c>
      <c r="J276" s="5">
        <v>161</v>
      </c>
      <c r="K276" s="5">
        <v>8</v>
      </c>
      <c r="L276" s="5" t="s">
        <v>429</v>
      </c>
      <c r="M276" s="5" t="s">
        <v>293</v>
      </c>
      <c r="N276" s="5" t="s">
        <v>26</v>
      </c>
      <c r="O276" s="5" t="s">
        <v>516</v>
      </c>
      <c r="P276" s="5" t="str">
        <f>IF(Clean_Data!$G276&gt;Clean_Data!$J276,Clean_Data!$F276,Clean_Data!$I276)</f>
        <v>Cumilla Warriors</v>
      </c>
      <c r="Q276" s="5" t="s">
        <v>28</v>
      </c>
      <c r="R276" s="5" t="s">
        <v>29</v>
      </c>
      <c r="S276" s="5">
        <v>2</v>
      </c>
      <c r="T276" s="5">
        <v>0</v>
      </c>
      <c r="U276" s="5" t="s">
        <v>281</v>
      </c>
      <c r="V276" s="5" t="str">
        <f>IF(Clean_Data!$T276&gt;0,"Runs","Wickets")</f>
        <v>Wickets</v>
      </c>
      <c r="W276" s="5">
        <f>IF(Clean_Data!$T276&gt;0,Clean_Data!$T276,Clean_Data!$S276)</f>
        <v>2</v>
      </c>
      <c r="X276" s="5" t="str">
        <f>IF(Clean_Data!$W276&lt;=10,"Close Match","Normal")</f>
        <v>Close Match</v>
      </c>
      <c r="Y276" s="5">
        <f>Clean_Data!$G276+Clean_Data!$J276</f>
        <v>320</v>
      </c>
      <c r="Z276" s="5" t="str">
        <f>IF(Clean_Data!$Y276&gt;=170,"170+ Match","Below 170")</f>
        <v>170+ Match</v>
      </c>
      <c r="AA276" s="5" t="s">
        <v>66</v>
      </c>
      <c r="AB276" s="17" t="s">
        <v>286</v>
      </c>
    </row>
    <row r="277" spans="1:28" x14ac:dyDescent="0.3">
      <c r="A277" s="18" t="s">
        <v>274</v>
      </c>
      <c r="B277" s="19" t="str">
        <f>LEFT(Clean_Data!$A277,4)</f>
        <v>2019</v>
      </c>
      <c r="C277" s="19" t="s">
        <v>60</v>
      </c>
      <c r="D277" s="19" t="str">
        <f>IF(ISNUMBER(SEARCH("Final",Clean_Data!$C277)),"Final",
IF(ISNUMBER(SEARCH("Semi",Clean_Data!$C277)),"Semi-Final",
IF(ISNUMBER(SEARCH("Elimination",Clean_Data!$C277)),"Eliminator",
"League")))</f>
        <v>League</v>
      </c>
      <c r="E277" s="20" t="s">
        <v>525</v>
      </c>
      <c r="F277" s="19" t="s">
        <v>287</v>
      </c>
      <c r="G277" s="19">
        <v>174</v>
      </c>
      <c r="H277" s="19">
        <v>5</v>
      </c>
      <c r="I277" s="19" t="s">
        <v>276</v>
      </c>
      <c r="J277" s="19">
        <v>100</v>
      </c>
      <c r="K277" s="19">
        <v>10</v>
      </c>
      <c r="L277" s="19" t="s">
        <v>526</v>
      </c>
      <c r="M277" s="19" t="s">
        <v>276</v>
      </c>
      <c r="N277" s="19" t="s">
        <v>26</v>
      </c>
      <c r="O277" s="19" t="s">
        <v>300</v>
      </c>
      <c r="P277" s="19" t="str">
        <f>IF(Clean_Data!$G277&gt;Clean_Data!$J277,Clean_Data!$F277,Clean_Data!$I277)</f>
        <v>Dhaka Platoon</v>
      </c>
      <c r="Q277" s="19" t="s">
        <v>28</v>
      </c>
      <c r="R277" s="19" t="s">
        <v>29</v>
      </c>
      <c r="S277" s="19">
        <v>0</v>
      </c>
      <c r="T277" s="19">
        <v>74</v>
      </c>
      <c r="U277" s="19" t="s">
        <v>527</v>
      </c>
      <c r="V277" s="19" t="str">
        <f>IF(Clean_Data!$T277&gt;0,"Runs","Wickets")</f>
        <v>Runs</v>
      </c>
      <c r="W277" s="19">
        <f>IF(Clean_Data!$T277&gt;0,Clean_Data!$T277,Clean_Data!$S277)</f>
        <v>74</v>
      </c>
      <c r="X277" s="19" t="str">
        <f>IF(Clean_Data!$W277&lt;=10,"Close Match","Normal")</f>
        <v>Normal</v>
      </c>
      <c r="Y277" s="19">
        <f>Clean_Data!$G277+Clean_Data!$J277</f>
        <v>274</v>
      </c>
      <c r="Z277" s="19" t="str">
        <f>IF(Clean_Data!$Y277&gt;=170,"170+ Match","Below 170")</f>
        <v>170+ Match</v>
      </c>
      <c r="AA277" s="19" t="s">
        <v>528</v>
      </c>
      <c r="AB277" s="21" t="s">
        <v>225</v>
      </c>
    </row>
    <row r="278" spans="1:28" x14ac:dyDescent="0.3">
      <c r="A278" s="16" t="s">
        <v>274</v>
      </c>
      <c r="B278" s="5" t="str">
        <f>LEFT(Clean_Data!$A278,4)</f>
        <v>2019</v>
      </c>
      <c r="C278" s="5" t="s">
        <v>67</v>
      </c>
      <c r="D278" s="5" t="str">
        <f>IF(ISNUMBER(SEARCH("Final",Clean_Data!$C278)),"Final",
IF(ISNUMBER(SEARCH("Semi",Clean_Data!$C278)),"Semi-Final",
IF(ISNUMBER(SEARCH("Elimination",Clean_Data!$C278)),"Eliminator",
"League")))</f>
        <v>League</v>
      </c>
      <c r="E278" s="6" t="s">
        <v>525</v>
      </c>
      <c r="F278" s="5" t="s">
        <v>515</v>
      </c>
      <c r="G278" s="5">
        <v>133</v>
      </c>
      <c r="H278" s="5">
        <v>9</v>
      </c>
      <c r="I278" s="5" t="s">
        <v>295</v>
      </c>
      <c r="J278" s="5">
        <v>134</v>
      </c>
      <c r="K278" s="5">
        <v>3</v>
      </c>
      <c r="L278" s="5" t="s">
        <v>306</v>
      </c>
      <c r="M278" s="5" t="s">
        <v>295</v>
      </c>
      <c r="N278" s="5" t="s">
        <v>26</v>
      </c>
      <c r="O278" s="5" t="s">
        <v>297</v>
      </c>
      <c r="P278" s="5" t="str">
        <f>IF(Clean_Data!$G278&gt;Clean_Data!$J278,Clean_Data!$F278,Clean_Data!$I278)</f>
        <v>Rangpur Rangers</v>
      </c>
      <c r="Q278" s="5" t="s">
        <v>28</v>
      </c>
      <c r="R278" s="5" t="s">
        <v>29</v>
      </c>
      <c r="S278" s="5">
        <v>7</v>
      </c>
      <c r="T278" s="5">
        <v>0</v>
      </c>
      <c r="U278" s="5" t="s">
        <v>118</v>
      </c>
      <c r="V278" s="5" t="str">
        <f>IF(Clean_Data!$T278&gt;0,"Runs","Wickets")</f>
        <v>Wickets</v>
      </c>
      <c r="W278" s="5">
        <f>IF(Clean_Data!$T278&gt;0,Clean_Data!$T278,Clean_Data!$S278)</f>
        <v>7</v>
      </c>
      <c r="X278" s="5" t="str">
        <f>IF(Clean_Data!$W278&lt;=10,"Close Match","Normal")</f>
        <v>Close Match</v>
      </c>
      <c r="Y278" s="5">
        <f>Clean_Data!$G278+Clean_Data!$J278</f>
        <v>267</v>
      </c>
      <c r="Z278" s="5" t="str">
        <f>IF(Clean_Data!$Y278&gt;=170,"170+ Match","Below 170")</f>
        <v>170+ Match</v>
      </c>
      <c r="AA278" s="5" t="s">
        <v>242</v>
      </c>
      <c r="AB278" s="17" t="s">
        <v>286</v>
      </c>
    </row>
    <row r="279" spans="1:28" x14ac:dyDescent="0.3">
      <c r="A279" s="18" t="s">
        <v>274</v>
      </c>
      <c r="B279" s="19" t="str">
        <f>LEFT(Clean_Data!$A279,4)</f>
        <v>2019</v>
      </c>
      <c r="C279" s="19" t="s">
        <v>68</v>
      </c>
      <c r="D279" s="19" t="str">
        <f>IF(ISNUMBER(SEARCH("Final",Clean_Data!$C279)),"Final",
IF(ISNUMBER(SEARCH("Semi",Clean_Data!$C279)),"Semi-Final",
IF(ISNUMBER(SEARCH("Elimination",Clean_Data!$C279)),"Eliminator",
"League")))</f>
        <v>League</v>
      </c>
      <c r="E279" s="20" t="s">
        <v>529</v>
      </c>
      <c r="F279" s="19" t="s">
        <v>515</v>
      </c>
      <c r="G279" s="19">
        <v>157</v>
      </c>
      <c r="H279" s="19">
        <v>4</v>
      </c>
      <c r="I279" s="19" t="s">
        <v>277</v>
      </c>
      <c r="J279" s="19">
        <v>158</v>
      </c>
      <c r="K279" s="19">
        <v>2</v>
      </c>
      <c r="L279" s="19" t="s">
        <v>410</v>
      </c>
      <c r="M279" s="19" t="s">
        <v>277</v>
      </c>
      <c r="N279" s="19" t="s">
        <v>26</v>
      </c>
      <c r="O279" s="19" t="s">
        <v>284</v>
      </c>
      <c r="P279" s="19" t="str">
        <f>IF(Clean_Data!$G279&gt;Clean_Data!$J279,Clean_Data!$F279,Clean_Data!$I279)</f>
        <v>Khulna Tigers</v>
      </c>
      <c r="Q279" s="19" t="s">
        <v>28</v>
      </c>
      <c r="R279" s="19" t="s">
        <v>29</v>
      </c>
      <c r="S279" s="19">
        <v>8</v>
      </c>
      <c r="T279" s="19">
        <v>0</v>
      </c>
      <c r="U279" s="19" t="s">
        <v>30</v>
      </c>
      <c r="V279" s="19" t="str">
        <f>IF(Clean_Data!$T279&gt;0,"Runs","Wickets")</f>
        <v>Wickets</v>
      </c>
      <c r="W279" s="19">
        <f>IF(Clean_Data!$T279&gt;0,Clean_Data!$T279,Clean_Data!$S279)</f>
        <v>8</v>
      </c>
      <c r="X279" s="19" t="str">
        <f>IF(Clean_Data!$W279&lt;=10,"Close Match","Normal")</f>
        <v>Close Match</v>
      </c>
      <c r="Y279" s="19">
        <f>Clean_Data!$G279+Clean_Data!$J279</f>
        <v>315</v>
      </c>
      <c r="Z279" s="19" t="str">
        <f>IF(Clean_Data!$Y279&gt;=170,"170+ Match","Below 170")</f>
        <v>170+ Match</v>
      </c>
      <c r="AA279" s="19" t="s">
        <v>50</v>
      </c>
      <c r="AB279" s="21" t="s">
        <v>286</v>
      </c>
    </row>
    <row r="280" spans="1:28" x14ac:dyDescent="0.3">
      <c r="A280" s="16" t="s">
        <v>274</v>
      </c>
      <c r="B280" s="5" t="str">
        <f>LEFT(Clean_Data!$A280,4)</f>
        <v>2019</v>
      </c>
      <c r="C280" s="5" t="s">
        <v>78</v>
      </c>
      <c r="D280" s="5" t="str">
        <f>IF(ISNUMBER(SEARCH("Final",Clean_Data!$C280)),"Final",
IF(ISNUMBER(SEARCH("Semi",Clean_Data!$C280)),"Semi-Final",
IF(ISNUMBER(SEARCH("Elimination",Clean_Data!$C280)),"Eliminator",
"League")))</f>
        <v>League</v>
      </c>
      <c r="E280" s="6" t="s">
        <v>529</v>
      </c>
      <c r="F280" s="5" t="s">
        <v>276</v>
      </c>
      <c r="G280" s="5">
        <v>190</v>
      </c>
      <c r="H280" s="5">
        <v>4</v>
      </c>
      <c r="I280" s="5" t="s">
        <v>293</v>
      </c>
      <c r="J280" s="5">
        <v>175</v>
      </c>
      <c r="K280" s="5">
        <v>4</v>
      </c>
      <c r="L280" s="5" t="s">
        <v>381</v>
      </c>
      <c r="M280" s="5" t="s">
        <v>293</v>
      </c>
      <c r="N280" s="5" t="s">
        <v>26</v>
      </c>
      <c r="O280" s="5" t="s">
        <v>64</v>
      </c>
      <c r="P280" s="5" t="str">
        <f>IF(Clean_Data!$G280&gt;Clean_Data!$J280,Clean_Data!$F280,Clean_Data!$I280)</f>
        <v>Rajshahi Royals</v>
      </c>
      <c r="Q280" s="5" t="s">
        <v>28</v>
      </c>
      <c r="R280" s="5" t="s">
        <v>29</v>
      </c>
      <c r="S280" s="5">
        <v>0</v>
      </c>
      <c r="T280" s="5">
        <v>15</v>
      </c>
      <c r="U280" s="5" t="s">
        <v>530</v>
      </c>
      <c r="V280" s="5" t="str">
        <f>IF(Clean_Data!$T280&gt;0,"Runs","Wickets")</f>
        <v>Runs</v>
      </c>
      <c r="W280" s="5">
        <f>IF(Clean_Data!$T280&gt;0,Clean_Data!$T280,Clean_Data!$S280)</f>
        <v>15</v>
      </c>
      <c r="X280" s="5" t="str">
        <f>IF(Clean_Data!$W280&lt;=10,"Close Match","Normal")</f>
        <v>Normal</v>
      </c>
      <c r="Y280" s="5">
        <f>Clean_Data!$G280+Clean_Data!$J280</f>
        <v>365</v>
      </c>
      <c r="Z280" s="5" t="str">
        <f>IF(Clean_Data!$Y280&gt;=170,"170+ Match","Below 170")</f>
        <v>170+ Match</v>
      </c>
      <c r="AA280" s="5" t="s">
        <v>278</v>
      </c>
      <c r="AB280" s="17" t="s">
        <v>216</v>
      </c>
    </row>
    <row r="281" spans="1:28" x14ac:dyDescent="0.3">
      <c r="A281" s="18" t="s">
        <v>274</v>
      </c>
      <c r="B281" s="19" t="str">
        <f>LEFT(Clean_Data!$A281,4)</f>
        <v>2019</v>
      </c>
      <c r="C281" s="19" t="s">
        <v>85</v>
      </c>
      <c r="D281" s="19" t="str">
        <f>IF(ISNUMBER(SEARCH("Final",Clean_Data!$C281)),"Final",
IF(ISNUMBER(SEARCH("Semi",Clean_Data!$C281)),"Semi-Final",
IF(ISNUMBER(SEARCH("Elimination",Clean_Data!$C281)),"Eliminator",
"League")))</f>
        <v>League</v>
      </c>
      <c r="E281" s="20" t="s">
        <v>531</v>
      </c>
      <c r="F281" s="19" t="s">
        <v>277</v>
      </c>
      <c r="G281" s="19">
        <v>182</v>
      </c>
      <c r="H281" s="19">
        <v>7</v>
      </c>
      <c r="I281" s="19" t="s">
        <v>295</v>
      </c>
      <c r="J281" s="19">
        <v>130</v>
      </c>
      <c r="K281" s="19">
        <v>9</v>
      </c>
      <c r="L281" s="19" t="s">
        <v>422</v>
      </c>
      <c r="M281" s="19" t="s">
        <v>295</v>
      </c>
      <c r="N281" s="19" t="s">
        <v>26</v>
      </c>
      <c r="O281" s="19" t="s">
        <v>284</v>
      </c>
      <c r="P281" s="19" t="str">
        <f>IF(Clean_Data!$G281&gt;Clean_Data!$J281,Clean_Data!$F281,Clean_Data!$I281)</f>
        <v>Khulna Tigers</v>
      </c>
      <c r="Q281" s="19" t="s">
        <v>28</v>
      </c>
      <c r="R281" s="19" t="s">
        <v>29</v>
      </c>
      <c r="S281" s="19">
        <v>0</v>
      </c>
      <c r="T281" s="19">
        <v>52</v>
      </c>
      <c r="U281" s="19" t="s">
        <v>317</v>
      </c>
      <c r="V281" s="19" t="str">
        <f>IF(Clean_Data!$T281&gt;0,"Runs","Wickets")</f>
        <v>Runs</v>
      </c>
      <c r="W281" s="19">
        <f>IF(Clean_Data!$T281&gt;0,Clean_Data!$T281,Clean_Data!$S281)</f>
        <v>52</v>
      </c>
      <c r="X281" s="19" t="str">
        <f>IF(Clean_Data!$W281&lt;=10,"Close Match","Normal")</f>
        <v>Normal</v>
      </c>
      <c r="Y281" s="19">
        <f>Clean_Data!$G281+Clean_Data!$J281</f>
        <v>312</v>
      </c>
      <c r="Z281" s="19" t="str">
        <f>IF(Clean_Data!$Y281&gt;=170,"170+ Match","Below 170")</f>
        <v>170+ Match</v>
      </c>
      <c r="AA281" s="19" t="s">
        <v>50</v>
      </c>
      <c r="AB281" s="21" t="s">
        <v>286</v>
      </c>
    </row>
    <row r="282" spans="1:28" x14ac:dyDescent="0.3">
      <c r="A282" s="16" t="s">
        <v>274</v>
      </c>
      <c r="B282" s="5" t="str">
        <f>LEFT(Clean_Data!$A282,4)</f>
        <v>2019</v>
      </c>
      <c r="C282" s="5" t="s">
        <v>91</v>
      </c>
      <c r="D282" s="5" t="str">
        <f>IF(ISNUMBER(SEARCH("Final",Clean_Data!$C282)),"Final",
IF(ISNUMBER(SEARCH("Semi",Clean_Data!$C282)),"Semi-Final",
IF(ISNUMBER(SEARCH("Elimination",Clean_Data!$C282)),"Eliminator",
"League")))</f>
        <v>League</v>
      </c>
      <c r="E282" s="6" t="s">
        <v>531</v>
      </c>
      <c r="F282" s="5" t="s">
        <v>287</v>
      </c>
      <c r="G282" s="5">
        <v>124</v>
      </c>
      <c r="H282" s="5">
        <v>9</v>
      </c>
      <c r="I282" s="5" t="s">
        <v>280</v>
      </c>
      <c r="J282" s="5">
        <v>125</v>
      </c>
      <c r="K282" s="5">
        <v>4</v>
      </c>
      <c r="L282" s="5" t="s">
        <v>464</v>
      </c>
      <c r="M282" s="5" t="s">
        <v>280</v>
      </c>
      <c r="N282" s="5" t="s">
        <v>26</v>
      </c>
      <c r="O282" s="5" t="s">
        <v>289</v>
      </c>
      <c r="P282" s="5" t="str">
        <f>IF(Clean_Data!$G282&gt;Clean_Data!$J282,Clean_Data!$F282,Clean_Data!$I282)</f>
        <v>Chattogram Challengers</v>
      </c>
      <c r="Q282" s="5" t="s">
        <v>28</v>
      </c>
      <c r="R282" s="5" t="s">
        <v>29</v>
      </c>
      <c r="S282" s="5">
        <v>6</v>
      </c>
      <c r="T282" s="5">
        <v>0</v>
      </c>
      <c r="U282" s="5" t="s">
        <v>151</v>
      </c>
      <c r="V282" s="5" t="str">
        <f>IF(Clean_Data!$T282&gt;0,"Runs","Wickets")</f>
        <v>Wickets</v>
      </c>
      <c r="W282" s="5">
        <f>IF(Clean_Data!$T282&gt;0,Clean_Data!$T282,Clean_Data!$S282)</f>
        <v>6</v>
      </c>
      <c r="X282" s="5" t="str">
        <f>IF(Clean_Data!$W282&lt;=10,"Close Match","Normal")</f>
        <v>Close Match</v>
      </c>
      <c r="Y282" s="5">
        <f>Clean_Data!$G282+Clean_Data!$J282</f>
        <v>249</v>
      </c>
      <c r="Z282" s="5" t="str">
        <f>IF(Clean_Data!$Y282&gt;=170,"170+ Match","Below 170")</f>
        <v>170+ Match</v>
      </c>
      <c r="AA282" s="5" t="s">
        <v>278</v>
      </c>
      <c r="AB282" s="17" t="s">
        <v>44</v>
      </c>
    </row>
    <row r="283" spans="1:28" x14ac:dyDescent="0.3">
      <c r="A283" s="18" t="s">
        <v>274</v>
      </c>
      <c r="B283" s="19" t="str">
        <f>LEFT(Clean_Data!$A283,4)</f>
        <v>2019</v>
      </c>
      <c r="C283" s="19" t="s">
        <v>95</v>
      </c>
      <c r="D283" s="19" t="str">
        <f>IF(ISNUMBER(SEARCH("Final",Clean_Data!$C283)),"Final",
IF(ISNUMBER(SEARCH("Semi",Clean_Data!$C283)),"Semi-Final",
IF(ISNUMBER(SEARCH("Elimination",Clean_Data!$C283)),"Eliminator",
"League")))</f>
        <v>League</v>
      </c>
      <c r="E283" s="20" t="s">
        <v>532</v>
      </c>
      <c r="F283" s="19" t="s">
        <v>293</v>
      </c>
      <c r="G283" s="19">
        <v>170</v>
      </c>
      <c r="H283" s="19">
        <v>8</v>
      </c>
      <c r="I283" s="19" t="s">
        <v>276</v>
      </c>
      <c r="J283" s="19">
        <v>171</v>
      </c>
      <c r="K283" s="19">
        <v>3</v>
      </c>
      <c r="L283" s="19" t="s">
        <v>429</v>
      </c>
      <c r="M283" s="19" t="s">
        <v>276</v>
      </c>
      <c r="N283" s="19" t="s">
        <v>26</v>
      </c>
      <c r="O283" s="19" t="s">
        <v>64</v>
      </c>
      <c r="P283" s="19" t="str">
        <f>IF(Clean_Data!$G283&gt;Clean_Data!$J283,Clean_Data!$F283,Clean_Data!$I283)</f>
        <v>Rajshahi Royals</v>
      </c>
      <c r="Q283" s="19" t="s">
        <v>88</v>
      </c>
      <c r="R283" s="19" t="s">
        <v>89</v>
      </c>
      <c r="S283" s="19">
        <v>7</v>
      </c>
      <c r="T283" s="19">
        <v>0</v>
      </c>
      <c r="U283" s="19" t="s">
        <v>118</v>
      </c>
      <c r="V283" s="19" t="str">
        <f>IF(Clean_Data!$T283&gt;0,"Runs","Wickets")</f>
        <v>Wickets</v>
      </c>
      <c r="W283" s="19">
        <f>IF(Clean_Data!$T283&gt;0,Clean_Data!$T283,Clean_Data!$S283)</f>
        <v>7</v>
      </c>
      <c r="X283" s="19" t="str">
        <f>IF(Clean_Data!$W283&lt;=10,"Close Match","Normal")</f>
        <v>Close Match</v>
      </c>
      <c r="Y283" s="19">
        <f>Clean_Data!$G283+Clean_Data!$J283</f>
        <v>341</v>
      </c>
      <c r="Z283" s="19" t="str">
        <f>IF(Clean_Data!$Y283&gt;=170,"170+ Match","Below 170")</f>
        <v>170+ Match</v>
      </c>
      <c r="AA283" s="19" t="s">
        <v>429</v>
      </c>
      <c r="AB283" s="21" t="s">
        <v>220</v>
      </c>
    </row>
    <row r="284" spans="1:28" x14ac:dyDescent="0.3">
      <c r="A284" s="16" t="s">
        <v>274</v>
      </c>
      <c r="B284" s="5" t="str">
        <f>LEFT(Clean_Data!$A284,4)</f>
        <v>2019</v>
      </c>
      <c r="C284" s="5" t="s">
        <v>104</v>
      </c>
      <c r="D284" s="5" t="str">
        <f>IF(ISNUMBER(SEARCH("Final",Clean_Data!$C284)),"Final",
IF(ISNUMBER(SEARCH("Semi",Clean_Data!$C284)),"Semi-Final",
IF(ISNUMBER(SEARCH("Elimination",Clean_Data!$C284)),"Eliminator",
"League")))</f>
        <v>League</v>
      </c>
      <c r="E284" s="6" t="s">
        <v>532</v>
      </c>
      <c r="F284" s="5" t="s">
        <v>515</v>
      </c>
      <c r="G284" s="5">
        <v>174</v>
      </c>
      <c r="H284" s="5">
        <v>4</v>
      </c>
      <c r="I284" s="5" t="s">
        <v>287</v>
      </c>
      <c r="J284" s="5">
        <v>175</v>
      </c>
      <c r="K284" s="5">
        <v>2</v>
      </c>
      <c r="L284" s="5" t="s">
        <v>443</v>
      </c>
      <c r="M284" s="5" t="s">
        <v>515</v>
      </c>
      <c r="N284" s="5" t="s">
        <v>37</v>
      </c>
      <c r="O284" s="5" t="s">
        <v>300</v>
      </c>
      <c r="P284" s="5" t="str">
        <f>IF(Clean_Data!$G284&gt;Clean_Data!$J284,Clean_Data!$F284,Clean_Data!$I284)</f>
        <v>Dhaka Platoon</v>
      </c>
      <c r="Q284" s="5" t="s">
        <v>88</v>
      </c>
      <c r="R284" s="5" t="s">
        <v>89</v>
      </c>
      <c r="S284" s="5">
        <v>8</v>
      </c>
      <c r="T284" s="5">
        <v>0</v>
      </c>
      <c r="U284" s="5" t="s">
        <v>30</v>
      </c>
      <c r="V284" s="5" t="str">
        <f>IF(Clean_Data!$T284&gt;0,"Runs","Wickets")</f>
        <v>Wickets</v>
      </c>
      <c r="W284" s="5">
        <f>IF(Clean_Data!$T284&gt;0,Clean_Data!$T284,Clean_Data!$S284)</f>
        <v>8</v>
      </c>
      <c r="X284" s="5" t="str">
        <f>IF(Clean_Data!$W284&lt;=10,"Close Match","Normal")</f>
        <v>Close Match</v>
      </c>
      <c r="Y284" s="5">
        <f>Clean_Data!$G284+Clean_Data!$J284</f>
        <v>349</v>
      </c>
      <c r="Z284" s="5" t="str">
        <f>IF(Clean_Data!$Y284&gt;=170,"170+ Match","Below 170")</f>
        <v>170+ Match</v>
      </c>
      <c r="AA284" s="5" t="s">
        <v>278</v>
      </c>
      <c r="AB284" s="17" t="s">
        <v>56</v>
      </c>
    </row>
    <row r="285" spans="1:28" x14ac:dyDescent="0.3">
      <c r="A285" s="18" t="s">
        <v>274</v>
      </c>
      <c r="B285" s="19" t="str">
        <f>LEFT(Clean_Data!$A285,4)</f>
        <v>2019</v>
      </c>
      <c r="C285" s="19" t="s">
        <v>110</v>
      </c>
      <c r="D285" s="19" t="str">
        <f>IF(ISNUMBER(SEARCH("Final",Clean_Data!$C285)),"Final",
IF(ISNUMBER(SEARCH("Semi",Clean_Data!$C285)),"Semi-Final",
IF(ISNUMBER(SEARCH("Elimination",Clean_Data!$C285)),"Eliminator",
"League")))</f>
        <v>League</v>
      </c>
      <c r="E285" s="20" t="s">
        <v>533</v>
      </c>
      <c r="F285" s="19" t="s">
        <v>277</v>
      </c>
      <c r="G285" s="19">
        <v>145</v>
      </c>
      <c r="H285" s="19">
        <v>9</v>
      </c>
      <c r="I285" s="19" t="s">
        <v>276</v>
      </c>
      <c r="J285" s="19">
        <v>149</v>
      </c>
      <c r="K285" s="19">
        <v>3</v>
      </c>
      <c r="L285" s="19" t="s">
        <v>127</v>
      </c>
      <c r="M285" s="19" t="s">
        <v>276</v>
      </c>
      <c r="N285" s="19" t="s">
        <v>26</v>
      </c>
      <c r="O285" s="19" t="s">
        <v>64</v>
      </c>
      <c r="P285" s="19" t="str">
        <f>IF(Clean_Data!$G285&gt;Clean_Data!$J285,Clean_Data!$F285,Clean_Data!$I285)</f>
        <v>Rajshahi Royals</v>
      </c>
      <c r="Q285" s="19" t="s">
        <v>88</v>
      </c>
      <c r="R285" s="19" t="s">
        <v>89</v>
      </c>
      <c r="S285" s="19">
        <v>7</v>
      </c>
      <c r="T285" s="19">
        <v>0</v>
      </c>
      <c r="U285" s="19" t="s">
        <v>118</v>
      </c>
      <c r="V285" s="19" t="str">
        <f>IF(Clean_Data!$T285&gt;0,"Runs","Wickets")</f>
        <v>Wickets</v>
      </c>
      <c r="W285" s="19">
        <f>IF(Clean_Data!$T285&gt;0,Clean_Data!$T285,Clean_Data!$S285)</f>
        <v>7</v>
      </c>
      <c r="X285" s="19" t="str">
        <f>IF(Clean_Data!$W285&lt;=10,"Close Match","Normal")</f>
        <v>Close Match</v>
      </c>
      <c r="Y285" s="19">
        <f>Clean_Data!$G285+Clean_Data!$J285</f>
        <v>294</v>
      </c>
      <c r="Z285" s="19" t="str">
        <f>IF(Clean_Data!$Y285&gt;=170,"170+ Match","Below 170")</f>
        <v>170+ Match</v>
      </c>
      <c r="AA285" s="19" t="s">
        <v>278</v>
      </c>
      <c r="AB285" s="21" t="s">
        <v>216</v>
      </c>
    </row>
    <row r="286" spans="1:28" x14ac:dyDescent="0.3">
      <c r="A286" s="16" t="s">
        <v>274</v>
      </c>
      <c r="B286" s="5" t="str">
        <f>LEFT(Clean_Data!$A286,4)</f>
        <v>2019</v>
      </c>
      <c r="C286" s="5" t="s">
        <v>116</v>
      </c>
      <c r="D286" s="5" t="str">
        <f>IF(ISNUMBER(SEARCH("Final",Clean_Data!$C286)),"Final",
IF(ISNUMBER(SEARCH("Semi",Clean_Data!$C286)),"Semi-Final",
IF(ISNUMBER(SEARCH("Elimination",Clean_Data!$C286)),"Eliminator",
"League")))</f>
        <v>League</v>
      </c>
      <c r="E286" s="6" t="s">
        <v>533</v>
      </c>
      <c r="F286" s="5" t="s">
        <v>293</v>
      </c>
      <c r="G286" s="5">
        <v>160</v>
      </c>
      <c r="H286" s="5">
        <v>3</v>
      </c>
      <c r="I286" s="5" t="s">
        <v>287</v>
      </c>
      <c r="J286" s="5">
        <v>161</v>
      </c>
      <c r="K286" s="5">
        <v>5</v>
      </c>
      <c r="L286" s="5" t="s">
        <v>443</v>
      </c>
      <c r="M286" s="5" t="s">
        <v>287</v>
      </c>
      <c r="N286" s="5" t="s">
        <v>26</v>
      </c>
      <c r="O286" s="5" t="s">
        <v>300</v>
      </c>
      <c r="P286" s="5" t="str">
        <f>IF(Clean_Data!$G286&gt;Clean_Data!$J286,Clean_Data!$F286,Clean_Data!$I286)</f>
        <v>Dhaka Platoon</v>
      </c>
      <c r="Q286" s="5" t="s">
        <v>88</v>
      </c>
      <c r="R286" s="5" t="s">
        <v>89</v>
      </c>
      <c r="S286" s="5">
        <v>5</v>
      </c>
      <c r="T286" s="5">
        <v>0</v>
      </c>
      <c r="U286" s="5" t="s">
        <v>55</v>
      </c>
      <c r="V286" s="5" t="str">
        <f>IF(Clean_Data!$T286&gt;0,"Runs","Wickets")</f>
        <v>Wickets</v>
      </c>
      <c r="W286" s="5">
        <f>IF(Clean_Data!$T286&gt;0,Clean_Data!$T286,Clean_Data!$S286)</f>
        <v>5</v>
      </c>
      <c r="X286" s="5" t="str">
        <f>IF(Clean_Data!$W286&lt;=10,"Close Match","Normal")</f>
        <v>Close Match</v>
      </c>
      <c r="Y286" s="5">
        <f>Clean_Data!$G286+Clean_Data!$J286</f>
        <v>321</v>
      </c>
      <c r="Z286" s="5" t="str">
        <f>IF(Clean_Data!$Y286&gt;=170,"170+ Match","Below 170")</f>
        <v>170+ Match</v>
      </c>
      <c r="AA286" s="5" t="s">
        <v>56</v>
      </c>
      <c r="AB286" s="17" t="s">
        <v>286</v>
      </c>
    </row>
    <row r="287" spans="1:28" x14ac:dyDescent="0.3">
      <c r="A287" s="18" t="s">
        <v>274</v>
      </c>
      <c r="B287" s="19" t="str">
        <f>LEFT(Clean_Data!$A287,4)</f>
        <v>2019</v>
      </c>
      <c r="C287" s="19" t="s">
        <v>123</v>
      </c>
      <c r="D287" s="19" t="str">
        <f>IF(ISNUMBER(SEARCH("Final",Clean_Data!$C287)),"Final",
IF(ISNUMBER(SEARCH("Semi",Clean_Data!$C287)),"Semi-Final",
IF(ISNUMBER(SEARCH("Elimination",Clean_Data!$C287)),"Eliminator",
"League")))</f>
        <v>League</v>
      </c>
      <c r="E287" s="20" t="s">
        <v>534</v>
      </c>
      <c r="F287" s="19" t="s">
        <v>280</v>
      </c>
      <c r="G287" s="19">
        <v>163</v>
      </c>
      <c r="H287" s="19">
        <v>7</v>
      </c>
      <c r="I287" s="19" t="s">
        <v>295</v>
      </c>
      <c r="J287" s="19">
        <v>167</v>
      </c>
      <c r="K287" s="19">
        <v>4</v>
      </c>
      <c r="L287" s="19" t="s">
        <v>296</v>
      </c>
      <c r="M287" s="19" t="s">
        <v>295</v>
      </c>
      <c r="N287" s="19" t="s">
        <v>26</v>
      </c>
      <c r="O287" s="19" t="s">
        <v>297</v>
      </c>
      <c r="P287" s="19" t="str">
        <f>IF(Clean_Data!$G287&gt;Clean_Data!$J287,Clean_Data!$F287,Clean_Data!$I287)</f>
        <v>Rangpur Rangers</v>
      </c>
      <c r="Q287" s="19" t="s">
        <v>88</v>
      </c>
      <c r="R287" s="19" t="s">
        <v>89</v>
      </c>
      <c r="S287" s="19">
        <v>6</v>
      </c>
      <c r="T287" s="19">
        <v>0</v>
      </c>
      <c r="U287" s="19" t="s">
        <v>151</v>
      </c>
      <c r="V287" s="19" t="str">
        <f>IF(Clean_Data!$T287&gt;0,"Runs","Wickets")</f>
        <v>Wickets</v>
      </c>
      <c r="W287" s="19">
        <f>IF(Clean_Data!$T287&gt;0,Clean_Data!$T287,Clean_Data!$S287)</f>
        <v>6</v>
      </c>
      <c r="X287" s="19" t="str">
        <f>IF(Clean_Data!$W287&lt;=10,"Close Match","Normal")</f>
        <v>Close Match</v>
      </c>
      <c r="Y287" s="19">
        <f>Clean_Data!$G287+Clean_Data!$J287</f>
        <v>330</v>
      </c>
      <c r="Z287" s="19" t="str">
        <f>IF(Clean_Data!$Y287&gt;=170,"170+ Match","Below 170")</f>
        <v>170+ Match</v>
      </c>
      <c r="AA287" s="19" t="s">
        <v>278</v>
      </c>
      <c r="AB287" s="21" t="s">
        <v>66</v>
      </c>
    </row>
    <row r="288" spans="1:28" x14ac:dyDescent="0.3">
      <c r="A288" s="16" t="s">
        <v>274</v>
      </c>
      <c r="B288" s="5" t="str">
        <f>LEFT(Clean_Data!$A288,4)</f>
        <v>2019</v>
      </c>
      <c r="C288" s="5" t="s">
        <v>126</v>
      </c>
      <c r="D288" s="5" t="str">
        <f>IF(ISNUMBER(SEARCH("Final",Clean_Data!$C288)),"Final",
IF(ISNUMBER(SEARCH("Semi",Clean_Data!$C288)),"Semi-Final",
IF(ISNUMBER(SEARCH("Elimination",Clean_Data!$C288)),"Eliminator",
"League")))</f>
        <v>League</v>
      </c>
      <c r="E288" s="6" t="s">
        <v>534</v>
      </c>
      <c r="F288" s="5" t="s">
        <v>515</v>
      </c>
      <c r="G288" s="5">
        <v>232</v>
      </c>
      <c r="H288" s="5">
        <v>5</v>
      </c>
      <c r="I288" s="5" t="s">
        <v>277</v>
      </c>
      <c r="J288" s="5">
        <v>152</v>
      </c>
      <c r="K288" s="5">
        <v>10</v>
      </c>
      <c r="L288" s="5" t="s">
        <v>308</v>
      </c>
      <c r="M288" s="5" t="s">
        <v>277</v>
      </c>
      <c r="N288" s="5" t="s">
        <v>26</v>
      </c>
      <c r="O288" s="5" t="s">
        <v>535</v>
      </c>
      <c r="P288" s="5" t="str">
        <f>IF(Clean_Data!$G288&gt;Clean_Data!$J288,Clean_Data!$F288,Clean_Data!$I288)</f>
        <v>Sylhet Thunder</v>
      </c>
      <c r="Q288" s="5" t="s">
        <v>88</v>
      </c>
      <c r="R288" s="5" t="s">
        <v>89</v>
      </c>
      <c r="S288" s="5">
        <v>0</v>
      </c>
      <c r="T288" s="5">
        <v>80</v>
      </c>
      <c r="U288" s="5" t="s">
        <v>480</v>
      </c>
      <c r="V288" s="5" t="str">
        <f>IF(Clean_Data!$T288&gt;0,"Runs","Wickets")</f>
        <v>Runs</v>
      </c>
      <c r="W288" s="5">
        <f>IF(Clean_Data!$T288&gt;0,Clean_Data!$T288,Clean_Data!$S288)</f>
        <v>80</v>
      </c>
      <c r="X288" s="5" t="str">
        <f>IF(Clean_Data!$W288&lt;=10,"Close Match","Normal")</f>
        <v>Normal</v>
      </c>
      <c r="Y288" s="5">
        <f>Clean_Data!$G288+Clean_Data!$J288</f>
        <v>384</v>
      </c>
      <c r="Z288" s="5" t="str">
        <f>IF(Clean_Data!$Y288&gt;=170,"170+ Match","Below 170")</f>
        <v>170+ Match</v>
      </c>
      <c r="AA288" s="5" t="s">
        <v>50</v>
      </c>
      <c r="AB288" s="17" t="s">
        <v>286</v>
      </c>
    </row>
    <row r="289" spans="1:28" x14ac:dyDescent="0.3">
      <c r="A289" s="18" t="s">
        <v>274</v>
      </c>
      <c r="B289" s="19" t="str">
        <f>LEFT(Clean_Data!$A289,4)</f>
        <v>2019</v>
      </c>
      <c r="C289" s="19" t="s">
        <v>132</v>
      </c>
      <c r="D289" s="19" t="str">
        <f>IF(ISNUMBER(SEARCH("Final",Clean_Data!$C289)),"Final",
IF(ISNUMBER(SEARCH("Semi",Clean_Data!$C289)),"Semi-Final",
IF(ISNUMBER(SEARCH("Elimination",Clean_Data!$C289)),"Eliminator",
"League")))</f>
        <v>League</v>
      </c>
      <c r="E289" s="20" t="s">
        <v>536</v>
      </c>
      <c r="F289" s="19" t="s">
        <v>280</v>
      </c>
      <c r="G289" s="19">
        <v>238</v>
      </c>
      <c r="H289" s="19">
        <v>4</v>
      </c>
      <c r="I289" s="19" t="s">
        <v>293</v>
      </c>
      <c r="J289" s="19">
        <v>222</v>
      </c>
      <c r="K289" s="19">
        <v>7</v>
      </c>
      <c r="L289" s="19" t="s">
        <v>537</v>
      </c>
      <c r="M289" s="19" t="s">
        <v>293</v>
      </c>
      <c r="N289" s="19" t="s">
        <v>26</v>
      </c>
      <c r="O289" s="19" t="s">
        <v>289</v>
      </c>
      <c r="P289" s="19" t="str">
        <f>IF(Clean_Data!$G289&gt;Clean_Data!$J289,Clean_Data!$F289,Clean_Data!$I289)</f>
        <v>Chattogram Challengers</v>
      </c>
      <c r="Q289" s="19" t="s">
        <v>88</v>
      </c>
      <c r="R289" s="19" t="s">
        <v>89</v>
      </c>
      <c r="S289" s="19">
        <v>0</v>
      </c>
      <c r="T289" s="19">
        <v>16</v>
      </c>
      <c r="U289" s="19" t="s">
        <v>169</v>
      </c>
      <c r="V289" s="19" t="str">
        <f>IF(Clean_Data!$T289&gt;0,"Runs","Wickets")</f>
        <v>Runs</v>
      </c>
      <c r="W289" s="19">
        <f>IF(Clean_Data!$T289&gt;0,Clean_Data!$T289,Clean_Data!$S289)</f>
        <v>16</v>
      </c>
      <c r="X289" s="19" t="str">
        <f>IF(Clean_Data!$W289&lt;=10,"Close Match","Normal")</f>
        <v>Normal</v>
      </c>
      <c r="Y289" s="19">
        <f>Clean_Data!$G289+Clean_Data!$J289</f>
        <v>460</v>
      </c>
      <c r="Z289" s="19" t="str">
        <f>IF(Clean_Data!$Y289&gt;=170,"170+ Match","Below 170")</f>
        <v>170+ Match</v>
      </c>
      <c r="AA289" s="19" t="s">
        <v>528</v>
      </c>
      <c r="AB289" s="21" t="s">
        <v>66</v>
      </c>
    </row>
    <row r="290" spans="1:28" x14ac:dyDescent="0.3">
      <c r="A290" s="16" t="s">
        <v>274</v>
      </c>
      <c r="B290" s="5" t="str">
        <f>LEFT(Clean_Data!$A290,4)</f>
        <v>2019</v>
      </c>
      <c r="C290" s="5" t="s">
        <v>138</v>
      </c>
      <c r="D290" s="5" t="str">
        <f>IF(ISNUMBER(SEARCH("Final",Clean_Data!$C290)),"Final",
IF(ISNUMBER(SEARCH("Semi",Clean_Data!$C290)),"Semi-Final",
IF(ISNUMBER(SEARCH("Elimination",Clean_Data!$C290)),"Eliminator",
"League")))</f>
        <v>League</v>
      </c>
      <c r="E290" s="6" t="s">
        <v>536</v>
      </c>
      <c r="F290" s="5" t="s">
        <v>295</v>
      </c>
      <c r="G290" s="5">
        <v>137</v>
      </c>
      <c r="H290" s="5">
        <v>9</v>
      </c>
      <c r="I290" s="5" t="s">
        <v>277</v>
      </c>
      <c r="J290" s="5">
        <v>138</v>
      </c>
      <c r="K290" s="5">
        <v>2</v>
      </c>
      <c r="L290" s="5" t="s">
        <v>399</v>
      </c>
      <c r="M290" s="5" t="s">
        <v>277</v>
      </c>
      <c r="N290" s="5" t="s">
        <v>26</v>
      </c>
      <c r="O290" s="5" t="s">
        <v>284</v>
      </c>
      <c r="P290" s="5" t="str">
        <f>IF(Clean_Data!$G290&gt;Clean_Data!$J290,Clean_Data!$F290,Clean_Data!$I290)</f>
        <v>Khulna Tigers</v>
      </c>
      <c r="Q290" s="5" t="s">
        <v>88</v>
      </c>
      <c r="R290" s="5" t="s">
        <v>89</v>
      </c>
      <c r="S290" s="5">
        <v>8</v>
      </c>
      <c r="T290" s="5">
        <v>0</v>
      </c>
      <c r="U290" s="5" t="s">
        <v>30</v>
      </c>
      <c r="V290" s="5" t="str">
        <f>IF(Clean_Data!$T290&gt;0,"Runs","Wickets")</f>
        <v>Wickets</v>
      </c>
      <c r="W290" s="5">
        <f>IF(Clean_Data!$T290&gt;0,Clean_Data!$T290,Clean_Data!$S290)</f>
        <v>8</v>
      </c>
      <c r="X290" s="5" t="str">
        <f>IF(Clean_Data!$W290&lt;=10,"Close Match","Normal")</f>
        <v>Close Match</v>
      </c>
      <c r="Y290" s="5">
        <f>Clean_Data!$G290+Clean_Data!$J290</f>
        <v>275</v>
      </c>
      <c r="Z290" s="5" t="str">
        <f>IF(Clean_Data!$Y290&gt;=170,"170+ Match","Below 170")</f>
        <v>170+ Match</v>
      </c>
      <c r="AA290" s="5" t="s">
        <v>286</v>
      </c>
      <c r="AB290" s="17" t="s">
        <v>225</v>
      </c>
    </row>
    <row r="291" spans="1:28" x14ac:dyDescent="0.3">
      <c r="A291" s="18" t="s">
        <v>274</v>
      </c>
      <c r="B291" s="19" t="str">
        <f>LEFT(Clean_Data!$A291,4)</f>
        <v>2019</v>
      </c>
      <c r="C291" s="19" t="s">
        <v>148</v>
      </c>
      <c r="D291" s="19" t="str">
        <f>IF(ISNUMBER(SEARCH("Final",Clean_Data!$C291)),"Final",
IF(ISNUMBER(SEARCH("Semi",Clean_Data!$C291)),"Semi-Final",
IF(ISNUMBER(SEARCH("Elimination",Clean_Data!$C291)),"Eliminator",
"League")))</f>
        <v>League</v>
      </c>
      <c r="E291" s="20" t="s">
        <v>538</v>
      </c>
      <c r="F291" s="19" t="s">
        <v>280</v>
      </c>
      <c r="G291" s="19">
        <v>221</v>
      </c>
      <c r="H291" s="19">
        <v>4</v>
      </c>
      <c r="I291" s="19" t="s">
        <v>287</v>
      </c>
      <c r="J291" s="19">
        <v>205</v>
      </c>
      <c r="K291" s="19">
        <v>10</v>
      </c>
      <c r="L291" s="19" t="s">
        <v>320</v>
      </c>
      <c r="M291" s="19" t="s">
        <v>287</v>
      </c>
      <c r="N291" s="19" t="s">
        <v>26</v>
      </c>
      <c r="O291" s="19" t="s">
        <v>289</v>
      </c>
      <c r="P291" s="19" t="str">
        <f>IF(Clean_Data!$G291&gt;Clean_Data!$J291,Clean_Data!$F291,Clean_Data!$I291)</f>
        <v>Chattogram Challengers</v>
      </c>
      <c r="Q291" s="19" t="s">
        <v>88</v>
      </c>
      <c r="R291" s="19" t="s">
        <v>89</v>
      </c>
      <c r="S291" s="19">
        <v>0</v>
      </c>
      <c r="T291" s="19">
        <v>16</v>
      </c>
      <c r="U291" s="19" t="s">
        <v>169</v>
      </c>
      <c r="V291" s="19" t="str">
        <f>IF(Clean_Data!$T291&gt;0,"Runs","Wickets")</f>
        <v>Runs</v>
      </c>
      <c r="W291" s="19">
        <f>IF(Clean_Data!$T291&gt;0,Clean_Data!$T291,Clean_Data!$S291)</f>
        <v>16</v>
      </c>
      <c r="X291" s="19" t="str">
        <f>IF(Clean_Data!$W291&lt;=10,"Close Match","Normal")</f>
        <v>Normal</v>
      </c>
      <c r="Y291" s="19">
        <f>Clean_Data!$G291+Clean_Data!$J291</f>
        <v>426</v>
      </c>
      <c r="Z291" s="19" t="str">
        <f>IF(Clean_Data!$Y291&gt;=170,"170+ Match","Below 170")</f>
        <v>170+ Match</v>
      </c>
      <c r="AA291" s="19" t="s">
        <v>286</v>
      </c>
      <c r="AB291" s="21" t="s">
        <v>44</v>
      </c>
    </row>
    <row r="292" spans="1:28" x14ac:dyDescent="0.3">
      <c r="A292" s="16" t="s">
        <v>274</v>
      </c>
      <c r="B292" s="5" t="str">
        <f>LEFT(Clean_Data!$A292,4)</f>
        <v>2019</v>
      </c>
      <c r="C292" s="5" t="s">
        <v>156</v>
      </c>
      <c r="D292" s="5" t="str">
        <f>IF(ISNUMBER(SEARCH("Final",Clean_Data!$C292)),"Final",
IF(ISNUMBER(SEARCH("Semi",Clean_Data!$C292)),"Semi-Final",
IF(ISNUMBER(SEARCH("Elimination",Clean_Data!$C292)),"Eliminator",
"League")))</f>
        <v>League</v>
      </c>
      <c r="E292" s="6" t="s">
        <v>538</v>
      </c>
      <c r="F292" s="5" t="s">
        <v>295</v>
      </c>
      <c r="G292" s="5">
        <v>181</v>
      </c>
      <c r="H292" s="5">
        <v>8</v>
      </c>
      <c r="I292" s="5" t="s">
        <v>293</v>
      </c>
      <c r="J292" s="5">
        <v>182</v>
      </c>
      <c r="K292" s="5">
        <v>4</v>
      </c>
      <c r="L292" s="5" t="s">
        <v>429</v>
      </c>
      <c r="M292" s="5" t="s">
        <v>295</v>
      </c>
      <c r="N292" s="5" t="s">
        <v>37</v>
      </c>
      <c r="O292" s="5" t="s">
        <v>516</v>
      </c>
      <c r="P292" s="5" t="str">
        <f>IF(Clean_Data!$G292&gt;Clean_Data!$J292,Clean_Data!$F292,Clean_Data!$I292)</f>
        <v>Cumilla Warriors</v>
      </c>
      <c r="Q292" s="5" t="s">
        <v>88</v>
      </c>
      <c r="R292" s="5" t="s">
        <v>89</v>
      </c>
      <c r="S292" s="5">
        <v>6</v>
      </c>
      <c r="T292" s="5">
        <v>0</v>
      </c>
      <c r="U292" s="5" t="s">
        <v>151</v>
      </c>
      <c r="V292" s="5" t="str">
        <f>IF(Clean_Data!$T292&gt;0,"Runs","Wickets")</f>
        <v>Wickets</v>
      </c>
      <c r="W292" s="5">
        <f>IF(Clean_Data!$T292&gt;0,Clean_Data!$T292,Clean_Data!$S292)</f>
        <v>6</v>
      </c>
      <c r="X292" s="5" t="str">
        <f>IF(Clean_Data!$W292&lt;=10,"Close Match","Normal")</f>
        <v>Close Match</v>
      </c>
      <c r="Y292" s="5">
        <f>Clean_Data!$G292+Clean_Data!$J292</f>
        <v>363</v>
      </c>
      <c r="Z292" s="5" t="str">
        <f>IF(Clean_Data!$Y292&gt;=170,"170+ Match","Below 170")</f>
        <v>170+ Match</v>
      </c>
      <c r="AA292" s="5" t="s">
        <v>278</v>
      </c>
      <c r="AB292" s="17" t="s">
        <v>50</v>
      </c>
    </row>
    <row r="293" spans="1:28" x14ac:dyDescent="0.3">
      <c r="A293" s="18" t="s">
        <v>274</v>
      </c>
      <c r="B293" s="19" t="str">
        <f>LEFT(Clean_Data!$A293,4)</f>
        <v>2019</v>
      </c>
      <c r="C293" s="19" t="s">
        <v>163</v>
      </c>
      <c r="D293" s="19" t="str">
        <f>IF(ISNUMBER(SEARCH("Final",Clean_Data!$C293)),"Final",
IF(ISNUMBER(SEARCH("Semi",Clean_Data!$C293)),"Semi-Final",
IF(ISNUMBER(SEARCH("Elimination",Clean_Data!$C293)),"Eliminator",
"League")))</f>
        <v>League</v>
      </c>
      <c r="E293" s="20" t="s">
        <v>539</v>
      </c>
      <c r="F293" s="19" t="s">
        <v>515</v>
      </c>
      <c r="G293" s="19">
        <v>129</v>
      </c>
      <c r="H293" s="19">
        <v>8</v>
      </c>
      <c r="I293" s="19" t="s">
        <v>280</v>
      </c>
      <c r="J293" s="19">
        <v>130</v>
      </c>
      <c r="K293" s="19">
        <v>6</v>
      </c>
      <c r="L293" s="19" t="s">
        <v>320</v>
      </c>
      <c r="M293" s="19" t="s">
        <v>280</v>
      </c>
      <c r="N293" s="19" t="s">
        <v>26</v>
      </c>
      <c r="O293" s="19" t="s">
        <v>289</v>
      </c>
      <c r="P293" s="19" t="str">
        <f>IF(Clean_Data!$G293&gt;Clean_Data!$J293,Clean_Data!$F293,Clean_Data!$I293)</f>
        <v>Chattogram Challengers</v>
      </c>
      <c r="Q293" s="19" t="s">
        <v>88</v>
      </c>
      <c r="R293" s="19" t="s">
        <v>89</v>
      </c>
      <c r="S293" s="19">
        <v>4</v>
      </c>
      <c r="T293" s="19">
        <v>0</v>
      </c>
      <c r="U293" s="19" t="s">
        <v>90</v>
      </c>
      <c r="V293" s="19" t="str">
        <f>IF(Clean_Data!$T293&gt;0,"Runs","Wickets")</f>
        <v>Wickets</v>
      </c>
      <c r="W293" s="19">
        <f>IF(Clean_Data!$T293&gt;0,Clean_Data!$T293,Clean_Data!$S293)</f>
        <v>4</v>
      </c>
      <c r="X293" s="19" t="str">
        <f>IF(Clean_Data!$W293&lt;=10,"Close Match","Normal")</f>
        <v>Close Match</v>
      </c>
      <c r="Y293" s="19">
        <f>Clean_Data!$G293+Clean_Data!$J293</f>
        <v>259</v>
      </c>
      <c r="Z293" s="19" t="str">
        <f>IF(Clean_Data!$Y293&gt;=170,"170+ Match","Below 170")</f>
        <v>170+ Match</v>
      </c>
      <c r="AA293" s="19" t="s">
        <v>278</v>
      </c>
      <c r="AB293" s="21" t="s">
        <v>66</v>
      </c>
    </row>
    <row r="294" spans="1:28" x14ac:dyDescent="0.3">
      <c r="A294" s="16" t="s">
        <v>274</v>
      </c>
      <c r="B294" s="5" t="str">
        <f>LEFT(Clean_Data!$A294,4)</f>
        <v>2019</v>
      </c>
      <c r="C294" s="5" t="s">
        <v>168</v>
      </c>
      <c r="D294" s="5" t="str">
        <f>IF(ISNUMBER(SEARCH("Final",Clean_Data!$C294)),"Final",
IF(ISNUMBER(SEARCH("Semi",Clean_Data!$C294)),"Semi-Final",
IF(ISNUMBER(SEARCH("Elimination",Clean_Data!$C294)),"Eliminator",
"League")))</f>
        <v>League</v>
      </c>
      <c r="E294" s="6" t="s">
        <v>539</v>
      </c>
      <c r="F294" s="5" t="s">
        <v>276</v>
      </c>
      <c r="G294" s="5">
        <v>189</v>
      </c>
      <c r="H294" s="5">
        <v>4</v>
      </c>
      <c r="I294" s="5" t="s">
        <v>277</v>
      </c>
      <c r="J294" s="5">
        <v>192</v>
      </c>
      <c r="K294" s="5">
        <v>5</v>
      </c>
      <c r="L294" s="5" t="s">
        <v>150</v>
      </c>
      <c r="M294" s="5" t="s">
        <v>277</v>
      </c>
      <c r="N294" s="5" t="s">
        <v>26</v>
      </c>
      <c r="O294" s="5" t="s">
        <v>284</v>
      </c>
      <c r="P294" s="5" t="str">
        <f>IF(Clean_Data!$G294&gt;Clean_Data!$J294,Clean_Data!$F294,Clean_Data!$I294)</f>
        <v>Khulna Tigers</v>
      </c>
      <c r="Q294" s="5" t="s">
        <v>88</v>
      </c>
      <c r="R294" s="5" t="s">
        <v>89</v>
      </c>
      <c r="S294" s="5">
        <v>5</v>
      </c>
      <c r="T294" s="5">
        <v>0</v>
      </c>
      <c r="U294" s="5" t="s">
        <v>55</v>
      </c>
      <c r="V294" s="5" t="str">
        <f>IF(Clean_Data!$T294&gt;0,"Runs","Wickets")</f>
        <v>Wickets</v>
      </c>
      <c r="W294" s="5">
        <f>IF(Clean_Data!$T294&gt;0,Clean_Data!$T294,Clean_Data!$S294)</f>
        <v>5</v>
      </c>
      <c r="X294" s="5" t="str">
        <f>IF(Clean_Data!$W294&lt;=10,"Close Match","Normal")</f>
        <v>Close Match</v>
      </c>
      <c r="Y294" s="5">
        <f>Clean_Data!$G294+Clean_Data!$J294</f>
        <v>381</v>
      </c>
      <c r="Z294" s="5" t="str">
        <f>IF(Clean_Data!$Y294&gt;=170,"170+ Match","Below 170")</f>
        <v>170+ Match</v>
      </c>
      <c r="AA294" s="5" t="s">
        <v>286</v>
      </c>
      <c r="AB294" s="17" t="s">
        <v>44</v>
      </c>
    </row>
    <row r="295" spans="1:28" x14ac:dyDescent="0.3">
      <c r="A295" s="18" t="s">
        <v>274</v>
      </c>
      <c r="B295" s="19" t="str">
        <f>LEFT(Clean_Data!$A295,4)</f>
        <v>2019</v>
      </c>
      <c r="C295" s="19" t="s">
        <v>170</v>
      </c>
      <c r="D295" s="19" t="str">
        <f>IF(ISNUMBER(SEARCH("Final",Clean_Data!$C295)),"Final",
IF(ISNUMBER(SEARCH("Semi",Clean_Data!$C295)),"Semi-Final",
IF(ISNUMBER(SEARCH("Elimination",Clean_Data!$C295)),"Eliminator",
"League")))</f>
        <v>League</v>
      </c>
      <c r="E295" s="20" t="s">
        <v>540</v>
      </c>
      <c r="F295" s="19" t="s">
        <v>287</v>
      </c>
      <c r="G295" s="19">
        <v>182</v>
      </c>
      <c r="H295" s="19">
        <v>4</v>
      </c>
      <c r="I295" s="19" t="s">
        <v>515</v>
      </c>
      <c r="J295" s="19">
        <v>158</v>
      </c>
      <c r="K295" s="19">
        <v>7</v>
      </c>
      <c r="L295" s="19" t="s">
        <v>182</v>
      </c>
      <c r="M295" s="19" t="s">
        <v>515</v>
      </c>
      <c r="N295" s="19" t="s">
        <v>26</v>
      </c>
      <c r="O295" s="19" t="s">
        <v>300</v>
      </c>
      <c r="P295" s="19" t="str">
        <f>IF(Clean_Data!$G295&gt;Clean_Data!$J295,Clean_Data!$F295,Clean_Data!$I295)</f>
        <v>Dhaka Platoon</v>
      </c>
      <c r="Q295" s="19" t="s">
        <v>28</v>
      </c>
      <c r="R295" s="19" t="s">
        <v>29</v>
      </c>
      <c r="S295" s="19">
        <v>0</v>
      </c>
      <c r="T295" s="19">
        <v>24</v>
      </c>
      <c r="U295" s="19" t="s">
        <v>541</v>
      </c>
      <c r="V295" s="19" t="str">
        <f>IF(Clean_Data!$T295&gt;0,"Runs","Wickets")</f>
        <v>Runs</v>
      </c>
      <c r="W295" s="19">
        <f>IF(Clean_Data!$T295&gt;0,Clean_Data!$T295,Clean_Data!$S295)</f>
        <v>24</v>
      </c>
      <c r="X295" s="19" t="str">
        <f>IF(Clean_Data!$W295&lt;=10,"Close Match","Normal")</f>
        <v>Normal</v>
      </c>
      <c r="Y295" s="19">
        <f>Clean_Data!$G295+Clean_Data!$J295</f>
        <v>340</v>
      </c>
      <c r="Z295" s="19" t="str">
        <f>IF(Clean_Data!$Y295&gt;=170,"170+ Match","Below 170")</f>
        <v>170+ Match</v>
      </c>
      <c r="AA295" s="19" t="s">
        <v>66</v>
      </c>
      <c r="AB295" s="21" t="s">
        <v>286</v>
      </c>
    </row>
    <row r="296" spans="1:28" x14ac:dyDescent="0.3">
      <c r="A296" s="16" t="s">
        <v>274</v>
      </c>
      <c r="B296" s="5" t="str">
        <f>LEFT(Clean_Data!$A296,4)</f>
        <v>2019</v>
      </c>
      <c r="C296" s="5" t="s">
        <v>176</v>
      </c>
      <c r="D296" s="5" t="str">
        <f>IF(ISNUMBER(SEARCH("Final",Clean_Data!$C296)),"Final",
IF(ISNUMBER(SEARCH("Semi",Clean_Data!$C296)),"Semi-Final",
IF(ISNUMBER(SEARCH("Elimination",Clean_Data!$C296)),"Eliminator",
"League")))</f>
        <v>League</v>
      </c>
      <c r="E296" s="6" t="s">
        <v>540</v>
      </c>
      <c r="F296" s="5" t="s">
        <v>295</v>
      </c>
      <c r="G296" s="5">
        <v>157</v>
      </c>
      <c r="H296" s="5">
        <v>8</v>
      </c>
      <c r="I296" s="5" t="s">
        <v>280</v>
      </c>
      <c r="J296" s="5">
        <v>158</v>
      </c>
      <c r="K296" s="5">
        <v>4</v>
      </c>
      <c r="L296" s="5" t="s">
        <v>542</v>
      </c>
      <c r="M296" s="5" t="s">
        <v>280</v>
      </c>
      <c r="N296" s="5" t="s">
        <v>26</v>
      </c>
      <c r="O296" s="5" t="s">
        <v>289</v>
      </c>
      <c r="P296" s="5" t="str">
        <f>IF(Clean_Data!$G296&gt;Clean_Data!$J296,Clean_Data!$F296,Clean_Data!$I296)</f>
        <v>Chattogram Challengers</v>
      </c>
      <c r="Q296" s="5" t="s">
        <v>28</v>
      </c>
      <c r="R296" s="5" t="s">
        <v>29</v>
      </c>
      <c r="S296" s="5">
        <v>6</v>
      </c>
      <c r="T296" s="5">
        <v>0</v>
      </c>
      <c r="U296" s="5" t="s">
        <v>151</v>
      </c>
      <c r="V296" s="5" t="str">
        <f>IF(Clean_Data!$T296&gt;0,"Runs","Wickets")</f>
        <v>Wickets</v>
      </c>
      <c r="W296" s="5">
        <f>IF(Clean_Data!$T296&gt;0,Clean_Data!$T296,Clean_Data!$S296)</f>
        <v>6</v>
      </c>
      <c r="X296" s="5" t="str">
        <f>IF(Clean_Data!$W296&lt;=10,"Close Match","Normal")</f>
        <v>Close Match</v>
      </c>
      <c r="Y296" s="5">
        <f>Clean_Data!$G296+Clean_Data!$J296</f>
        <v>315</v>
      </c>
      <c r="Z296" s="5" t="str">
        <f>IF(Clean_Data!$Y296&gt;=170,"170+ Match","Below 170")</f>
        <v>170+ Match</v>
      </c>
      <c r="AA296" s="5" t="s">
        <v>216</v>
      </c>
      <c r="AB296" s="17" t="s">
        <v>44</v>
      </c>
    </row>
    <row r="297" spans="1:28" x14ac:dyDescent="0.3">
      <c r="A297" s="18" t="s">
        <v>274</v>
      </c>
      <c r="B297" s="19" t="str">
        <f>LEFT(Clean_Data!$A297,4)</f>
        <v>2019</v>
      </c>
      <c r="C297" s="19" t="s">
        <v>180</v>
      </c>
      <c r="D297" s="19" t="str">
        <f>IF(ISNUMBER(SEARCH("Final",Clean_Data!$C297)),"Final",
IF(ISNUMBER(SEARCH("Semi",Clean_Data!$C297)),"Semi-Final",
IF(ISNUMBER(SEARCH("Elimination",Clean_Data!$C297)),"Eliminator",
"League")))</f>
        <v>League</v>
      </c>
      <c r="E297" s="20" t="s">
        <v>543</v>
      </c>
      <c r="F297" s="19" t="s">
        <v>287</v>
      </c>
      <c r="G297" s="19">
        <v>180</v>
      </c>
      <c r="H297" s="19">
        <v>7</v>
      </c>
      <c r="I297" s="19" t="s">
        <v>293</v>
      </c>
      <c r="J297" s="19">
        <v>160</v>
      </c>
      <c r="K297" s="19">
        <v>9</v>
      </c>
      <c r="L297" s="19" t="s">
        <v>434</v>
      </c>
      <c r="M297" s="19" t="s">
        <v>293</v>
      </c>
      <c r="N297" s="19" t="s">
        <v>26</v>
      </c>
      <c r="O297" s="19" t="s">
        <v>300</v>
      </c>
      <c r="P297" s="19" t="str">
        <f>IF(Clean_Data!$G297&gt;Clean_Data!$J297,Clean_Data!$F297,Clean_Data!$I297)</f>
        <v>Dhaka Platoon</v>
      </c>
      <c r="Q297" s="19" t="s">
        <v>28</v>
      </c>
      <c r="R297" s="19" t="s">
        <v>29</v>
      </c>
      <c r="S297" s="19">
        <v>0</v>
      </c>
      <c r="T297" s="19">
        <v>20</v>
      </c>
      <c r="U297" s="19" t="s">
        <v>495</v>
      </c>
      <c r="V297" s="19" t="str">
        <f>IF(Clean_Data!$T297&gt;0,"Runs","Wickets")</f>
        <v>Runs</v>
      </c>
      <c r="W297" s="19">
        <f>IF(Clean_Data!$T297&gt;0,Clean_Data!$T297,Clean_Data!$S297)</f>
        <v>20</v>
      </c>
      <c r="X297" s="19" t="str">
        <f>IF(Clean_Data!$W297&lt;=10,"Close Match","Normal")</f>
        <v>Normal</v>
      </c>
      <c r="Y297" s="19">
        <f>Clean_Data!$G297+Clean_Data!$J297</f>
        <v>340</v>
      </c>
      <c r="Z297" s="19" t="str">
        <f>IF(Clean_Data!$Y297&gt;=170,"170+ Match","Below 170")</f>
        <v>170+ Match</v>
      </c>
      <c r="AA297" s="19" t="s">
        <v>66</v>
      </c>
      <c r="AB297" s="21" t="s">
        <v>286</v>
      </c>
    </row>
    <row r="298" spans="1:28" x14ac:dyDescent="0.3">
      <c r="A298" s="16" t="s">
        <v>274</v>
      </c>
      <c r="B298" s="5" t="str">
        <f>LEFT(Clean_Data!$A298,4)</f>
        <v>2019</v>
      </c>
      <c r="C298" s="5" t="s">
        <v>186</v>
      </c>
      <c r="D298" s="5" t="str">
        <f>IF(ISNUMBER(SEARCH("Final",Clean_Data!$C298)),"Final",
IF(ISNUMBER(SEARCH("Semi",Clean_Data!$C298)),"Semi-Final",
IF(ISNUMBER(SEARCH("Elimination",Clean_Data!$C298)),"Eliminator",
"League")))</f>
        <v>League</v>
      </c>
      <c r="E298" s="6" t="s">
        <v>543</v>
      </c>
      <c r="F298" s="5" t="s">
        <v>515</v>
      </c>
      <c r="G298" s="5">
        <v>91</v>
      </c>
      <c r="H298" s="5">
        <v>10</v>
      </c>
      <c r="I298" s="5" t="s">
        <v>276</v>
      </c>
      <c r="J298" s="5">
        <v>95</v>
      </c>
      <c r="K298" s="5">
        <v>2</v>
      </c>
      <c r="L298" s="5" t="s">
        <v>144</v>
      </c>
      <c r="M298" s="5" t="s">
        <v>276</v>
      </c>
      <c r="N298" s="5" t="s">
        <v>26</v>
      </c>
      <c r="O298" s="5" t="s">
        <v>64</v>
      </c>
      <c r="P298" s="5" t="str">
        <f>IF(Clean_Data!$G298&gt;Clean_Data!$J298,Clean_Data!$F298,Clean_Data!$I298)</f>
        <v>Rajshahi Royals</v>
      </c>
      <c r="Q298" s="5" t="s">
        <v>28</v>
      </c>
      <c r="R298" s="5" t="s">
        <v>29</v>
      </c>
      <c r="S298" s="5">
        <v>8</v>
      </c>
      <c r="T298" s="5">
        <v>0</v>
      </c>
      <c r="U298" s="5" t="s">
        <v>30</v>
      </c>
      <c r="V298" s="5" t="str">
        <f>IF(Clean_Data!$T298&gt;0,"Runs","Wickets")</f>
        <v>Wickets</v>
      </c>
      <c r="W298" s="5">
        <f>IF(Clean_Data!$T298&gt;0,Clean_Data!$T298,Clean_Data!$S298)</f>
        <v>8</v>
      </c>
      <c r="X298" s="5" t="str">
        <f>IF(Clean_Data!$W298&lt;=10,"Close Match","Normal")</f>
        <v>Close Match</v>
      </c>
      <c r="Y298" s="5">
        <f>Clean_Data!$G298+Clean_Data!$J298</f>
        <v>186</v>
      </c>
      <c r="Z298" s="5" t="str">
        <f>IF(Clean_Data!$Y298&gt;=170,"170+ Match","Below 170")</f>
        <v>170+ Match</v>
      </c>
      <c r="AA298" s="5" t="s">
        <v>50</v>
      </c>
      <c r="AB298" s="17" t="s">
        <v>44</v>
      </c>
    </row>
    <row r="299" spans="1:28" x14ac:dyDescent="0.3">
      <c r="A299" s="18" t="s">
        <v>274</v>
      </c>
      <c r="B299" s="19" t="str">
        <f>LEFT(Clean_Data!$A299,4)</f>
        <v>2019</v>
      </c>
      <c r="C299" s="19" t="s">
        <v>190</v>
      </c>
      <c r="D299" s="19" t="str">
        <f>IF(ISNUMBER(SEARCH("Final",Clean_Data!$C299)),"Final",
IF(ISNUMBER(SEARCH("Semi",Clean_Data!$C299)),"Semi-Final",
IF(ISNUMBER(SEARCH("Elimination",Clean_Data!$C299)),"Eliminator",
"League")))</f>
        <v>League</v>
      </c>
      <c r="E299" s="20" t="s">
        <v>544</v>
      </c>
      <c r="F299" s="19" t="s">
        <v>280</v>
      </c>
      <c r="G299" s="19">
        <v>144</v>
      </c>
      <c r="H299" s="19">
        <v>6</v>
      </c>
      <c r="I299" s="19" t="s">
        <v>277</v>
      </c>
      <c r="J299" s="19">
        <v>146</v>
      </c>
      <c r="K299" s="19">
        <v>2</v>
      </c>
      <c r="L299" s="19" t="s">
        <v>461</v>
      </c>
      <c r="M299" s="19" t="s">
        <v>277</v>
      </c>
      <c r="N299" s="19" t="s">
        <v>26</v>
      </c>
      <c r="O299" s="19" t="s">
        <v>284</v>
      </c>
      <c r="P299" s="19" t="str">
        <f>IF(Clean_Data!$G299&gt;Clean_Data!$J299,Clean_Data!$F299,Clean_Data!$I299)</f>
        <v>Khulna Tigers</v>
      </c>
      <c r="Q299" s="19" t="s">
        <v>28</v>
      </c>
      <c r="R299" s="19" t="s">
        <v>29</v>
      </c>
      <c r="S299" s="19">
        <v>8</v>
      </c>
      <c r="T299" s="19">
        <v>0</v>
      </c>
      <c r="U299" s="19" t="s">
        <v>30</v>
      </c>
      <c r="V299" s="19" t="str">
        <f>IF(Clean_Data!$T299&gt;0,"Runs","Wickets")</f>
        <v>Wickets</v>
      </c>
      <c r="W299" s="19">
        <f>IF(Clean_Data!$T299&gt;0,Clean_Data!$T299,Clean_Data!$S299)</f>
        <v>8</v>
      </c>
      <c r="X299" s="19" t="str">
        <f>IF(Clean_Data!$W299&lt;=10,"Close Match","Normal")</f>
        <v>Close Match</v>
      </c>
      <c r="Y299" s="19">
        <f>Clean_Data!$G299+Clean_Data!$J299</f>
        <v>290</v>
      </c>
      <c r="Z299" s="19" t="str">
        <f>IF(Clean_Data!$Y299&gt;=170,"170+ Match","Below 170")</f>
        <v>170+ Match</v>
      </c>
      <c r="AA299" s="19" t="s">
        <v>66</v>
      </c>
      <c r="AB299" s="21" t="s">
        <v>286</v>
      </c>
    </row>
    <row r="300" spans="1:28" x14ac:dyDescent="0.3">
      <c r="A300" s="16" t="s">
        <v>274</v>
      </c>
      <c r="B300" s="5" t="str">
        <f>LEFT(Clean_Data!$A300,4)</f>
        <v>2019</v>
      </c>
      <c r="C300" s="5" t="s">
        <v>195</v>
      </c>
      <c r="D300" s="5" t="str">
        <f>IF(ISNUMBER(SEARCH("Final",Clean_Data!$C300)),"Final",
IF(ISNUMBER(SEARCH("Semi",Clean_Data!$C300)),"Semi-Final",
IF(ISNUMBER(SEARCH("Elimination",Clean_Data!$C300)),"Eliminator",
"League")))</f>
        <v>League</v>
      </c>
      <c r="E300" s="6" t="s">
        <v>544</v>
      </c>
      <c r="F300" s="5" t="s">
        <v>287</v>
      </c>
      <c r="G300" s="5">
        <v>134</v>
      </c>
      <c r="H300" s="5">
        <v>9</v>
      </c>
      <c r="I300" s="5" t="s">
        <v>276</v>
      </c>
      <c r="J300" s="5">
        <v>136</v>
      </c>
      <c r="K300" s="5">
        <v>1</v>
      </c>
      <c r="L300" s="5" t="s">
        <v>183</v>
      </c>
      <c r="M300" s="5" t="s">
        <v>276</v>
      </c>
      <c r="N300" s="5" t="s">
        <v>26</v>
      </c>
      <c r="O300" s="5" t="s">
        <v>64</v>
      </c>
      <c r="P300" s="5" t="str">
        <f>IF(Clean_Data!$G300&gt;Clean_Data!$J300,Clean_Data!$F300,Clean_Data!$I300)</f>
        <v>Rajshahi Royals</v>
      </c>
      <c r="Q300" s="5" t="s">
        <v>28</v>
      </c>
      <c r="R300" s="5" t="s">
        <v>29</v>
      </c>
      <c r="S300" s="5">
        <v>9</v>
      </c>
      <c r="T300" s="5">
        <v>0</v>
      </c>
      <c r="U300" s="5" t="s">
        <v>71</v>
      </c>
      <c r="V300" s="5" t="str">
        <f>IF(Clean_Data!$T300&gt;0,"Runs","Wickets")</f>
        <v>Wickets</v>
      </c>
      <c r="W300" s="5">
        <f>IF(Clean_Data!$T300&gt;0,Clean_Data!$T300,Clean_Data!$S300)</f>
        <v>9</v>
      </c>
      <c r="X300" s="5" t="str">
        <f>IF(Clean_Data!$W300&lt;=10,"Close Match","Normal")</f>
        <v>Close Match</v>
      </c>
      <c r="Y300" s="5">
        <f>Clean_Data!$G300+Clean_Data!$J300</f>
        <v>270</v>
      </c>
      <c r="Z300" s="5" t="str">
        <f>IF(Clean_Data!$Y300&gt;=170,"170+ Match","Below 170")</f>
        <v>170+ Match</v>
      </c>
      <c r="AA300" s="5" t="s">
        <v>56</v>
      </c>
      <c r="AB300" s="17" t="s">
        <v>44</v>
      </c>
    </row>
    <row r="301" spans="1:28" x14ac:dyDescent="0.3">
      <c r="A301" s="18" t="s">
        <v>274</v>
      </c>
      <c r="B301" s="19" t="str">
        <f>LEFT(Clean_Data!$A301,4)</f>
        <v>2019</v>
      </c>
      <c r="C301" s="19" t="s">
        <v>33</v>
      </c>
      <c r="D301" s="19" t="str">
        <f>IF(ISNUMBER(SEARCH("Final",Clean_Data!$C301)),"Final",
IF(ISNUMBER(SEARCH("Semi",Clean_Data!$C301)),"Semi-Final",
IF(ISNUMBER(SEARCH("Elimination",Clean_Data!$C301)),"Eliminator",
"League")))</f>
        <v>League</v>
      </c>
      <c r="E301" s="20" t="s">
        <v>545</v>
      </c>
      <c r="F301" s="19" t="s">
        <v>293</v>
      </c>
      <c r="G301" s="19">
        <v>173</v>
      </c>
      <c r="H301" s="19">
        <v>7</v>
      </c>
      <c r="I301" s="19" t="s">
        <v>295</v>
      </c>
      <c r="J301" s="19">
        <v>68</v>
      </c>
      <c r="K301" s="19">
        <v>10</v>
      </c>
      <c r="L301" s="19" t="s">
        <v>546</v>
      </c>
      <c r="M301" s="19" t="s">
        <v>293</v>
      </c>
      <c r="N301" s="19" t="s">
        <v>37</v>
      </c>
      <c r="O301" s="19" t="s">
        <v>516</v>
      </c>
      <c r="P301" s="19" t="str">
        <f>IF(Clean_Data!$G301&gt;Clean_Data!$J301,Clean_Data!$F301,Clean_Data!$I301)</f>
        <v>Cumilla Warriors</v>
      </c>
      <c r="Q301" s="19" t="s">
        <v>28</v>
      </c>
      <c r="R301" s="19" t="s">
        <v>29</v>
      </c>
      <c r="S301" s="19">
        <v>0</v>
      </c>
      <c r="T301" s="19">
        <v>105</v>
      </c>
      <c r="U301" s="19" t="s">
        <v>510</v>
      </c>
      <c r="V301" s="19" t="str">
        <f>IF(Clean_Data!$T301&gt;0,"Runs","Wickets")</f>
        <v>Runs</v>
      </c>
      <c r="W301" s="19">
        <f>IF(Clean_Data!$T301&gt;0,Clean_Data!$T301,Clean_Data!$S301)</f>
        <v>105</v>
      </c>
      <c r="X301" s="19" t="str">
        <f>IF(Clean_Data!$W301&lt;=10,"Close Match","Normal")</f>
        <v>Normal</v>
      </c>
      <c r="Y301" s="19">
        <f>Clean_Data!$G301+Clean_Data!$J301</f>
        <v>241</v>
      </c>
      <c r="Z301" s="19" t="str">
        <f>IF(Clean_Data!$Y301&gt;=170,"170+ Match","Below 170")</f>
        <v>170+ Match</v>
      </c>
      <c r="AA301" s="19" t="s">
        <v>66</v>
      </c>
      <c r="AB301" s="21" t="s">
        <v>225</v>
      </c>
    </row>
    <row r="302" spans="1:28" x14ac:dyDescent="0.3">
      <c r="A302" s="16" t="s">
        <v>274</v>
      </c>
      <c r="B302" s="5" t="str">
        <f>LEFT(Clean_Data!$A302,4)</f>
        <v>2019</v>
      </c>
      <c r="C302" s="5" t="s">
        <v>40</v>
      </c>
      <c r="D302" s="5" t="str">
        <f>IF(ISNUMBER(SEARCH("Final",Clean_Data!$C302)),"Final",
IF(ISNUMBER(SEARCH("Semi",Clean_Data!$C302)),"Semi-Final",
IF(ISNUMBER(SEARCH("Elimination",Clean_Data!$C302)),"Eliminator",
"League")))</f>
        <v>League</v>
      </c>
      <c r="E302" s="6" t="s">
        <v>545</v>
      </c>
      <c r="F302" s="5" t="s">
        <v>515</v>
      </c>
      <c r="G302" s="5">
        <v>162</v>
      </c>
      <c r="H302" s="5">
        <v>4</v>
      </c>
      <c r="I302" s="5" t="s">
        <v>280</v>
      </c>
      <c r="J302" s="5">
        <v>163</v>
      </c>
      <c r="K302" s="5">
        <v>5</v>
      </c>
      <c r="L302" s="5" t="s">
        <v>464</v>
      </c>
      <c r="M302" s="5" t="s">
        <v>280</v>
      </c>
      <c r="N302" s="5" t="s">
        <v>26</v>
      </c>
      <c r="O302" s="5" t="s">
        <v>289</v>
      </c>
      <c r="P302" s="5" t="str">
        <f>IF(Clean_Data!$G302&gt;Clean_Data!$J302,Clean_Data!$F302,Clean_Data!$I302)</f>
        <v>Chattogram Challengers</v>
      </c>
      <c r="Q302" s="5" t="s">
        <v>28</v>
      </c>
      <c r="R302" s="5" t="s">
        <v>29</v>
      </c>
      <c r="S302" s="5">
        <v>5</v>
      </c>
      <c r="T302" s="5">
        <v>0</v>
      </c>
      <c r="U302" s="5" t="s">
        <v>55</v>
      </c>
      <c r="V302" s="5" t="str">
        <f>IF(Clean_Data!$T302&gt;0,"Runs","Wickets")</f>
        <v>Wickets</v>
      </c>
      <c r="W302" s="5">
        <f>IF(Clean_Data!$T302&gt;0,Clean_Data!$T302,Clean_Data!$S302)</f>
        <v>5</v>
      </c>
      <c r="X302" s="5" t="str">
        <f>IF(Clean_Data!$W302&lt;=10,"Close Match","Normal")</f>
        <v>Close Match</v>
      </c>
      <c r="Y302" s="5">
        <f>Clean_Data!$G302+Clean_Data!$J302</f>
        <v>325</v>
      </c>
      <c r="Z302" s="5" t="str">
        <f>IF(Clean_Data!$Y302&gt;=170,"170+ Match","Below 170")</f>
        <v>170+ Match</v>
      </c>
      <c r="AA302" s="5" t="s">
        <v>286</v>
      </c>
      <c r="AB302" s="17" t="s">
        <v>44</v>
      </c>
    </row>
    <row r="303" spans="1:28" x14ac:dyDescent="0.3">
      <c r="A303" s="18" t="s">
        <v>304</v>
      </c>
      <c r="B303" s="19" t="str">
        <f>LEFT(Clean_Data!$A303,4)</f>
        <v>2021</v>
      </c>
      <c r="C303" s="19" t="s">
        <v>163</v>
      </c>
      <c r="D303" s="19" t="str">
        <f>IF(ISNUMBER(SEARCH("Final",Clean_Data!$C303)),"Final",
IF(ISNUMBER(SEARCH("Semi",Clean_Data!$C303)),"Semi-Final",
IF(ISNUMBER(SEARCH("Elimination",Clean_Data!$C303)),"Eliminator",
"League")))</f>
        <v>League</v>
      </c>
      <c r="E303" s="20" t="s">
        <v>547</v>
      </c>
      <c r="F303" s="19" t="s">
        <v>307</v>
      </c>
      <c r="G303" s="19">
        <v>175</v>
      </c>
      <c r="H303" s="19">
        <v>5</v>
      </c>
      <c r="I303" s="19" t="s">
        <v>312</v>
      </c>
      <c r="J303" s="19">
        <v>177</v>
      </c>
      <c r="K303" s="19">
        <v>1</v>
      </c>
      <c r="L303" s="19" t="s">
        <v>253</v>
      </c>
      <c r="M303" s="19" t="s">
        <v>312</v>
      </c>
      <c r="N303" s="19" t="s">
        <v>26</v>
      </c>
      <c r="O303" s="19" t="s">
        <v>27</v>
      </c>
      <c r="P303" s="19" t="str">
        <f>IF(Clean_Data!$G303&gt;Clean_Data!$J303,Clean_Data!$F303,Clean_Data!$I303)</f>
        <v>Minister Group Dhaka</v>
      </c>
      <c r="Q303" s="19" t="s">
        <v>88</v>
      </c>
      <c r="R303" s="19" t="s">
        <v>89</v>
      </c>
      <c r="S303" s="19">
        <v>9</v>
      </c>
      <c r="T303" s="19">
        <v>0</v>
      </c>
      <c r="U303" s="19" t="s">
        <v>71</v>
      </c>
      <c r="V303" s="19" t="str">
        <f>IF(Clean_Data!$T303&gt;0,"Runs","Wickets")</f>
        <v>Wickets</v>
      </c>
      <c r="W303" s="19">
        <f>IF(Clean_Data!$T303&gt;0,Clean_Data!$T303,Clean_Data!$S303)</f>
        <v>9</v>
      </c>
      <c r="X303" s="19" t="str">
        <f>IF(Clean_Data!$W303&lt;=10,"Close Match","Normal")</f>
        <v>Close Match</v>
      </c>
      <c r="Y303" s="19">
        <f>Clean_Data!$G303+Clean_Data!$J303</f>
        <v>352</v>
      </c>
      <c r="Z303" s="19" t="str">
        <f>IF(Clean_Data!$Y303&gt;=170,"170+ Match","Below 170")</f>
        <v>170+ Match</v>
      </c>
      <c r="AA303" s="19" t="s">
        <v>50</v>
      </c>
      <c r="AB303" s="21" t="s">
        <v>286</v>
      </c>
    </row>
    <row r="304" spans="1:28" x14ac:dyDescent="0.3">
      <c r="A304" s="16" t="s">
        <v>304</v>
      </c>
      <c r="B304" s="5" t="str">
        <f>LEFT(Clean_Data!$A304,4)</f>
        <v>2021</v>
      </c>
      <c r="C304" s="5" t="s">
        <v>168</v>
      </c>
      <c r="D304" s="5" t="str">
        <f>IF(ISNUMBER(SEARCH("Final",Clean_Data!$C304)),"Final",
IF(ISNUMBER(SEARCH("Semi",Clean_Data!$C304)),"Semi-Final",
IF(ISNUMBER(SEARCH("Elimination",Clean_Data!$C304)),"Eliminator",
"League")))</f>
        <v>League</v>
      </c>
      <c r="E304" s="6" t="s">
        <v>547</v>
      </c>
      <c r="F304" s="5" t="s">
        <v>280</v>
      </c>
      <c r="G304" s="5">
        <v>143</v>
      </c>
      <c r="H304" s="5">
        <v>8</v>
      </c>
      <c r="I304" s="5" t="s">
        <v>277</v>
      </c>
      <c r="J304" s="5">
        <v>144</v>
      </c>
      <c r="K304" s="5">
        <v>4</v>
      </c>
      <c r="L304" s="5" t="s">
        <v>308</v>
      </c>
      <c r="M304" s="5" t="s">
        <v>277</v>
      </c>
      <c r="N304" s="5" t="s">
        <v>26</v>
      </c>
      <c r="O304" s="5" t="s">
        <v>284</v>
      </c>
      <c r="P304" s="5" t="str">
        <f>IF(Clean_Data!$G304&gt;Clean_Data!$J304,Clean_Data!$F304,Clean_Data!$I304)</f>
        <v>Khulna Tigers</v>
      </c>
      <c r="Q304" s="5" t="s">
        <v>88</v>
      </c>
      <c r="R304" s="5" t="s">
        <v>89</v>
      </c>
      <c r="S304" s="5">
        <v>6</v>
      </c>
      <c r="T304" s="5">
        <v>0</v>
      </c>
      <c r="U304" s="5" t="s">
        <v>151</v>
      </c>
      <c r="V304" s="5" t="str">
        <f>IF(Clean_Data!$T304&gt;0,"Runs","Wickets")</f>
        <v>Wickets</v>
      </c>
      <c r="W304" s="5">
        <f>IF(Clean_Data!$T304&gt;0,Clean_Data!$T304,Clean_Data!$S304)</f>
        <v>6</v>
      </c>
      <c r="X304" s="5" t="str">
        <f>IF(Clean_Data!$W304&lt;=10,"Close Match","Normal")</f>
        <v>Close Match</v>
      </c>
      <c r="Y304" s="5">
        <f>Clean_Data!$G304+Clean_Data!$J304</f>
        <v>287</v>
      </c>
      <c r="Z304" s="5" t="str">
        <f>IF(Clean_Data!$Y304&gt;=170,"170+ Match","Below 170")</f>
        <v>170+ Match</v>
      </c>
      <c r="AA304" s="5" t="s">
        <v>66</v>
      </c>
      <c r="AB304" s="17" t="s">
        <v>225</v>
      </c>
    </row>
    <row r="305" spans="1:28" x14ac:dyDescent="0.3">
      <c r="A305" s="18" t="s">
        <v>304</v>
      </c>
      <c r="B305" s="19" t="str">
        <f>LEFT(Clean_Data!$A305,4)</f>
        <v>2021</v>
      </c>
      <c r="C305" s="19" t="s">
        <v>170</v>
      </c>
      <c r="D305" s="19" t="str">
        <f>IF(ISNUMBER(SEARCH("Final",Clean_Data!$C305)),"Final",
IF(ISNUMBER(SEARCH("Semi",Clean_Data!$C305)),"Semi-Final",
IF(ISNUMBER(SEARCH("Elimination",Clean_Data!$C305)),"Eliminator",
"League")))</f>
        <v>League</v>
      </c>
      <c r="E305" s="20" t="s">
        <v>548</v>
      </c>
      <c r="F305" s="19" t="s">
        <v>143</v>
      </c>
      <c r="G305" s="19">
        <v>158</v>
      </c>
      <c r="H305" s="19">
        <v>7</v>
      </c>
      <c r="I305" s="19" t="s">
        <v>310</v>
      </c>
      <c r="J305" s="19">
        <v>95</v>
      </c>
      <c r="K305" s="19">
        <v>10</v>
      </c>
      <c r="L305" s="19" t="s">
        <v>440</v>
      </c>
      <c r="M305" s="19" t="s">
        <v>310</v>
      </c>
      <c r="N305" s="19" t="s">
        <v>26</v>
      </c>
      <c r="O305" s="19" t="s">
        <v>145</v>
      </c>
      <c r="P305" s="19" t="str">
        <f>IF(Clean_Data!$G305&gt;Clean_Data!$J305,Clean_Data!$F305,Clean_Data!$I305)</f>
        <v>Comilla Victorians</v>
      </c>
      <c r="Q305" s="19" t="s">
        <v>28</v>
      </c>
      <c r="R305" s="19" t="s">
        <v>29</v>
      </c>
      <c r="S305" s="19">
        <v>0</v>
      </c>
      <c r="T305" s="19">
        <v>63</v>
      </c>
      <c r="U305" s="19" t="s">
        <v>549</v>
      </c>
      <c r="V305" s="19" t="str">
        <f>IF(Clean_Data!$T305&gt;0,"Runs","Wickets")</f>
        <v>Runs</v>
      </c>
      <c r="W305" s="19">
        <f>IF(Clean_Data!$T305&gt;0,Clean_Data!$T305,Clean_Data!$S305)</f>
        <v>63</v>
      </c>
      <c r="X305" s="19" t="str">
        <f>IF(Clean_Data!$W305&lt;=10,"Close Match","Normal")</f>
        <v>Normal</v>
      </c>
      <c r="Y305" s="19">
        <f>Clean_Data!$G305+Clean_Data!$J305</f>
        <v>253</v>
      </c>
      <c r="Z305" s="19" t="str">
        <f>IF(Clean_Data!$Y305&gt;=170,"170+ Match","Below 170")</f>
        <v>170+ Match</v>
      </c>
      <c r="AA305" s="19" t="s">
        <v>216</v>
      </c>
      <c r="AB305" s="21" t="s">
        <v>225</v>
      </c>
    </row>
    <row r="306" spans="1:28" x14ac:dyDescent="0.3">
      <c r="A306" s="16" t="s">
        <v>304</v>
      </c>
      <c r="B306" s="5" t="str">
        <f>LEFT(Clean_Data!$A306,4)</f>
        <v>2021</v>
      </c>
      <c r="C306" s="5" t="s">
        <v>176</v>
      </c>
      <c r="D306" s="5" t="str">
        <f>IF(ISNUMBER(SEARCH("Final",Clean_Data!$C306)),"Final",
IF(ISNUMBER(SEARCH("Semi",Clean_Data!$C306)),"Semi-Final",
IF(ISNUMBER(SEARCH("Elimination",Clean_Data!$C306)),"Eliminator",
"League")))</f>
        <v>League</v>
      </c>
      <c r="E306" s="6" t="s">
        <v>548</v>
      </c>
      <c r="F306" s="5" t="s">
        <v>312</v>
      </c>
      <c r="G306" s="5">
        <v>100</v>
      </c>
      <c r="H306" s="5">
        <v>10</v>
      </c>
      <c r="I306" s="5" t="s">
        <v>307</v>
      </c>
      <c r="J306" s="5">
        <v>101</v>
      </c>
      <c r="K306" s="5">
        <v>3</v>
      </c>
      <c r="L306" s="5" t="s">
        <v>448</v>
      </c>
      <c r="M306" s="5" t="s">
        <v>307</v>
      </c>
      <c r="N306" s="5" t="s">
        <v>26</v>
      </c>
      <c r="O306" s="5" t="s">
        <v>550</v>
      </c>
      <c r="P306" s="5" t="str">
        <f>IF(Clean_Data!$G306&gt;Clean_Data!$J306,Clean_Data!$F306,Clean_Data!$I306)</f>
        <v>Sylhet Sunrisers</v>
      </c>
      <c r="Q306" s="5" t="s">
        <v>28</v>
      </c>
      <c r="R306" s="5" t="s">
        <v>29</v>
      </c>
      <c r="S306" s="5">
        <v>7</v>
      </c>
      <c r="T306" s="5">
        <v>0</v>
      </c>
      <c r="U306" s="5" t="s">
        <v>118</v>
      </c>
      <c r="V306" s="5" t="str">
        <f>IF(Clean_Data!$T306&gt;0,"Runs","Wickets")</f>
        <v>Wickets</v>
      </c>
      <c r="W306" s="5">
        <f>IF(Clean_Data!$T306&gt;0,Clean_Data!$T306,Clean_Data!$S306)</f>
        <v>7</v>
      </c>
      <c r="X306" s="5" t="str">
        <f>IF(Clean_Data!$W306&lt;=10,"Close Match","Normal")</f>
        <v>Close Match</v>
      </c>
      <c r="Y306" s="5">
        <f>Clean_Data!$G306+Clean_Data!$J306</f>
        <v>201</v>
      </c>
      <c r="Z306" s="5" t="str">
        <f>IF(Clean_Data!$Y306&gt;=170,"170+ Match","Below 170")</f>
        <v>170+ Match</v>
      </c>
      <c r="AA306" s="5" t="s">
        <v>66</v>
      </c>
      <c r="AB306" s="17" t="s">
        <v>44</v>
      </c>
    </row>
    <row r="307" spans="1:28" x14ac:dyDescent="0.3">
      <c r="A307" s="18" t="s">
        <v>304</v>
      </c>
      <c r="B307" s="19" t="str">
        <f>LEFT(Clean_Data!$A307,4)</f>
        <v>2021</v>
      </c>
      <c r="C307" s="19" t="s">
        <v>180</v>
      </c>
      <c r="D307" s="19" t="str">
        <f>IF(ISNUMBER(SEARCH("Final",Clean_Data!$C307)),"Final",
IF(ISNUMBER(SEARCH("Semi",Clean_Data!$C307)),"Semi-Final",
IF(ISNUMBER(SEARCH("Elimination",Clean_Data!$C307)),"Eliminator",
"League")))</f>
        <v>League</v>
      </c>
      <c r="E307" s="20" t="s">
        <v>551</v>
      </c>
      <c r="F307" s="19" t="s">
        <v>280</v>
      </c>
      <c r="G307" s="19">
        <v>190</v>
      </c>
      <c r="H307" s="19">
        <v>7</v>
      </c>
      <c r="I307" s="19" t="s">
        <v>277</v>
      </c>
      <c r="J307" s="19">
        <v>165</v>
      </c>
      <c r="K307" s="19">
        <v>9</v>
      </c>
      <c r="L307" s="19" t="s">
        <v>552</v>
      </c>
      <c r="M307" s="19" t="s">
        <v>277</v>
      </c>
      <c r="N307" s="19" t="s">
        <v>26</v>
      </c>
      <c r="O307" s="19" t="s">
        <v>289</v>
      </c>
      <c r="P307" s="19" t="str">
        <f>IF(Clean_Data!$G307&gt;Clean_Data!$J307,Clean_Data!$F307,Clean_Data!$I307)</f>
        <v>Chattogram Challengers</v>
      </c>
      <c r="Q307" s="19" t="s">
        <v>28</v>
      </c>
      <c r="R307" s="19" t="s">
        <v>29</v>
      </c>
      <c r="S307" s="19">
        <v>0</v>
      </c>
      <c r="T307" s="19">
        <v>25</v>
      </c>
      <c r="U307" s="19" t="s">
        <v>240</v>
      </c>
      <c r="V307" s="19" t="str">
        <f>IF(Clean_Data!$T307&gt;0,"Runs","Wickets")</f>
        <v>Runs</v>
      </c>
      <c r="W307" s="19">
        <f>IF(Clean_Data!$T307&gt;0,Clean_Data!$T307,Clean_Data!$S307)</f>
        <v>25</v>
      </c>
      <c r="X307" s="19" t="str">
        <f>IF(Clean_Data!$W307&lt;=10,"Close Match","Normal")</f>
        <v>Normal</v>
      </c>
      <c r="Y307" s="19">
        <f>Clean_Data!$G307+Clean_Data!$J307</f>
        <v>355</v>
      </c>
      <c r="Z307" s="19" t="str">
        <f>IF(Clean_Data!$Y307&gt;=170,"170+ Match","Below 170")</f>
        <v>170+ Match</v>
      </c>
      <c r="AA307" s="19" t="s">
        <v>216</v>
      </c>
      <c r="AB307" s="21" t="s">
        <v>44</v>
      </c>
    </row>
    <row r="308" spans="1:28" x14ac:dyDescent="0.3">
      <c r="A308" s="16" t="s">
        <v>304</v>
      </c>
      <c r="B308" s="5" t="str">
        <f>LEFT(Clean_Data!$A308,4)</f>
        <v>2021</v>
      </c>
      <c r="C308" s="5" t="s">
        <v>186</v>
      </c>
      <c r="D308" s="5" t="str">
        <f>IF(ISNUMBER(SEARCH("Final",Clean_Data!$C308)),"Final",
IF(ISNUMBER(SEARCH("Semi",Clean_Data!$C308)),"Semi-Final",
IF(ISNUMBER(SEARCH("Elimination",Clean_Data!$C308)),"Eliminator",
"League")))</f>
        <v>League</v>
      </c>
      <c r="E308" s="6" t="s">
        <v>551</v>
      </c>
      <c r="F308" s="5" t="s">
        <v>310</v>
      </c>
      <c r="G308" s="5">
        <v>129</v>
      </c>
      <c r="H308" s="5">
        <v>8</v>
      </c>
      <c r="I308" s="5" t="s">
        <v>312</v>
      </c>
      <c r="J308" s="5">
        <v>130</v>
      </c>
      <c r="K308" s="5">
        <v>6</v>
      </c>
      <c r="L308" s="5" t="s">
        <v>157</v>
      </c>
      <c r="M308" s="5" t="s">
        <v>312</v>
      </c>
      <c r="N308" s="5" t="s">
        <v>26</v>
      </c>
      <c r="O308" s="5" t="s">
        <v>27</v>
      </c>
      <c r="P308" s="5" t="str">
        <f>IF(Clean_Data!$G308&gt;Clean_Data!$J308,Clean_Data!$F308,Clean_Data!$I308)</f>
        <v>Minister Group Dhaka</v>
      </c>
      <c r="Q308" s="5" t="s">
        <v>28</v>
      </c>
      <c r="R308" s="5" t="s">
        <v>29</v>
      </c>
      <c r="S308" s="5">
        <v>4</v>
      </c>
      <c r="T308" s="5">
        <v>0</v>
      </c>
      <c r="U308" s="5" t="s">
        <v>90</v>
      </c>
      <c r="V308" s="5" t="str">
        <f>IF(Clean_Data!$T308&gt;0,"Runs","Wickets")</f>
        <v>Wickets</v>
      </c>
      <c r="W308" s="5">
        <f>IF(Clean_Data!$T308&gt;0,Clean_Data!$T308,Clean_Data!$S308)</f>
        <v>4</v>
      </c>
      <c r="X308" s="5" t="str">
        <f>IF(Clean_Data!$W308&lt;=10,"Close Match","Normal")</f>
        <v>Close Match</v>
      </c>
      <c r="Y308" s="5">
        <f>Clean_Data!$G308+Clean_Data!$J308</f>
        <v>259</v>
      </c>
      <c r="Z308" s="5" t="str">
        <f>IF(Clean_Data!$Y308&gt;=170,"170+ Match","Below 170")</f>
        <v>170+ Match</v>
      </c>
      <c r="AA308" s="5" t="s">
        <v>66</v>
      </c>
      <c r="AB308" s="17" t="s">
        <v>225</v>
      </c>
    </row>
    <row r="309" spans="1:28" x14ac:dyDescent="0.3">
      <c r="A309" s="18" t="s">
        <v>304</v>
      </c>
      <c r="B309" s="19" t="str">
        <f>LEFT(Clean_Data!$A309,4)</f>
        <v>2021</v>
      </c>
      <c r="C309" s="19" t="s">
        <v>190</v>
      </c>
      <c r="D309" s="19" t="str">
        <f>IF(ISNUMBER(SEARCH("Final",Clean_Data!$C309)),"Final",
IF(ISNUMBER(SEARCH("Semi",Clean_Data!$C309)),"Semi-Final",
IF(ISNUMBER(SEARCH("Elimination",Clean_Data!$C309)),"Eliminator",
"League")))</f>
        <v>League</v>
      </c>
      <c r="E309" s="20" t="s">
        <v>553</v>
      </c>
      <c r="F309" s="19" t="s">
        <v>280</v>
      </c>
      <c r="G309" s="19">
        <v>161</v>
      </c>
      <c r="H309" s="19">
        <v>8</v>
      </c>
      <c r="I309" s="19" t="s">
        <v>312</v>
      </c>
      <c r="J309" s="19">
        <v>131</v>
      </c>
      <c r="K309" s="19">
        <v>10</v>
      </c>
      <c r="L309" s="19" t="s">
        <v>554</v>
      </c>
      <c r="M309" s="19" t="s">
        <v>312</v>
      </c>
      <c r="N309" s="19" t="s">
        <v>26</v>
      </c>
      <c r="O309" s="19" t="s">
        <v>289</v>
      </c>
      <c r="P309" s="19" t="str">
        <f>IF(Clean_Data!$G309&gt;Clean_Data!$J309,Clean_Data!$F309,Clean_Data!$I309)</f>
        <v>Chattogram Challengers</v>
      </c>
      <c r="Q309" s="19" t="s">
        <v>28</v>
      </c>
      <c r="R309" s="19" t="s">
        <v>29</v>
      </c>
      <c r="S309" s="19">
        <v>0</v>
      </c>
      <c r="T309" s="19">
        <v>30</v>
      </c>
      <c r="U309" s="19" t="s">
        <v>452</v>
      </c>
      <c r="V309" s="19" t="str">
        <f>IF(Clean_Data!$T309&gt;0,"Runs","Wickets")</f>
        <v>Runs</v>
      </c>
      <c r="W309" s="19">
        <f>IF(Clean_Data!$T309&gt;0,Clean_Data!$T309,Clean_Data!$S309)</f>
        <v>30</v>
      </c>
      <c r="X309" s="19" t="str">
        <f>IF(Clean_Data!$W309&lt;=10,"Close Match","Normal")</f>
        <v>Normal</v>
      </c>
      <c r="Y309" s="19">
        <f>Clean_Data!$G309+Clean_Data!$J309</f>
        <v>292</v>
      </c>
      <c r="Z309" s="19" t="str">
        <f>IF(Clean_Data!$Y309&gt;=170,"170+ Match","Below 170")</f>
        <v>170+ Match</v>
      </c>
      <c r="AA309" s="19" t="s">
        <v>44</v>
      </c>
      <c r="AB309" s="21" t="s">
        <v>225</v>
      </c>
    </row>
    <row r="310" spans="1:28" x14ac:dyDescent="0.3">
      <c r="A310" s="16" t="s">
        <v>304</v>
      </c>
      <c r="B310" s="5" t="str">
        <f>LEFT(Clean_Data!$A310,4)</f>
        <v>2021</v>
      </c>
      <c r="C310" s="5" t="s">
        <v>195</v>
      </c>
      <c r="D310" s="5" t="str">
        <f>IF(ISNUMBER(SEARCH("Final",Clean_Data!$C310)),"Final",
IF(ISNUMBER(SEARCH("Semi",Clean_Data!$C310)),"Semi-Final",
IF(ISNUMBER(SEARCH("Elimination",Clean_Data!$C310)),"Eliminator",
"League")))</f>
        <v>League</v>
      </c>
      <c r="E310" s="6" t="s">
        <v>553</v>
      </c>
      <c r="F310" s="5" t="s">
        <v>307</v>
      </c>
      <c r="G310" s="5">
        <v>96</v>
      </c>
      <c r="H310" s="5">
        <v>10</v>
      </c>
      <c r="I310" s="5" t="s">
        <v>143</v>
      </c>
      <c r="J310" s="5">
        <v>97</v>
      </c>
      <c r="K310" s="5">
        <v>8</v>
      </c>
      <c r="L310" s="5" t="s">
        <v>440</v>
      </c>
      <c r="M310" s="5" t="s">
        <v>143</v>
      </c>
      <c r="N310" s="5" t="s">
        <v>26</v>
      </c>
      <c r="O310" s="5" t="s">
        <v>145</v>
      </c>
      <c r="P310" s="5" t="str">
        <f>IF(Clean_Data!$G310&gt;Clean_Data!$J310,Clean_Data!$F310,Clean_Data!$I310)</f>
        <v>Comilla Victorians</v>
      </c>
      <c r="Q310" s="5" t="s">
        <v>28</v>
      </c>
      <c r="R310" s="5" t="s">
        <v>29</v>
      </c>
      <c r="S310" s="5">
        <v>2</v>
      </c>
      <c r="T310" s="5">
        <v>0</v>
      </c>
      <c r="U310" s="5" t="s">
        <v>281</v>
      </c>
      <c r="V310" s="5" t="str">
        <f>IF(Clean_Data!$T310&gt;0,"Runs","Wickets")</f>
        <v>Wickets</v>
      </c>
      <c r="W310" s="5">
        <f>IF(Clean_Data!$T310&gt;0,Clean_Data!$T310,Clean_Data!$S310)</f>
        <v>2</v>
      </c>
      <c r="X310" s="5" t="str">
        <f>IF(Clean_Data!$W310&lt;=10,"Close Match","Normal")</f>
        <v>Close Match</v>
      </c>
      <c r="Y310" s="5">
        <f>Clean_Data!$G310+Clean_Data!$J310</f>
        <v>193</v>
      </c>
      <c r="Z310" s="5" t="str">
        <f>IF(Clean_Data!$Y310&gt;=170,"170+ Match","Below 170")</f>
        <v>170+ Match</v>
      </c>
      <c r="AA310" s="5" t="s">
        <v>66</v>
      </c>
      <c r="AB310" s="17" t="s">
        <v>216</v>
      </c>
    </row>
    <row r="311" spans="1:28" x14ac:dyDescent="0.3">
      <c r="A311" s="18" t="s">
        <v>304</v>
      </c>
      <c r="B311" s="19" t="str">
        <f>LEFT(Clean_Data!$A311,4)</f>
        <v>2021</v>
      </c>
      <c r="C311" s="19" t="s">
        <v>33</v>
      </c>
      <c r="D311" s="19" t="str">
        <f>IF(ISNUMBER(SEARCH("Final",Clean_Data!$C311)),"Final",
IF(ISNUMBER(SEARCH("Semi",Clean_Data!$C311)),"Semi-Final",
IF(ISNUMBER(SEARCH("Elimination",Clean_Data!$C311)),"Eliminator",
"League")))</f>
        <v>League</v>
      </c>
      <c r="E311" s="20" t="s">
        <v>555</v>
      </c>
      <c r="F311" s="19" t="s">
        <v>312</v>
      </c>
      <c r="G311" s="19">
        <v>183</v>
      </c>
      <c r="H311" s="19">
        <v>6</v>
      </c>
      <c r="I311" s="19" t="s">
        <v>277</v>
      </c>
      <c r="J311" s="19">
        <v>186</v>
      </c>
      <c r="K311" s="19">
        <v>5</v>
      </c>
      <c r="L311" s="19" t="s">
        <v>501</v>
      </c>
      <c r="M311" s="19" t="s">
        <v>277</v>
      </c>
      <c r="N311" s="19" t="s">
        <v>26</v>
      </c>
      <c r="O311" s="19" t="s">
        <v>284</v>
      </c>
      <c r="P311" s="19" t="str">
        <f>IF(Clean_Data!$G311&gt;Clean_Data!$J311,Clean_Data!$F311,Clean_Data!$I311)</f>
        <v>Khulna Tigers</v>
      </c>
      <c r="Q311" s="19" t="s">
        <v>28</v>
      </c>
      <c r="R311" s="19" t="s">
        <v>29</v>
      </c>
      <c r="S311" s="19">
        <v>5</v>
      </c>
      <c r="T311" s="19">
        <v>0</v>
      </c>
      <c r="U311" s="19" t="s">
        <v>55</v>
      </c>
      <c r="V311" s="19" t="str">
        <f>IF(Clean_Data!$T311&gt;0,"Runs","Wickets")</f>
        <v>Wickets</v>
      </c>
      <c r="W311" s="19">
        <f>IF(Clean_Data!$T311&gt;0,Clean_Data!$T311,Clean_Data!$S311)</f>
        <v>5</v>
      </c>
      <c r="X311" s="19" t="str">
        <f>IF(Clean_Data!$W311&lt;=10,"Close Match","Normal")</f>
        <v>Close Match</v>
      </c>
      <c r="Y311" s="19">
        <f>Clean_Data!$G311+Clean_Data!$J311</f>
        <v>369</v>
      </c>
      <c r="Z311" s="19" t="str">
        <f>IF(Clean_Data!$Y311&gt;=170,"170+ Match","Below 170")</f>
        <v>170+ Match</v>
      </c>
      <c r="AA311" s="19" t="s">
        <v>66</v>
      </c>
      <c r="AB311" s="21" t="s">
        <v>216</v>
      </c>
    </row>
    <row r="312" spans="1:28" x14ac:dyDescent="0.3">
      <c r="A312" s="16" t="s">
        <v>304</v>
      </c>
      <c r="B312" s="5" t="str">
        <f>LEFT(Clean_Data!$A312,4)</f>
        <v>2021</v>
      </c>
      <c r="C312" s="5" t="s">
        <v>40</v>
      </c>
      <c r="D312" s="5" t="str">
        <f>IF(ISNUMBER(SEARCH("Final",Clean_Data!$C312)),"Final",
IF(ISNUMBER(SEARCH("Semi",Clean_Data!$C312)),"Semi-Final",
IF(ISNUMBER(SEARCH("Elimination",Clean_Data!$C312)),"Eliminator",
"League")))</f>
        <v>League</v>
      </c>
      <c r="E312" s="6" t="s">
        <v>555</v>
      </c>
      <c r="F312" s="5" t="s">
        <v>280</v>
      </c>
      <c r="G312" s="5">
        <v>125</v>
      </c>
      <c r="H312" s="5">
        <v>8</v>
      </c>
      <c r="I312" s="5" t="s">
        <v>310</v>
      </c>
      <c r="J312" s="5">
        <v>126</v>
      </c>
      <c r="K312" s="5">
        <v>6</v>
      </c>
      <c r="L312" s="5" t="s">
        <v>410</v>
      </c>
      <c r="M312" s="5" t="s">
        <v>310</v>
      </c>
      <c r="N312" s="5" t="s">
        <v>26</v>
      </c>
      <c r="O312" s="5" t="s">
        <v>311</v>
      </c>
      <c r="P312" s="5" t="str">
        <f>IF(Clean_Data!$G312&gt;Clean_Data!$J312,Clean_Data!$F312,Clean_Data!$I312)</f>
        <v>Fortune Barishal</v>
      </c>
      <c r="Q312" s="5" t="s">
        <v>28</v>
      </c>
      <c r="R312" s="5" t="s">
        <v>29</v>
      </c>
      <c r="S312" s="5">
        <v>4</v>
      </c>
      <c r="T312" s="5">
        <v>0</v>
      </c>
      <c r="U312" s="5" t="s">
        <v>90</v>
      </c>
      <c r="V312" s="5" t="str">
        <f>IF(Clean_Data!$T312&gt;0,"Runs","Wickets")</f>
        <v>Wickets</v>
      </c>
      <c r="W312" s="5">
        <f>IF(Clean_Data!$T312&gt;0,Clean_Data!$T312,Clean_Data!$S312)</f>
        <v>4</v>
      </c>
      <c r="X312" s="5" t="str">
        <f>IF(Clean_Data!$W312&lt;=10,"Close Match","Normal")</f>
        <v>Close Match</v>
      </c>
      <c r="Y312" s="5">
        <f>Clean_Data!$G312+Clean_Data!$J312</f>
        <v>251</v>
      </c>
      <c r="Z312" s="5" t="str">
        <f>IF(Clean_Data!$Y312&gt;=170,"170+ Match","Below 170")</f>
        <v>170+ Match</v>
      </c>
      <c r="AA312" s="5" t="s">
        <v>44</v>
      </c>
      <c r="AB312" s="17" t="s">
        <v>225</v>
      </c>
    </row>
    <row r="313" spans="1:28" x14ac:dyDescent="0.3">
      <c r="A313" s="18" t="s">
        <v>304</v>
      </c>
      <c r="B313" s="19" t="str">
        <f>LEFT(Clean_Data!$A313,4)</f>
        <v>2021</v>
      </c>
      <c r="C313" s="19" t="s">
        <v>40</v>
      </c>
      <c r="D313" s="19" t="str">
        <f>IF(ISNUMBER(SEARCH("Final",Clean_Data!$C313)),"Final",
IF(ISNUMBER(SEARCH("Semi",Clean_Data!$C313)),"Semi-Final",
IF(ISNUMBER(SEARCH("Elimination",Clean_Data!$C313)),"Eliminator",
"League")))</f>
        <v>League</v>
      </c>
      <c r="E313" s="20" t="s">
        <v>555</v>
      </c>
      <c r="F313" s="19" t="s">
        <v>280</v>
      </c>
      <c r="G313" s="19">
        <v>125</v>
      </c>
      <c r="H313" s="19">
        <v>8</v>
      </c>
      <c r="I313" s="19" t="s">
        <v>310</v>
      </c>
      <c r="J313" s="19">
        <v>126</v>
      </c>
      <c r="K313" s="19">
        <v>6</v>
      </c>
      <c r="L313" s="19" t="s">
        <v>410</v>
      </c>
      <c r="M313" s="19" t="s">
        <v>310</v>
      </c>
      <c r="N313" s="19" t="s">
        <v>37</v>
      </c>
      <c r="O313" s="19" t="s">
        <v>310</v>
      </c>
      <c r="P313" s="19" t="str">
        <f>IF(Clean_Data!$G313&gt;Clean_Data!$J313,Clean_Data!$F313,Clean_Data!$I313)</f>
        <v>Fortune Barishal</v>
      </c>
      <c r="Q313" s="19" t="s">
        <v>28</v>
      </c>
      <c r="R313" s="19" t="s">
        <v>29</v>
      </c>
      <c r="S313" s="19">
        <v>4</v>
      </c>
      <c r="T313" s="19">
        <v>0</v>
      </c>
      <c r="U313" s="19" t="s">
        <v>90</v>
      </c>
      <c r="V313" s="19" t="str">
        <f>IF(Clean_Data!$T313&gt;0,"Runs","Wickets")</f>
        <v>Wickets</v>
      </c>
      <c r="W313" s="19">
        <f>IF(Clean_Data!$T313&gt;0,Clean_Data!$T313,Clean_Data!$S313)</f>
        <v>4</v>
      </c>
      <c r="X313" s="19" t="str">
        <f>IF(Clean_Data!$W313&lt;=10,"Close Match","Normal")</f>
        <v>Close Match</v>
      </c>
      <c r="Y313" s="19">
        <f>Clean_Data!$G313+Clean_Data!$J313</f>
        <v>251</v>
      </c>
      <c r="Z313" s="19" t="str">
        <f>IF(Clean_Data!$Y313&gt;=170,"170+ Match","Below 170")</f>
        <v>170+ Match</v>
      </c>
      <c r="AA313" s="19" t="s">
        <v>44</v>
      </c>
      <c r="AB313" s="21" t="s">
        <v>225</v>
      </c>
    </row>
    <row r="314" spans="1:28" x14ac:dyDescent="0.3">
      <c r="A314" s="16" t="s">
        <v>304</v>
      </c>
      <c r="B314" s="5" t="str">
        <f>LEFT(Clean_Data!$A314,4)</f>
        <v>2021</v>
      </c>
      <c r="C314" s="5" t="s">
        <v>556</v>
      </c>
      <c r="D314" s="5" t="str">
        <f>IF(ISNUMBER(SEARCH("Final",Clean_Data!$C314)),"Final",
IF(ISNUMBER(SEARCH("Semi",Clean_Data!$C314)),"Semi-Final",
IF(ISNUMBER(SEARCH("Elimination",Clean_Data!$C314)),"Eliminator",
"League")))</f>
        <v>League</v>
      </c>
      <c r="E314" s="6" t="s">
        <v>555</v>
      </c>
      <c r="F314" s="5" t="s">
        <v>312</v>
      </c>
      <c r="G314" s="5">
        <v>183</v>
      </c>
      <c r="H314" s="5">
        <v>6</v>
      </c>
      <c r="I314" s="5" t="s">
        <v>277</v>
      </c>
      <c r="J314" s="5">
        <v>186</v>
      </c>
      <c r="K314" s="5">
        <v>5</v>
      </c>
      <c r="L314" s="5" t="s">
        <v>501</v>
      </c>
      <c r="M314" s="5" t="s">
        <v>277</v>
      </c>
      <c r="N314" s="5" t="s">
        <v>26</v>
      </c>
      <c r="O314" s="5" t="s">
        <v>277</v>
      </c>
      <c r="P314" s="5" t="str">
        <f>IF(Clean_Data!$G314&gt;Clean_Data!$J314,Clean_Data!$F314,Clean_Data!$I314)</f>
        <v>Khulna Tigers</v>
      </c>
      <c r="Q314" s="5" t="s">
        <v>28</v>
      </c>
      <c r="R314" s="5" t="s">
        <v>29</v>
      </c>
      <c r="S314" s="5">
        <v>5</v>
      </c>
      <c r="T314" s="5">
        <v>0</v>
      </c>
      <c r="U314" s="5" t="s">
        <v>55</v>
      </c>
      <c r="V314" s="5" t="str">
        <f>IF(Clean_Data!$T314&gt;0,"Runs","Wickets")</f>
        <v>Wickets</v>
      </c>
      <c r="W314" s="5">
        <f>IF(Clean_Data!$T314&gt;0,Clean_Data!$T314,Clean_Data!$S314)</f>
        <v>5</v>
      </c>
      <c r="X314" s="5" t="str">
        <f>IF(Clean_Data!$W314&lt;=10,"Close Match","Normal")</f>
        <v>Close Match</v>
      </c>
      <c r="Y314" s="5">
        <f>Clean_Data!$G314+Clean_Data!$J314</f>
        <v>369</v>
      </c>
      <c r="Z314" s="5" t="str">
        <f>IF(Clean_Data!$Y314&gt;=170,"170+ Match","Below 170")</f>
        <v>170+ Match</v>
      </c>
      <c r="AA314" s="5" t="s">
        <v>557</v>
      </c>
      <c r="AB314" s="17" t="s">
        <v>66</v>
      </c>
    </row>
    <row r="315" spans="1:28" x14ac:dyDescent="0.3">
      <c r="A315" s="18" t="s">
        <v>304</v>
      </c>
      <c r="B315" s="19" t="str">
        <f>LEFT(Clean_Data!$A315,4)</f>
        <v>2021</v>
      </c>
      <c r="C315" s="19" t="s">
        <v>195</v>
      </c>
      <c r="D315" s="19" t="str">
        <f>IF(ISNUMBER(SEARCH("Final",Clean_Data!$C315)),"Final",
IF(ISNUMBER(SEARCH("Semi",Clean_Data!$C315)),"Semi-Final",
IF(ISNUMBER(SEARCH("Elimination",Clean_Data!$C315)),"Eliminator",
"League")))</f>
        <v>League</v>
      </c>
      <c r="E315" s="20" t="s">
        <v>553</v>
      </c>
      <c r="F315" s="19" t="s">
        <v>307</v>
      </c>
      <c r="G315" s="19">
        <v>96</v>
      </c>
      <c r="H315" s="19">
        <v>10</v>
      </c>
      <c r="I315" s="19" t="s">
        <v>143</v>
      </c>
      <c r="J315" s="19">
        <v>97</v>
      </c>
      <c r="K315" s="19">
        <v>8</v>
      </c>
      <c r="L315" s="19" t="s">
        <v>440</v>
      </c>
      <c r="M315" s="19" t="s">
        <v>143</v>
      </c>
      <c r="N315" s="19" t="s">
        <v>26</v>
      </c>
      <c r="O315" s="19" t="s">
        <v>143</v>
      </c>
      <c r="P315" s="19" t="str">
        <f>IF(Clean_Data!$G315&gt;Clean_Data!$J315,Clean_Data!$F315,Clean_Data!$I315)</f>
        <v>Comilla Victorians</v>
      </c>
      <c r="Q315" s="19" t="s">
        <v>28</v>
      </c>
      <c r="R315" s="19" t="s">
        <v>29</v>
      </c>
      <c r="S315" s="19">
        <v>2</v>
      </c>
      <c r="T315" s="19">
        <v>0</v>
      </c>
      <c r="U315" s="19" t="s">
        <v>281</v>
      </c>
      <c r="V315" s="19" t="str">
        <f>IF(Clean_Data!$T315&gt;0,"Runs","Wickets")</f>
        <v>Wickets</v>
      </c>
      <c r="W315" s="19">
        <f>IF(Clean_Data!$T315&gt;0,Clean_Data!$T315,Clean_Data!$S315)</f>
        <v>2</v>
      </c>
      <c r="X315" s="19" t="str">
        <f>IF(Clean_Data!$W315&lt;=10,"Close Match","Normal")</f>
        <v>Close Match</v>
      </c>
      <c r="Y315" s="19">
        <f>Clean_Data!$G315+Clean_Data!$J315</f>
        <v>193</v>
      </c>
      <c r="Z315" s="19" t="str">
        <f>IF(Clean_Data!$Y315&gt;=170,"170+ Match","Below 170")</f>
        <v>170+ Match</v>
      </c>
      <c r="AA315" s="19" t="s">
        <v>66</v>
      </c>
      <c r="AB315" s="21" t="s">
        <v>557</v>
      </c>
    </row>
    <row r="316" spans="1:28" x14ac:dyDescent="0.3">
      <c r="A316" s="16" t="s">
        <v>304</v>
      </c>
      <c r="B316" s="5" t="str">
        <f>LEFT(Clean_Data!$A316,4)</f>
        <v>2021</v>
      </c>
      <c r="C316" s="5" t="s">
        <v>190</v>
      </c>
      <c r="D316" s="5" t="str">
        <f>IF(ISNUMBER(SEARCH("Final",Clean_Data!$C316)),"Final",
IF(ISNUMBER(SEARCH("Semi",Clean_Data!$C316)),"Semi-Final",
IF(ISNUMBER(SEARCH("Elimination",Clean_Data!$C316)),"Eliminator",
"League")))</f>
        <v>League</v>
      </c>
      <c r="E316" s="6" t="s">
        <v>553</v>
      </c>
      <c r="F316" s="5" t="s">
        <v>280</v>
      </c>
      <c r="G316" s="5">
        <v>161</v>
      </c>
      <c r="H316" s="5">
        <v>8</v>
      </c>
      <c r="I316" s="5" t="s">
        <v>312</v>
      </c>
      <c r="J316" s="5">
        <v>131</v>
      </c>
      <c r="K316" s="5">
        <v>10</v>
      </c>
      <c r="L316" s="5" t="s">
        <v>554</v>
      </c>
      <c r="M316" s="5" t="s">
        <v>312</v>
      </c>
      <c r="N316" s="5" t="s">
        <v>26</v>
      </c>
      <c r="O316" s="5" t="s">
        <v>280</v>
      </c>
      <c r="P316" s="5" t="str">
        <f>IF(Clean_Data!$G316&gt;Clean_Data!$J316,Clean_Data!$F316,Clean_Data!$I316)</f>
        <v>Chattogram Challengers</v>
      </c>
      <c r="Q316" s="5" t="s">
        <v>28</v>
      </c>
      <c r="R316" s="5" t="s">
        <v>29</v>
      </c>
      <c r="S316" s="5">
        <v>0</v>
      </c>
      <c r="T316" s="5">
        <v>30</v>
      </c>
      <c r="U316" s="5" t="s">
        <v>452</v>
      </c>
      <c r="V316" s="5" t="str">
        <f>IF(Clean_Data!$T316&gt;0,"Runs","Wickets")</f>
        <v>Runs</v>
      </c>
      <c r="W316" s="5">
        <f>IF(Clean_Data!$T316&gt;0,Clean_Data!$T316,Clean_Data!$S316)</f>
        <v>30</v>
      </c>
      <c r="X316" s="5" t="str">
        <f>IF(Clean_Data!$W316&lt;=10,"Close Match","Normal")</f>
        <v>Normal</v>
      </c>
      <c r="Y316" s="5">
        <f>Clean_Data!$G316+Clean_Data!$J316</f>
        <v>292</v>
      </c>
      <c r="Z316" s="5" t="str">
        <f>IF(Clean_Data!$Y316&gt;=170,"170+ Match","Below 170")</f>
        <v>170+ Match</v>
      </c>
      <c r="AA316" s="5" t="s">
        <v>44</v>
      </c>
      <c r="AB316" s="17" t="s">
        <v>558</v>
      </c>
    </row>
    <row r="317" spans="1:28" x14ac:dyDescent="0.3">
      <c r="A317" s="18" t="s">
        <v>304</v>
      </c>
      <c r="B317" s="19" t="str">
        <f>LEFT(Clean_Data!$A317,4)</f>
        <v>2021</v>
      </c>
      <c r="C317" s="19" t="s">
        <v>186</v>
      </c>
      <c r="D317" s="19" t="str">
        <f>IF(ISNUMBER(SEARCH("Final",Clean_Data!$C317)),"Final",
IF(ISNUMBER(SEARCH("Semi",Clean_Data!$C317)),"Semi-Final",
IF(ISNUMBER(SEARCH("Elimination",Clean_Data!$C317)),"Eliminator",
"League")))</f>
        <v>League</v>
      </c>
      <c r="E317" s="20" t="s">
        <v>551</v>
      </c>
      <c r="F317" s="19" t="s">
        <v>310</v>
      </c>
      <c r="G317" s="19">
        <v>129</v>
      </c>
      <c r="H317" s="19">
        <v>8</v>
      </c>
      <c r="I317" s="19" t="s">
        <v>312</v>
      </c>
      <c r="J317" s="19">
        <v>130</v>
      </c>
      <c r="K317" s="19">
        <v>6</v>
      </c>
      <c r="L317" s="19" t="s">
        <v>157</v>
      </c>
      <c r="M317" s="19" t="s">
        <v>312</v>
      </c>
      <c r="N317" s="19" t="s">
        <v>26</v>
      </c>
      <c r="O317" s="19" t="s">
        <v>312</v>
      </c>
      <c r="P317" s="19" t="str">
        <f>IF(Clean_Data!$G317&gt;Clean_Data!$J317,Clean_Data!$F317,Clean_Data!$I317)</f>
        <v>Minister Group Dhaka</v>
      </c>
      <c r="Q317" s="19" t="s">
        <v>28</v>
      </c>
      <c r="R317" s="19" t="s">
        <v>29</v>
      </c>
      <c r="S317" s="19">
        <v>4</v>
      </c>
      <c r="T317" s="19">
        <v>0</v>
      </c>
      <c r="U317" s="19" t="s">
        <v>90</v>
      </c>
      <c r="V317" s="19" t="str">
        <f>IF(Clean_Data!$T317&gt;0,"Runs","Wickets")</f>
        <v>Wickets</v>
      </c>
      <c r="W317" s="19">
        <f>IF(Clean_Data!$T317&gt;0,Clean_Data!$T317,Clean_Data!$S317)</f>
        <v>4</v>
      </c>
      <c r="X317" s="19" t="str">
        <f>IF(Clean_Data!$W317&lt;=10,"Close Match","Normal")</f>
        <v>Close Match</v>
      </c>
      <c r="Y317" s="19">
        <f>Clean_Data!$G317+Clean_Data!$J317</f>
        <v>259</v>
      </c>
      <c r="Z317" s="19" t="str">
        <f>IF(Clean_Data!$Y317&gt;=170,"170+ Match","Below 170")</f>
        <v>170+ Match</v>
      </c>
      <c r="AA317" s="19" t="s">
        <v>66</v>
      </c>
      <c r="AB317" s="21" t="s">
        <v>225</v>
      </c>
    </row>
    <row r="318" spans="1:28" x14ac:dyDescent="0.3">
      <c r="A318" s="16" t="s">
        <v>304</v>
      </c>
      <c r="B318" s="5" t="str">
        <f>LEFT(Clean_Data!$A318,4)</f>
        <v>2021</v>
      </c>
      <c r="C318" s="5" t="s">
        <v>180</v>
      </c>
      <c r="D318" s="5" t="str">
        <f>IF(ISNUMBER(SEARCH("Final",Clean_Data!$C318)),"Final",
IF(ISNUMBER(SEARCH("Semi",Clean_Data!$C318)),"Semi-Final",
IF(ISNUMBER(SEARCH("Elimination",Clean_Data!$C318)),"Eliminator",
"League")))</f>
        <v>League</v>
      </c>
      <c r="E318" s="6" t="s">
        <v>551</v>
      </c>
      <c r="F318" s="5" t="s">
        <v>280</v>
      </c>
      <c r="G318" s="5">
        <v>190</v>
      </c>
      <c r="H318" s="5">
        <v>7</v>
      </c>
      <c r="I318" s="5" t="s">
        <v>277</v>
      </c>
      <c r="J318" s="5">
        <v>165</v>
      </c>
      <c r="K318" s="5">
        <v>9</v>
      </c>
      <c r="L318" s="5" t="s">
        <v>552</v>
      </c>
      <c r="M318" s="5" t="s">
        <v>277</v>
      </c>
      <c r="N318" s="5" t="s">
        <v>26</v>
      </c>
      <c r="O318" s="5" t="s">
        <v>280</v>
      </c>
      <c r="P318" s="5" t="str">
        <f>IF(Clean_Data!$G318&gt;Clean_Data!$J318,Clean_Data!$F318,Clean_Data!$I318)</f>
        <v>Chattogram Challengers</v>
      </c>
      <c r="Q318" s="5" t="s">
        <v>28</v>
      </c>
      <c r="R318" s="5" t="s">
        <v>29</v>
      </c>
      <c r="S318" s="5">
        <v>0</v>
      </c>
      <c r="T318" s="5">
        <v>25</v>
      </c>
      <c r="U318" s="5" t="s">
        <v>240</v>
      </c>
      <c r="V318" s="5" t="str">
        <f>IF(Clean_Data!$T318&gt;0,"Runs","Wickets")</f>
        <v>Runs</v>
      </c>
      <c r="W318" s="5">
        <f>IF(Clean_Data!$T318&gt;0,Clean_Data!$T318,Clean_Data!$S318)</f>
        <v>25</v>
      </c>
      <c r="X318" s="5" t="str">
        <f>IF(Clean_Data!$W318&lt;=10,"Close Match","Normal")</f>
        <v>Normal</v>
      </c>
      <c r="Y318" s="5">
        <f>Clean_Data!$G318+Clean_Data!$J318</f>
        <v>355</v>
      </c>
      <c r="Z318" s="5" t="str">
        <f>IF(Clean_Data!$Y318&gt;=170,"170+ Match","Below 170")</f>
        <v>170+ Match</v>
      </c>
      <c r="AA318" s="5" t="s">
        <v>216</v>
      </c>
      <c r="AB318" s="17" t="s">
        <v>44</v>
      </c>
    </row>
    <row r="319" spans="1:28" x14ac:dyDescent="0.3">
      <c r="A319" s="18" t="s">
        <v>304</v>
      </c>
      <c r="B319" s="19" t="str">
        <f>LEFT(Clean_Data!$A319,4)</f>
        <v>2021</v>
      </c>
      <c r="C319" s="19" t="s">
        <v>176</v>
      </c>
      <c r="D319" s="19" t="str">
        <f>IF(ISNUMBER(SEARCH("Final",Clean_Data!$C319)),"Final",
IF(ISNUMBER(SEARCH("Semi",Clean_Data!$C319)),"Semi-Final",
IF(ISNUMBER(SEARCH("Elimination",Clean_Data!$C319)),"Eliminator",
"League")))</f>
        <v>League</v>
      </c>
      <c r="E319" s="20" t="s">
        <v>548</v>
      </c>
      <c r="F319" s="19" t="s">
        <v>312</v>
      </c>
      <c r="G319" s="19">
        <v>100</v>
      </c>
      <c r="H319" s="19">
        <v>10</v>
      </c>
      <c r="I319" s="19" t="s">
        <v>307</v>
      </c>
      <c r="J319" s="19">
        <v>101</v>
      </c>
      <c r="K319" s="19">
        <v>3</v>
      </c>
      <c r="L319" s="19" t="s">
        <v>448</v>
      </c>
      <c r="M319" s="19" t="s">
        <v>307</v>
      </c>
      <c r="N319" s="19" t="s">
        <v>26</v>
      </c>
      <c r="O319" s="19" t="s">
        <v>307</v>
      </c>
      <c r="P319" s="19" t="str">
        <f>IF(Clean_Data!$G319&gt;Clean_Data!$J319,Clean_Data!$F319,Clean_Data!$I319)</f>
        <v>Sylhet Sunrisers</v>
      </c>
      <c r="Q319" s="19" t="s">
        <v>28</v>
      </c>
      <c r="R319" s="19" t="s">
        <v>29</v>
      </c>
      <c r="S319" s="19">
        <v>7</v>
      </c>
      <c r="T319" s="19">
        <v>0</v>
      </c>
      <c r="U319" s="19" t="s">
        <v>118</v>
      </c>
      <c r="V319" s="19" t="str">
        <f>IF(Clean_Data!$T319&gt;0,"Runs","Wickets")</f>
        <v>Wickets</v>
      </c>
      <c r="W319" s="19">
        <f>IF(Clean_Data!$T319&gt;0,Clean_Data!$T319,Clean_Data!$S319)</f>
        <v>7</v>
      </c>
      <c r="X319" s="19" t="str">
        <f>IF(Clean_Data!$W319&lt;=10,"Close Match","Normal")</f>
        <v>Close Match</v>
      </c>
      <c r="Y319" s="19">
        <f>Clean_Data!$G319+Clean_Data!$J319</f>
        <v>201</v>
      </c>
      <c r="Z319" s="19" t="str">
        <f>IF(Clean_Data!$Y319&gt;=170,"170+ Match","Below 170")</f>
        <v>170+ Match</v>
      </c>
      <c r="AA319" s="19" t="s">
        <v>66</v>
      </c>
      <c r="AB319" s="21" t="s">
        <v>44</v>
      </c>
    </row>
    <row r="320" spans="1:28" x14ac:dyDescent="0.3">
      <c r="A320" s="16" t="s">
        <v>304</v>
      </c>
      <c r="B320" s="5" t="str">
        <f>LEFT(Clean_Data!$A320,4)</f>
        <v>2021</v>
      </c>
      <c r="C320" s="5" t="s">
        <v>170</v>
      </c>
      <c r="D320" s="5" t="str">
        <f>IF(ISNUMBER(SEARCH("Final",Clean_Data!$C320)),"Final",
IF(ISNUMBER(SEARCH("Semi",Clean_Data!$C320)),"Semi-Final",
IF(ISNUMBER(SEARCH("Elimination",Clean_Data!$C320)),"Eliminator",
"League")))</f>
        <v>League</v>
      </c>
      <c r="E320" s="6" t="s">
        <v>548</v>
      </c>
      <c r="F320" s="5" t="s">
        <v>143</v>
      </c>
      <c r="G320" s="5">
        <v>158</v>
      </c>
      <c r="H320" s="5">
        <v>7</v>
      </c>
      <c r="I320" s="5" t="s">
        <v>310</v>
      </c>
      <c r="J320" s="5">
        <v>95</v>
      </c>
      <c r="K320" s="5">
        <v>10</v>
      </c>
      <c r="L320" s="5" t="s">
        <v>440</v>
      </c>
      <c r="M320" s="5" t="s">
        <v>310</v>
      </c>
      <c r="N320" s="5" t="s">
        <v>26</v>
      </c>
      <c r="O320" s="5" t="s">
        <v>143</v>
      </c>
      <c r="P320" s="5" t="str">
        <f>IF(Clean_Data!$G320&gt;Clean_Data!$J320,Clean_Data!$F320,Clean_Data!$I320)</f>
        <v>Comilla Victorians</v>
      </c>
      <c r="Q320" s="5" t="s">
        <v>28</v>
      </c>
      <c r="R320" s="5" t="s">
        <v>29</v>
      </c>
      <c r="S320" s="5">
        <v>0</v>
      </c>
      <c r="T320" s="5">
        <v>63</v>
      </c>
      <c r="U320" s="5" t="s">
        <v>549</v>
      </c>
      <c r="V320" s="5" t="str">
        <f>IF(Clean_Data!$T320&gt;0,"Runs","Wickets")</f>
        <v>Runs</v>
      </c>
      <c r="W320" s="5">
        <f>IF(Clean_Data!$T320&gt;0,Clean_Data!$T320,Clean_Data!$S320)</f>
        <v>63</v>
      </c>
      <c r="X320" s="5" t="str">
        <f>IF(Clean_Data!$W320&lt;=10,"Close Match","Normal")</f>
        <v>Normal</v>
      </c>
      <c r="Y320" s="5">
        <f>Clean_Data!$G320+Clean_Data!$J320</f>
        <v>253</v>
      </c>
      <c r="Z320" s="5" t="str">
        <f>IF(Clean_Data!$Y320&gt;=170,"170+ Match","Below 170")</f>
        <v>170+ Match</v>
      </c>
      <c r="AA320" s="5" t="s">
        <v>216</v>
      </c>
      <c r="AB320" s="17" t="s">
        <v>225</v>
      </c>
    </row>
    <row r="321" spans="1:28" x14ac:dyDescent="0.3">
      <c r="A321" s="18" t="s">
        <v>304</v>
      </c>
      <c r="B321" s="19" t="str">
        <f>LEFT(Clean_Data!$A321,4)</f>
        <v>2021</v>
      </c>
      <c r="C321" s="19" t="s">
        <v>168</v>
      </c>
      <c r="D321" s="19" t="str">
        <f>IF(ISNUMBER(SEARCH("Final",Clean_Data!$C321)),"Final",
IF(ISNUMBER(SEARCH("Semi",Clean_Data!$C321)),"Semi-Final",
IF(ISNUMBER(SEARCH("Elimination",Clean_Data!$C321)),"Eliminator",
"League")))</f>
        <v>League</v>
      </c>
      <c r="E321" s="20" t="s">
        <v>547</v>
      </c>
      <c r="F321" s="19" t="s">
        <v>280</v>
      </c>
      <c r="G321" s="19">
        <v>143</v>
      </c>
      <c r="H321" s="19">
        <v>8</v>
      </c>
      <c r="I321" s="19" t="s">
        <v>277</v>
      </c>
      <c r="J321" s="19">
        <v>144</v>
      </c>
      <c r="K321" s="19">
        <v>4</v>
      </c>
      <c r="L321" s="19" t="s">
        <v>308</v>
      </c>
      <c r="M321" s="19" t="s">
        <v>277</v>
      </c>
      <c r="N321" s="19" t="s">
        <v>26</v>
      </c>
      <c r="O321" s="19" t="s">
        <v>277</v>
      </c>
      <c r="P321" s="19" t="str">
        <f>IF(Clean_Data!$G321&gt;Clean_Data!$J321,Clean_Data!$F321,Clean_Data!$I321)</f>
        <v>Khulna Tigers</v>
      </c>
      <c r="Q321" s="19" t="s">
        <v>28</v>
      </c>
      <c r="R321" s="19" t="s">
        <v>29</v>
      </c>
      <c r="S321" s="19">
        <v>6</v>
      </c>
      <c r="T321" s="19">
        <v>0</v>
      </c>
      <c r="U321" s="19" t="s">
        <v>151</v>
      </c>
      <c r="V321" s="19" t="str">
        <f>IF(Clean_Data!$T321&gt;0,"Runs","Wickets")</f>
        <v>Wickets</v>
      </c>
      <c r="W321" s="19">
        <f>IF(Clean_Data!$T321&gt;0,Clean_Data!$T321,Clean_Data!$S321)</f>
        <v>6</v>
      </c>
      <c r="X321" s="19" t="str">
        <f>IF(Clean_Data!$W321&lt;=10,"Close Match","Normal")</f>
        <v>Close Match</v>
      </c>
      <c r="Y321" s="19">
        <f>Clean_Data!$G321+Clean_Data!$J321</f>
        <v>287</v>
      </c>
      <c r="Z321" s="19" t="str">
        <f>IF(Clean_Data!$Y321&gt;=170,"170+ Match","Below 170")</f>
        <v>170+ Match</v>
      </c>
      <c r="AA321" s="19" t="s">
        <v>66</v>
      </c>
      <c r="AB321" s="21" t="s">
        <v>225</v>
      </c>
    </row>
    <row r="322" spans="1:28" x14ac:dyDescent="0.3">
      <c r="A322" s="16" t="s">
        <v>304</v>
      </c>
      <c r="B322" s="5" t="str">
        <f>LEFT(Clean_Data!$A322,4)</f>
        <v>2021</v>
      </c>
      <c r="C322" s="5" t="s">
        <v>163</v>
      </c>
      <c r="D322" s="5" t="str">
        <f>IF(ISNUMBER(SEARCH("Final",Clean_Data!$C322)),"Final",
IF(ISNUMBER(SEARCH("Semi",Clean_Data!$C322)),"Semi-Final",
IF(ISNUMBER(SEARCH("Elimination",Clean_Data!$C322)),"Eliminator",
"League")))</f>
        <v>League</v>
      </c>
      <c r="E322" s="6" t="s">
        <v>547</v>
      </c>
      <c r="F322" s="5" t="s">
        <v>307</v>
      </c>
      <c r="G322" s="5">
        <v>175</v>
      </c>
      <c r="H322" s="5">
        <v>5</v>
      </c>
      <c r="I322" s="5" t="s">
        <v>312</v>
      </c>
      <c r="J322" s="5">
        <v>177</v>
      </c>
      <c r="K322" s="5">
        <v>1</v>
      </c>
      <c r="L322" s="5" t="s">
        <v>253</v>
      </c>
      <c r="M322" s="5" t="s">
        <v>312</v>
      </c>
      <c r="N322" s="5" t="s">
        <v>26</v>
      </c>
      <c r="O322" s="5" t="s">
        <v>312</v>
      </c>
      <c r="P322" s="5" t="str">
        <f>IF(Clean_Data!$G322&gt;Clean_Data!$J322,Clean_Data!$F322,Clean_Data!$I322)</f>
        <v>Minister Group Dhaka</v>
      </c>
      <c r="Q322" s="5" t="s">
        <v>88</v>
      </c>
      <c r="R322" s="5" t="s">
        <v>89</v>
      </c>
      <c r="S322" s="5">
        <v>9</v>
      </c>
      <c r="T322" s="5">
        <v>0</v>
      </c>
      <c r="U322" s="5" t="s">
        <v>71</v>
      </c>
      <c r="V322" s="5" t="str">
        <f>IF(Clean_Data!$T322&gt;0,"Runs","Wickets")</f>
        <v>Wickets</v>
      </c>
      <c r="W322" s="5">
        <f>IF(Clean_Data!$T322&gt;0,Clean_Data!$T322,Clean_Data!$S322)</f>
        <v>9</v>
      </c>
      <c r="X322" s="5" t="str">
        <f>IF(Clean_Data!$W322&lt;=10,"Close Match","Normal")</f>
        <v>Close Match</v>
      </c>
      <c r="Y322" s="5">
        <f>Clean_Data!$G322+Clean_Data!$J322</f>
        <v>352</v>
      </c>
      <c r="Z322" s="5" t="str">
        <f>IF(Clean_Data!$Y322&gt;=170,"170+ Match","Below 170")</f>
        <v>170+ Match</v>
      </c>
      <c r="AA322" s="5" t="s">
        <v>50</v>
      </c>
      <c r="AB322" s="17" t="s">
        <v>286</v>
      </c>
    </row>
    <row r="323" spans="1:28" x14ac:dyDescent="0.3">
      <c r="A323" s="18" t="s">
        <v>304</v>
      </c>
      <c r="B323" s="19" t="str">
        <f>LEFT(Clean_Data!$A323,4)</f>
        <v>2021</v>
      </c>
      <c r="C323" s="19" t="s">
        <v>156</v>
      </c>
      <c r="D323" s="19" t="str">
        <f>IF(ISNUMBER(SEARCH("Final",Clean_Data!$C323)),"Final",
IF(ISNUMBER(SEARCH("Semi",Clean_Data!$C323)),"Semi-Final",
IF(ISNUMBER(SEARCH("Elimination",Clean_Data!$C323)),"Eliminator",
"League")))</f>
        <v>League</v>
      </c>
      <c r="E323" s="20" t="s">
        <v>318</v>
      </c>
      <c r="F323" s="19" t="s">
        <v>310</v>
      </c>
      <c r="G323" s="19">
        <v>141</v>
      </c>
      <c r="H323" s="19">
        <v>9</v>
      </c>
      <c r="I323" s="19" t="s">
        <v>277</v>
      </c>
      <c r="J323" s="19">
        <v>124</v>
      </c>
      <c r="K323" s="19">
        <v>10</v>
      </c>
      <c r="L323" s="19" t="s">
        <v>320</v>
      </c>
      <c r="M323" s="19" t="s">
        <v>277</v>
      </c>
      <c r="N323" s="19" t="s">
        <v>26</v>
      </c>
      <c r="O323" s="19" t="s">
        <v>310</v>
      </c>
      <c r="P323" s="19" t="str">
        <f>IF(Clean_Data!$G323&gt;Clean_Data!$J323,Clean_Data!$F323,Clean_Data!$I323)</f>
        <v>Fortune Barishal</v>
      </c>
      <c r="Q323" s="19" t="s">
        <v>88</v>
      </c>
      <c r="R323" s="19" t="s">
        <v>89</v>
      </c>
      <c r="S323" s="19">
        <v>0</v>
      </c>
      <c r="T323" s="19">
        <v>17</v>
      </c>
      <c r="U323" s="19" t="s">
        <v>254</v>
      </c>
      <c r="V323" s="19" t="str">
        <f>IF(Clean_Data!$T323&gt;0,"Runs","Wickets")</f>
        <v>Runs</v>
      </c>
      <c r="W323" s="19">
        <f>IF(Clean_Data!$T323&gt;0,Clean_Data!$T323,Clean_Data!$S323)</f>
        <v>17</v>
      </c>
      <c r="X323" s="19" t="str">
        <f>IF(Clean_Data!$W323&lt;=10,"Close Match","Normal")</f>
        <v>Normal</v>
      </c>
      <c r="Y323" s="19">
        <f>Clean_Data!$G323+Clean_Data!$J323</f>
        <v>265</v>
      </c>
      <c r="Z323" s="19" t="str">
        <f>IF(Clean_Data!$Y323&gt;=170,"170+ Match","Below 170")</f>
        <v>170+ Match</v>
      </c>
      <c r="AA323" s="19" t="s">
        <v>216</v>
      </c>
      <c r="AB323" s="21" t="s">
        <v>286</v>
      </c>
    </row>
    <row r="324" spans="1:28" x14ac:dyDescent="0.3">
      <c r="A324" s="16" t="s">
        <v>304</v>
      </c>
      <c r="B324" s="5" t="str">
        <f>LEFT(Clean_Data!$A324,4)</f>
        <v>2021</v>
      </c>
      <c r="C324" s="5" t="s">
        <v>148</v>
      </c>
      <c r="D324" s="5" t="str">
        <f>IF(ISNUMBER(SEARCH("Final",Clean_Data!$C324)),"Final",
IF(ISNUMBER(SEARCH("Semi",Clean_Data!$C324)),"Semi-Final",
IF(ISNUMBER(SEARCH("Elimination",Clean_Data!$C324)),"Eliminator",
"League")))</f>
        <v>League</v>
      </c>
      <c r="E324" s="6" t="s">
        <v>318</v>
      </c>
      <c r="F324" s="5" t="s">
        <v>280</v>
      </c>
      <c r="G324" s="5">
        <v>202</v>
      </c>
      <c r="H324" s="5">
        <v>5</v>
      </c>
      <c r="I324" s="5" t="s">
        <v>307</v>
      </c>
      <c r="J324" s="5">
        <v>186</v>
      </c>
      <c r="K324" s="5">
        <v>6</v>
      </c>
      <c r="L324" s="5" t="s">
        <v>319</v>
      </c>
      <c r="M324" s="5" t="s">
        <v>307</v>
      </c>
      <c r="N324" s="5" t="s">
        <v>26</v>
      </c>
      <c r="O324" s="5" t="s">
        <v>280</v>
      </c>
      <c r="P324" s="5" t="str">
        <f>IF(Clean_Data!$G324&gt;Clean_Data!$J324,Clean_Data!$F324,Clean_Data!$I324)</f>
        <v>Chattogram Challengers</v>
      </c>
      <c r="Q324" s="5" t="s">
        <v>88</v>
      </c>
      <c r="R324" s="5" t="s">
        <v>89</v>
      </c>
      <c r="S324" s="5">
        <v>0</v>
      </c>
      <c r="T324" s="5">
        <v>16</v>
      </c>
      <c r="U324" s="5" t="s">
        <v>169</v>
      </c>
      <c r="V324" s="5" t="str">
        <f>IF(Clean_Data!$T324&gt;0,"Runs","Wickets")</f>
        <v>Runs</v>
      </c>
      <c r="W324" s="5">
        <f>IF(Clean_Data!$T324&gt;0,Clean_Data!$T324,Clean_Data!$S324)</f>
        <v>16</v>
      </c>
      <c r="X324" s="5" t="str">
        <f>IF(Clean_Data!$W324&lt;=10,"Close Match","Normal")</f>
        <v>Normal</v>
      </c>
      <c r="Y324" s="5">
        <f>Clean_Data!$G324+Clean_Data!$J324</f>
        <v>388</v>
      </c>
      <c r="Z324" s="5" t="str">
        <f>IF(Clean_Data!$Y324&gt;=170,"170+ Match","Below 170")</f>
        <v>170+ Match</v>
      </c>
      <c r="AA324" s="5" t="s">
        <v>50</v>
      </c>
      <c r="AB324" s="17" t="s">
        <v>44</v>
      </c>
    </row>
    <row r="325" spans="1:28" x14ac:dyDescent="0.3">
      <c r="A325" s="18" t="s">
        <v>304</v>
      </c>
      <c r="B325" s="19" t="str">
        <f>LEFT(Clean_Data!$A325,4)</f>
        <v>2021</v>
      </c>
      <c r="C325" s="19" t="s">
        <v>138</v>
      </c>
      <c r="D325" s="19" t="str">
        <f>IF(ISNUMBER(SEARCH("Final",Clean_Data!$C325)),"Final",
IF(ISNUMBER(SEARCH("Semi",Clean_Data!$C325)),"Semi-Final",
IF(ISNUMBER(SEARCH("Elimination",Clean_Data!$C325)),"Eliminator",
"League")))</f>
        <v>League</v>
      </c>
      <c r="E325" s="20" t="s">
        <v>314</v>
      </c>
      <c r="F325" s="19" t="s">
        <v>143</v>
      </c>
      <c r="G325" s="19">
        <v>183</v>
      </c>
      <c r="H325" s="19">
        <v>3</v>
      </c>
      <c r="I325" s="19" t="s">
        <v>280</v>
      </c>
      <c r="J325" s="19">
        <v>131</v>
      </c>
      <c r="K325" s="19">
        <v>10</v>
      </c>
      <c r="L325" s="19" t="s">
        <v>316</v>
      </c>
      <c r="M325" s="19" t="s">
        <v>280</v>
      </c>
      <c r="N325" s="19" t="s">
        <v>26</v>
      </c>
      <c r="O325" s="19" t="s">
        <v>143</v>
      </c>
      <c r="P325" s="19" t="str">
        <f>IF(Clean_Data!$G325&gt;Clean_Data!$J325,Clean_Data!$F325,Clean_Data!$I325)</f>
        <v>Comilla Victorians</v>
      </c>
      <c r="Q325" s="19" t="s">
        <v>88</v>
      </c>
      <c r="R325" s="19" t="s">
        <v>89</v>
      </c>
      <c r="S325" s="19">
        <v>0</v>
      </c>
      <c r="T325" s="19">
        <v>52</v>
      </c>
      <c r="U325" s="19" t="s">
        <v>317</v>
      </c>
      <c r="V325" s="19" t="str">
        <f>IF(Clean_Data!$T325&gt;0,"Runs","Wickets")</f>
        <v>Runs</v>
      </c>
      <c r="W325" s="19">
        <f>IF(Clean_Data!$T325&gt;0,Clean_Data!$T325,Clean_Data!$S325)</f>
        <v>52</v>
      </c>
      <c r="X325" s="19" t="str">
        <f>IF(Clean_Data!$W325&lt;=10,"Close Match","Normal")</f>
        <v>Normal</v>
      </c>
      <c r="Y325" s="19">
        <f>Clean_Data!$G325+Clean_Data!$J325</f>
        <v>314</v>
      </c>
      <c r="Z325" s="19" t="str">
        <f>IF(Clean_Data!$Y325&gt;=170,"170+ Match","Below 170")</f>
        <v>170+ Match</v>
      </c>
      <c r="AA325" s="19" t="s">
        <v>216</v>
      </c>
      <c r="AB325" s="21" t="s">
        <v>44</v>
      </c>
    </row>
    <row r="326" spans="1:28" x14ac:dyDescent="0.3">
      <c r="A326" s="16" t="s">
        <v>304</v>
      </c>
      <c r="B326" s="5" t="str">
        <f>LEFT(Clean_Data!$A326,4)</f>
        <v>2021</v>
      </c>
      <c r="C326" s="5" t="s">
        <v>132</v>
      </c>
      <c r="D326" s="5" t="str">
        <f>IF(ISNUMBER(SEARCH("Final",Clean_Data!$C326)),"Final",
IF(ISNUMBER(SEARCH("Semi",Clean_Data!$C326)),"Semi-Final",
IF(ISNUMBER(SEARCH("Elimination",Clean_Data!$C326)),"Eliminator",
"League")))</f>
        <v>League</v>
      </c>
      <c r="E326" s="6" t="s">
        <v>314</v>
      </c>
      <c r="F326" s="5" t="s">
        <v>310</v>
      </c>
      <c r="G326" s="5">
        <v>145</v>
      </c>
      <c r="H326" s="5">
        <v>10</v>
      </c>
      <c r="I326" s="5" t="s">
        <v>277</v>
      </c>
      <c r="J326" s="5">
        <v>139</v>
      </c>
      <c r="K326" s="5">
        <v>6</v>
      </c>
      <c r="L326" s="5" t="s">
        <v>108</v>
      </c>
      <c r="M326" s="5" t="s">
        <v>310</v>
      </c>
      <c r="N326" s="5" t="s">
        <v>37</v>
      </c>
      <c r="O326" s="5" t="s">
        <v>310</v>
      </c>
      <c r="P326" s="5" t="str">
        <f>IF(Clean_Data!$G326&gt;Clean_Data!$J326,Clean_Data!$F326,Clean_Data!$I326)</f>
        <v>Fortune Barishal</v>
      </c>
      <c r="Q326" s="5" t="s">
        <v>88</v>
      </c>
      <c r="R326" s="5" t="s">
        <v>89</v>
      </c>
      <c r="S326" s="5">
        <v>0</v>
      </c>
      <c r="T326" s="5">
        <v>6</v>
      </c>
      <c r="U326" s="5" t="s">
        <v>315</v>
      </c>
      <c r="V326" s="5" t="str">
        <f>IF(Clean_Data!$T326&gt;0,"Runs","Wickets")</f>
        <v>Runs</v>
      </c>
      <c r="W326" s="5">
        <f>IF(Clean_Data!$T326&gt;0,Clean_Data!$T326,Clean_Data!$S326)</f>
        <v>6</v>
      </c>
      <c r="X326" s="5" t="str">
        <f>IF(Clean_Data!$W326&lt;=10,"Close Match","Normal")</f>
        <v>Close Match</v>
      </c>
      <c r="Y326" s="5">
        <f>Clean_Data!$G326+Clean_Data!$J326</f>
        <v>284</v>
      </c>
      <c r="Z326" s="5" t="str">
        <f>IF(Clean_Data!$Y326&gt;=170,"170+ Match","Below 170")</f>
        <v>170+ Match</v>
      </c>
      <c r="AA326" s="5" t="s">
        <v>50</v>
      </c>
      <c r="AB326" s="17" t="s">
        <v>286</v>
      </c>
    </row>
    <row r="327" spans="1:28" x14ac:dyDescent="0.3">
      <c r="A327" s="18" t="s">
        <v>304</v>
      </c>
      <c r="B327" s="19" t="str">
        <f>LEFT(Clean_Data!$A327,4)</f>
        <v>2021</v>
      </c>
      <c r="C327" s="19" t="s">
        <v>126</v>
      </c>
      <c r="D327" s="19" t="str">
        <f>IF(ISNUMBER(SEARCH("Final",Clean_Data!$C327)),"Final",
IF(ISNUMBER(SEARCH("Semi",Clean_Data!$C327)),"Semi-Final",
IF(ISNUMBER(SEARCH("Elimination",Clean_Data!$C327)),"Eliminator",
"League")))</f>
        <v>League</v>
      </c>
      <c r="E327" s="20" t="s">
        <v>559</v>
      </c>
      <c r="F327" s="19" t="s">
        <v>312</v>
      </c>
      <c r="G327" s="19">
        <v>181</v>
      </c>
      <c r="H327" s="19">
        <v>6</v>
      </c>
      <c r="I327" s="19" t="s">
        <v>143</v>
      </c>
      <c r="J327" s="19">
        <v>131</v>
      </c>
      <c r="K327" s="19">
        <v>10</v>
      </c>
      <c r="L327" s="19" t="s">
        <v>157</v>
      </c>
      <c r="M327" s="19" t="s">
        <v>143</v>
      </c>
      <c r="N327" s="19" t="s">
        <v>26</v>
      </c>
      <c r="O327" s="19" t="s">
        <v>312</v>
      </c>
      <c r="P327" s="19" t="str">
        <f>IF(Clean_Data!$G327&gt;Clean_Data!$J327,Clean_Data!$F327,Clean_Data!$I327)</f>
        <v>Minister Group Dhaka</v>
      </c>
      <c r="Q327" s="19" t="s">
        <v>88</v>
      </c>
      <c r="R327" s="19" t="s">
        <v>89</v>
      </c>
      <c r="S327" s="19">
        <v>0</v>
      </c>
      <c r="T327" s="19">
        <v>50</v>
      </c>
      <c r="U327" s="19" t="s">
        <v>313</v>
      </c>
      <c r="V327" s="19" t="str">
        <f>IF(Clean_Data!$T327&gt;0,"Runs","Wickets")</f>
        <v>Runs</v>
      </c>
      <c r="W327" s="19">
        <f>IF(Clean_Data!$T327&gt;0,Clean_Data!$T327,Clean_Data!$S327)</f>
        <v>50</v>
      </c>
      <c r="X327" s="19" t="str">
        <f>IF(Clean_Data!$W327&lt;=10,"Close Match","Normal")</f>
        <v>Normal</v>
      </c>
      <c r="Y327" s="19">
        <f>Clean_Data!$G327+Clean_Data!$J327</f>
        <v>312</v>
      </c>
      <c r="Z327" s="19" t="str">
        <f>IF(Clean_Data!$Y327&gt;=170,"170+ Match","Below 170")</f>
        <v>170+ Match</v>
      </c>
      <c r="AA327" s="19" t="s">
        <v>286</v>
      </c>
      <c r="AB327" s="21" t="s">
        <v>225</v>
      </c>
    </row>
    <row r="328" spans="1:28" x14ac:dyDescent="0.3">
      <c r="A328" s="16" t="s">
        <v>304</v>
      </c>
      <c r="B328" s="5" t="str">
        <f>LEFT(Clean_Data!$A328,4)</f>
        <v>2021</v>
      </c>
      <c r="C328" s="5" t="s">
        <v>123</v>
      </c>
      <c r="D328" s="5" t="str">
        <f>IF(ISNUMBER(SEARCH("Final",Clean_Data!$C328)),"Final",
IF(ISNUMBER(SEARCH("Semi",Clean_Data!$C328)),"Semi-Final",
IF(ISNUMBER(SEARCH("Elimination",Clean_Data!$C328)),"Eliminator",
"League")))</f>
        <v>League</v>
      </c>
      <c r="E328" s="6" t="s">
        <v>559</v>
      </c>
      <c r="F328" s="5" t="s">
        <v>310</v>
      </c>
      <c r="G328" s="5">
        <v>149</v>
      </c>
      <c r="H328" s="5">
        <v>10</v>
      </c>
      <c r="I328" s="5" t="s">
        <v>280</v>
      </c>
      <c r="J328" s="5">
        <v>135</v>
      </c>
      <c r="K328" s="5">
        <v>10</v>
      </c>
      <c r="L328" s="5" t="s">
        <v>108</v>
      </c>
      <c r="M328" s="5" t="s">
        <v>310</v>
      </c>
      <c r="N328" s="5" t="s">
        <v>37</v>
      </c>
      <c r="O328" s="5" t="s">
        <v>310</v>
      </c>
      <c r="P328" s="5" t="str">
        <f>IF(Clean_Data!$G328&gt;Clean_Data!$J328,Clean_Data!$F328,Clean_Data!$I328)</f>
        <v>Fortune Barishal</v>
      </c>
      <c r="Q328" s="5" t="s">
        <v>88</v>
      </c>
      <c r="R328" s="5" t="s">
        <v>89</v>
      </c>
      <c r="S328" s="5">
        <v>0</v>
      </c>
      <c r="T328" s="5">
        <v>14</v>
      </c>
      <c r="U328" s="5" t="s">
        <v>135</v>
      </c>
      <c r="V328" s="5" t="str">
        <f>IF(Clean_Data!$T328&gt;0,"Runs","Wickets")</f>
        <v>Runs</v>
      </c>
      <c r="W328" s="5">
        <f>IF(Clean_Data!$T328&gt;0,Clean_Data!$T328,Clean_Data!$S328)</f>
        <v>14</v>
      </c>
      <c r="X328" s="5" t="str">
        <f>IF(Clean_Data!$W328&lt;=10,"Close Match","Normal")</f>
        <v>Normal</v>
      </c>
      <c r="Y328" s="5">
        <f>Clean_Data!$G328+Clean_Data!$J328</f>
        <v>284</v>
      </c>
      <c r="Z328" s="5" t="str">
        <f>IF(Clean_Data!$Y328&gt;=170,"170+ Match","Below 170")</f>
        <v>170+ Match</v>
      </c>
      <c r="AA328" s="5" t="s">
        <v>50</v>
      </c>
      <c r="AB328" s="17" t="s">
        <v>66</v>
      </c>
    </row>
    <row r="329" spans="1:28" x14ac:dyDescent="0.3">
      <c r="A329" s="18" t="s">
        <v>304</v>
      </c>
      <c r="B329" s="19" t="str">
        <f>LEFT(Clean_Data!$A329,4)</f>
        <v>2021</v>
      </c>
      <c r="C329" s="19" t="s">
        <v>116</v>
      </c>
      <c r="D329" s="19" t="str">
        <f>IF(ISNUMBER(SEARCH("Final",Clean_Data!$C329)),"Final",
IF(ISNUMBER(SEARCH("Semi",Clean_Data!$C329)),"Semi-Final",
IF(ISNUMBER(SEARCH("Elimination",Clean_Data!$C329)),"Eliminator",
"League")))</f>
        <v>League</v>
      </c>
      <c r="E329" s="20" t="s">
        <v>560</v>
      </c>
      <c r="F329" s="19" t="s">
        <v>307</v>
      </c>
      <c r="G329" s="19">
        <v>142</v>
      </c>
      <c r="H329" s="19">
        <v>5</v>
      </c>
      <c r="I329" s="19" t="s">
        <v>277</v>
      </c>
      <c r="J329" s="19">
        <v>144</v>
      </c>
      <c r="K329" s="19">
        <v>1</v>
      </c>
      <c r="L329" s="19" t="s">
        <v>308</v>
      </c>
      <c r="M329" s="19" t="s">
        <v>277</v>
      </c>
      <c r="N329" s="19" t="s">
        <v>26</v>
      </c>
      <c r="O329" s="19" t="s">
        <v>277</v>
      </c>
      <c r="P329" s="19" t="str">
        <f>IF(Clean_Data!$G329&gt;Clean_Data!$J329,Clean_Data!$F329,Clean_Data!$I329)</f>
        <v>Khulna Tigers</v>
      </c>
      <c r="Q329" s="19" t="s">
        <v>28</v>
      </c>
      <c r="R329" s="19" t="s">
        <v>29</v>
      </c>
      <c r="S329" s="19">
        <v>9</v>
      </c>
      <c r="T329" s="19">
        <v>0</v>
      </c>
      <c r="U329" s="19" t="s">
        <v>71</v>
      </c>
      <c r="V329" s="19" t="str">
        <f>IF(Clean_Data!$T329&gt;0,"Runs","Wickets")</f>
        <v>Wickets</v>
      </c>
      <c r="W329" s="19">
        <f>IF(Clean_Data!$T329&gt;0,Clean_Data!$T329,Clean_Data!$S329)</f>
        <v>9</v>
      </c>
      <c r="X329" s="19" t="str">
        <f>IF(Clean_Data!$W329&lt;=10,"Close Match","Normal")</f>
        <v>Close Match</v>
      </c>
      <c r="Y329" s="19">
        <f>Clean_Data!$G329+Clean_Data!$J329</f>
        <v>286</v>
      </c>
      <c r="Z329" s="19" t="str">
        <f>IF(Clean_Data!$Y329&gt;=170,"170+ Match","Below 170")</f>
        <v>170+ Match</v>
      </c>
      <c r="AA329" s="19" t="s">
        <v>66</v>
      </c>
      <c r="AB329" s="21" t="s">
        <v>216</v>
      </c>
    </row>
    <row r="330" spans="1:28" x14ac:dyDescent="0.3">
      <c r="A330" s="16" t="s">
        <v>304</v>
      </c>
      <c r="B330" s="5" t="str">
        <f>LEFT(Clean_Data!$A330,4)</f>
        <v>2021</v>
      </c>
      <c r="C330" s="5" t="s">
        <v>110</v>
      </c>
      <c r="D330" s="5" t="str">
        <f>IF(ISNUMBER(SEARCH("Final",Clean_Data!$C330)),"Final",
IF(ISNUMBER(SEARCH("Semi",Clean_Data!$C330)),"Semi-Final",
IF(ISNUMBER(SEARCH("Elimination",Clean_Data!$C330)),"Eliminator",
"League")))</f>
        <v>League</v>
      </c>
      <c r="E330" s="6" t="s">
        <v>560</v>
      </c>
      <c r="F330" s="5" t="s">
        <v>280</v>
      </c>
      <c r="G330" s="5">
        <v>138</v>
      </c>
      <c r="H330" s="5">
        <v>8</v>
      </c>
      <c r="I330" s="5" t="s">
        <v>143</v>
      </c>
      <c r="J330" s="5">
        <v>148</v>
      </c>
      <c r="K330" s="5">
        <v>1</v>
      </c>
      <c r="L330" s="5" t="s">
        <v>306</v>
      </c>
      <c r="M330" s="5" t="s">
        <v>143</v>
      </c>
      <c r="N330" s="5" t="s">
        <v>26</v>
      </c>
      <c r="O330" s="5" t="s">
        <v>143</v>
      </c>
      <c r="P330" s="5" t="str">
        <f>IF(Clean_Data!$G330&gt;Clean_Data!$J330,Clean_Data!$F330,Clean_Data!$I330)</f>
        <v>Comilla Victorians</v>
      </c>
      <c r="Q330" s="5" t="s">
        <v>28</v>
      </c>
      <c r="R330" s="5" t="s">
        <v>29</v>
      </c>
      <c r="S330" s="5">
        <v>9</v>
      </c>
      <c r="T330" s="5">
        <v>0</v>
      </c>
      <c r="U330" s="5" t="s">
        <v>71</v>
      </c>
      <c r="V330" s="5" t="str">
        <f>IF(Clean_Data!$T330&gt;0,"Runs","Wickets")</f>
        <v>Wickets</v>
      </c>
      <c r="W330" s="5">
        <f>IF(Clean_Data!$T330&gt;0,Clean_Data!$T330,Clean_Data!$S330)</f>
        <v>9</v>
      </c>
      <c r="X330" s="5" t="str">
        <f>IF(Clean_Data!$W330&lt;=10,"Close Match","Normal")</f>
        <v>Close Match</v>
      </c>
      <c r="Y330" s="5">
        <f>Clean_Data!$G330+Clean_Data!$J330</f>
        <v>286</v>
      </c>
      <c r="Z330" s="5" t="str">
        <f>IF(Clean_Data!$Y330&gt;=170,"170+ Match","Below 170")</f>
        <v>170+ Match</v>
      </c>
      <c r="AA330" s="5" t="s">
        <v>50</v>
      </c>
      <c r="AB330" s="17" t="s">
        <v>286</v>
      </c>
    </row>
    <row r="331" spans="1:28" x14ac:dyDescent="0.3">
      <c r="A331" s="18" t="s">
        <v>304</v>
      </c>
      <c r="B331" s="19" t="str">
        <f>LEFT(Clean_Data!$A331,4)</f>
        <v>2021</v>
      </c>
      <c r="C331" s="19" t="s">
        <v>91</v>
      </c>
      <c r="D331" s="19" t="str">
        <f>IF(ISNUMBER(SEARCH("Final",Clean_Data!$C331)),"Final",
IF(ISNUMBER(SEARCH("Semi",Clean_Data!$C331)),"Semi-Final",
IF(ISNUMBER(SEARCH("Elimination",Clean_Data!$C331)),"Eliminator",
"League")))</f>
        <v>League</v>
      </c>
      <c r="E331" s="20" t="s">
        <v>561</v>
      </c>
      <c r="F331" s="19" t="s">
        <v>310</v>
      </c>
      <c r="G331" s="19">
        <v>155</v>
      </c>
      <c r="H331" s="19">
        <v>5</v>
      </c>
      <c r="I331" s="19" t="s">
        <v>143</v>
      </c>
      <c r="J331" s="19">
        <v>123</v>
      </c>
      <c r="K331" s="19">
        <v>9</v>
      </c>
      <c r="L331" s="19" t="s">
        <v>108</v>
      </c>
      <c r="M331" s="19" t="s">
        <v>143</v>
      </c>
      <c r="N331" s="19" t="s">
        <v>26</v>
      </c>
      <c r="O331" s="19" t="s">
        <v>310</v>
      </c>
      <c r="P331" s="19" t="str">
        <f>IF(Clean_Data!$G331&gt;Clean_Data!$J331,Clean_Data!$F331,Clean_Data!$I331)</f>
        <v>Fortune Barishal</v>
      </c>
      <c r="Q331" s="19" t="s">
        <v>469</v>
      </c>
      <c r="R331" s="19" t="s">
        <v>470</v>
      </c>
      <c r="S331" s="19">
        <v>0</v>
      </c>
      <c r="T331" s="19">
        <v>32</v>
      </c>
      <c r="U331" s="19" t="s">
        <v>414</v>
      </c>
      <c r="V331" s="19" t="str">
        <f>IF(Clean_Data!$T331&gt;0,"Runs","Wickets")</f>
        <v>Runs</v>
      </c>
      <c r="W331" s="19">
        <f>IF(Clean_Data!$T331&gt;0,Clean_Data!$T331,Clean_Data!$S331)</f>
        <v>32</v>
      </c>
      <c r="X331" s="19" t="str">
        <f>IF(Clean_Data!$W331&lt;=10,"Close Match","Normal")</f>
        <v>Normal</v>
      </c>
      <c r="Y331" s="19">
        <f>Clean_Data!$G331+Clean_Data!$J331</f>
        <v>278</v>
      </c>
      <c r="Z331" s="19" t="str">
        <f>IF(Clean_Data!$Y331&gt;=170,"170+ Match","Below 170")</f>
        <v>170+ Match</v>
      </c>
      <c r="AA331" s="19" t="s">
        <v>66</v>
      </c>
      <c r="AB331" s="21" t="s">
        <v>562</v>
      </c>
    </row>
    <row r="332" spans="1:28" x14ac:dyDescent="0.3">
      <c r="A332" s="16" t="s">
        <v>304</v>
      </c>
      <c r="B332" s="5" t="str">
        <f>LEFT(Clean_Data!$A332,4)</f>
        <v>2021</v>
      </c>
      <c r="C332" s="5" t="s">
        <v>85</v>
      </c>
      <c r="D332" s="5" t="str">
        <f>IF(ISNUMBER(SEARCH("Final",Clean_Data!$C332)),"Final",
IF(ISNUMBER(SEARCH("Semi",Clean_Data!$C332)),"Semi-Final",
IF(ISNUMBER(SEARCH("Elimination",Clean_Data!$C332)),"Eliminator",
"League")))</f>
        <v>League</v>
      </c>
      <c r="E332" s="6" t="s">
        <v>563</v>
      </c>
      <c r="F332" s="5" t="s">
        <v>277</v>
      </c>
      <c r="G332" s="5">
        <v>182</v>
      </c>
      <c r="H332" s="5">
        <v>3</v>
      </c>
      <c r="I332" s="5" t="s">
        <v>307</v>
      </c>
      <c r="J332" s="5">
        <v>167</v>
      </c>
      <c r="K332" s="5">
        <v>6</v>
      </c>
      <c r="L332" s="5" t="s">
        <v>386</v>
      </c>
      <c r="M332" s="5" t="s">
        <v>307</v>
      </c>
      <c r="N332" s="5" t="s">
        <v>26</v>
      </c>
      <c r="O332" s="5" t="s">
        <v>277</v>
      </c>
      <c r="P332" s="5" t="str">
        <f>IF(Clean_Data!$G332&gt;Clean_Data!$J332,Clean_Data!$F332,Clean_Data!$I332)</f>
        <v>Khulna Tigers</v>
      </c>
      <c r="Q332" s="5" t="s">
        <v>469</v>
      </c>
      <c r="R332" s="5" t="s">
        <v>470</v>
      </c>
      <c r="S332" s="5">
        <v>0</v>
      </c>
      <c r="T332" s="5">
        <v>15</v>
      </c>
      <c r="U332" s="5" t="s">
        <v>530</v>
      </c>
      <c r="V332" s="5" t="str">
        <f>IF(Clean_Data!$T332&gt;0,"Runs","Wickets")</f>
        <v>Runs</v>
      </c>
      <c r="W332" s="5">
        <f>IF(Clean_Data!$T332&gt;0,Clean_Data!$T332,Clean_Data!$S332)</f>
        <v>15</v>
      </c>
      <c r="X332" s="5" t="str">
        <f>IF(Clean_Data!$W332&lt;=10,"Close Match","Normal")</f>
        <v>Normal</v>
      </c>
      <c r="Y332" s="5">
        <f>Clean_Data!$G332+Clean_Data!$J332</f>
        <v>349</v>
      </c>
      <c r="Z332" s="5" t="str">
        <f>IF(Clean_Data!$Y332&gt;=170,"170+ Match","Below 170")</f>
        <v>170+ Match</v>
      </c>
      <c r="AA332" s="5" t="s">
        <v>50</v>
      </c>
      <c r="AB332" s="17" t="s">
        <v>286</v>
      </c>
    </row>
    <row r="333" spans="1:28" x14ac:dyDescent="0.3">
      <c r="A333" s="18" t="s">
        <v>304</v>
      </c>
      <c r="B333" s="19" t="str">
        <f>LEFT(Clean_Data!$A333,4)</f>
        <v>2021</v>
      </c>
      <c r="C333" s="19" t="s">
        <v>78</v>
      </c>
      <c r="D333" s="19" t="str">
        <f>IF(ISNUMBER(SEARCH("Final",Clean_Data!$C333)),"Final",
IF(ISNUMBER(SEARCH("Semi",Clean_Data!$C333)),"Semi-Final",
IF(ISNUMBER(SEARCH("Elimination",Clean_Data!$C333)),"Eliminator",
"League")))</f>
        <v>League</v>
      </c>
      <c r="E333" s="20" t="s">
        <v>564</v>
      </c>
      <c r="F333" s="19" t="s">
        <v>280</v>
      </c>
      <c r="G333" s="19">
        <v>148</v>
      </c>
      <c r="H333" s="19">
        <v>6</v>
      </c>
      <c r="I333" s="19" t="s">
        <v>312</v>
      </c>
      <c r="J333" s="19">
        <v>145</v>
      </c>
      <c r="K333" s="19">
        <v>6</v>
      </c>
      <c r="L333" s="19" t="s">
        <v>565</v>
      </c>
      <c r="M333" s="19" t="s">
        <v>312</v>
      </c>
      <c r="N333" s="19" t="s">
        <v>26</v>
      </c>
      <c r="O333" s="19" t="s">
        <v>280</v>
      </c>
      <c r="P333" s="19" t="str">
        <f>IF(Clean_Data!$G333&gt;Clean_Data!$J333,Clean_Data!$F333,Clean_Data!$I333)</f>
        <v>Chattogram Challengers</v>
      </c>
      <c r="Q333" s="19" t="s">
        <v>469</v>
      </c>
      <c r="R333" s="19" t="s">
        <v>470</v>
      </c>
      <c r="S333" s="19">
        <v>0</v>
      </c>
      <c r="T333" s="19">
        <v>3</v>
      </c>
      <c r="U333" s="19" t="s">
        <v>437</v>
      </c>
      <c r="V333" s="19" t="str">
        <f>IF(Clean_Data!$T333&gt;0,"Runs","Wickets")</f>
        <v>Runs</v>
      </c>
      <c r="W333" s="19">
        <f>IF(Clean_Data!$T333&gt;0,Clean_Data!$T333,Clean_Data!$S333)</f>
        <v>3</v>
      </c>
      <c r="X333" s="19" t="str">
        <f>IF(Clean_Data!$W333&lt;=10,"Close Match","Normal")</f>
        <v>Close Match</v>
      </c>
      <c r="Y333" s="19">
        <f>Clean_Data!$G333+Clean_Data!$J333</f>
        <v>293</v>
      </c>
      <c r="Z333" s="19" t="str">
        <f>IF(Clean_Data!$Y333&gt;=170,"170+ Match","Below 170")</f>
        <v>170+ Match</v>
      </c>
      <c r="AA333" s="19" t="s">
        <v>286</v>
      </c>
      <c r="AB333" s="21" t="s">
        <v>50</v>
      </c>
    </row>
    <row r="334" spans="1:28" x14ac:dyDescent="0.3">
      <c r="A334" s="16" t="s">
        <v>304</v>
      </c>
      <c r="B334" s="5" t="str">
        <f>LEFT(Clean_Data!$A334,4)</f>
        <v>2021</v>
      </c>
      <c r="C334" s="5" t="s">
        <v>68</v>
      </c>
      <c r="D334" s="5" t="str">
        <f>IF(ISNUMBER(SEARCH("Final",Clean_Data!$C334)),"Final",
IF(ISNUMBER(SEARCH("Semi",Clean_Data!$C334)),"Semi-Final",
IF(ISNUMBER(SEARCH("Elimination",Clean_Data!$C334)),"Eliminator",
"League")))</f>
        <v>League</v>
      </c>
      <c r="E334" s="6" t="s">
        <v>564</v>
      </c>
      <c r="F334" s="5" t="s">
        <v>310</v>
      </c>
      <c r="G334" s="5">
        <v>199</v>
      </c>
      <c r="H334" s="5">
        <v>4</v>
      </c>
      <c r="I334" s="5" t="s">
        <v>307</v>
      </c>
      <c r="J334" s="5">
        <v>187</v>
      </c>
      <c r="K334" s="5">
        <v>6</v>
      </c>
      <c r="L334" s="5" t="s">
        <v>108</v>
      </c>
      <c r="M334" s="5" t="s">
        <v>307</v>
      </c>
      <c r="N334" s="5" t="s">
        <v>26</v>
      </c>
      <c r="O334" s="5" t="s">
        <v>310</v>
      </c>
      <c r="P334" s="5" t="str">
        <f>IF(Clean_Data!$G334&gt;Clean_Data!$J334,Clean_Data!$F334,Clean_Data!$I334)</f>
        <v>Fortune Barishal</v>
      </c>
      <c r="Q334" s="5" t="s">
        <v>469</v>
      </c>
      <c r="R334" s="5" t="s">
        <v>470</v>
      </c>
      <c r="S334" s="5">
        <v>0</v>
      </c>
      <c r="T334" s="5">
        <v>12</v>
      </c>
      <c r="U334" s="5" t="s">
        <v>417</v>
      </c>
      <c r="V334" s="5" t="str">
        <f>IF(Clean_Data!$T334&gt;0,"Runs","Wickets")</f>
        <v>Runs</v>
      </c>
      <c r="W334" s="5">
        <f>IF(Clean_Data!$T334&gt;0,Clean_Data!$T334,Clean_Data!$S334)</f>
        <v>12</v>
      </c>
      <c r="X334" s="5" t="str">
        <f>IF(Clean_Data!$W334&lt;=10,"Close Match","Normal")</f>
        <v>Normal</v>
      </c>
      <c r="Y334" s="5">
        <f>Clean_Data!$G334+Clean_Data!$J334</f>
        <v>386</v>
      </c>
      <c r="Z334" s="5" t="str">
        <f>IF(Clean_Data!$Y334&gt;=170,"170+ Match","Below 170")</f>
        <v>170+ Match</v>
      </c>
      <c r="AA334" s="5" t="s">
        <v>562</v>
      </c>
      <c r="AB334" s="17" t="s">
        <v>225</v>
      </c>
    </row>
    <row r="335" spans="1:28" x14ac:dyDescent="0.3">
      <c r="A335" s="18" t="s">
        <v>304</v>
      </c>
      <c r="B335" s="19" t="str">
        <f>LEFT(Clean_Data!$A335,4)</f>
        <v>2021</v>
      </c>
      <c r="C335" s="19" t="s">
        <v>67</v>
      </c>
      <c r="D335" s="19" t="str">
        <f>IF(ISNUMBER(SEARCH("Final",Clean_Data!$C335)),"Final",
IF(ISNUMBER(SEARCH("Semi",Clean_Data!$C335)),"Semi-Final",
IF(ISNUMBER(SEARCH("Elimination",Clean_Data!$C335)),"Eliminator",
"League")))</f>
        <v>League</v>
      </c>
      <c r="E335" s="20" t="s">
        <v>566</v>
      </c>
      <c r="F335" s="19" t="s">
        <v>277</v>
      </c>
      <c r="G335" s="19">
        <v>129</v>
      </c>
      <c r="H335" s="19">
        <v>8</v>
      </c>
      <c r="I335" s="19" t="s">
        <v>312</v>
      </c>
      <c r="J335" s="19">
        <v>131</v>
      </c>
      <c r="K335" s="19">
        <v>5</v>
      </c>
      <c r="L335" s="19" t="s">
        <v>377</v>
      </c>
      <c r="M335" s="19" t="s">
        <v>277</v>
      </c>
      <c r="N335" s="19" t="s">
        <v>37</v>
      </c>
      <c r="O335" s="19" t="s">
        <v>312</v>
      </c>
      <c r="P335" s="19" t="str">
        <f>IF(Clean_Data!$G335&gt;Clean_Data!$J335,Clean_Data!$F335,Clean_Data!$I335)</f>
        <v>Minister Group Dhaka</v>
      </c>
      <c r="Q335" s="19" t="s">
        <v>469</v>
      </c>
      <c r="R335" s="19" t="s">
        <v>470</v>
      </c>
      <c r="S335" s="19">
        <v>5</v>
      </c>
      <c r="T335" s="19">
        <v>0</v>
      </c>
      <c r="U335" s="19" t="s">
        <v>55</v>
      </c>
      <c r="V335" s="19" t="str">
        <f>IF(Clean_Data!$T335&gt;0,"Runs","Wickets")</f>
        <v>Wickets</v>
      </c>
      <c r="W335" s="19">
        <f>IF(Clean_Data!$T335&gt;0,Clean_Data!$T335,Clean_Data!$S335)</f>
        <v>5</v>
      </c>
      <c r="X335" s="19" t="str">
        <f>IF(Clean_Data!$W335&lt;=10,"Close Match","Normal")</f>
        <v>Close Match</v>
      </c>
      <c r="Y335" s="19">
        <f>Clean_Data!$G335+Clean_Data!$J335</f>
        <v>260</v>
      </c>
      <c r="Z335" s="19" t="str">
        <f>IF(Clean_Data!$Y335&gt;=170,"170+ Match","Below 170")</f>
        <v>170+ Match</v>
      </c>
      <c r="AA335" s="19" t="s">
        <v>286</v>
      </c>
      <c r="AB335" s="21" t="s">
        <v>225</v>
      </c>
    </row>
    <row r="336" spans="1:28" x14ac:dyDescent="0.3">
      <c r="A336" s="16" t="s">
        <v>304</v>
      </c>
      <c r="B336" s="5" t="str">
        <f>LEFT(Clean_Data!$A336,4)</f>
        <v>2021</v>
      </c>
      <c r="C336" s="5" t="s">
        <v>60</v>
      </c>
      <c r="D336" s="5" t="str">
        <f>IF(ISNUMBER(SEARCH("Final",Clean_Data!$C336)),"Final",
IF(ISNUMBER(SEARCH("Semi",Clean_Data!$C336)),"Semi-Final",
IF(ISNUMBER(SEARCH("Elimination",Clean_Data!$C336)),"Eliminator",
"League")))</f>
        <v>League</v>
      </c>
      <c r="E336" s="6" t="s">
        <v>566</v>
      </c>
      <c r="F336" s="5" t="s">
        <v>307</v>
      </c>
      <c r="G336" s="5">
        <v>169</v>
      </c>
      <c r="H336" s="5">
        <v>5</v>
      </c>
      <c r="I336" s="5" t="s">
        <v>143</v>
      </c>
      <c r="J336" s="5">
        <v>173</v>
      </c>
      <c r="K336" s="5">
        <v>6</v>
      </c>
      <c r="L336" s="5" t="s">
        <v>567</v>
      </c>
      <c r="M336" s="5" t="s">
        <v>143</v>
      </c>
      <c r="N336" s="5" t="s">
        <v>26</v>
      </c>
      <c r="O336" s="5" t="s">
        <v>143</v>
      </c>
      <c r="P336" s="5" t="str">
        <f>IF(Clean_Data!$G336&gt;Clean_Data!$J336,Clean_Data!$F336,Clean_Data!$I336)</f>
        <v>Comilla Victorians</v>
      </c>
      <c r="Q336" s="5" t="s">
        <v>469</v>
      </c>
      <c r="R336" s="5" t="s">
        <v>470</v>
      </c>
      <c r="S336" s="5">
        <v>4</v>
      </c>
      <c r="T336" s="5">
        <v>0</v>
      </c>
      <c r="U336" s="5" t="s">
        <v>90</v>
      </c>
      <c r="V336" s="5" t="str">
        <f>IF(Clean_Data!$T336&gt;0,"Runs","Wickets")</f>
        <v>Wickets</v>
      </c>
      <c r="W336" s="5">
        <f>IF(Clean_Data!$T336&gt;0,Clean_Data!$T336,Clean_Data!$S336)</f>
        <v>4</v>
      </c>
      <c r="X336" s="5" t="str">
        <f>IF(Clean_Data!$W336&lt;=10,"Close Match","Normal")</f>
        <v>Close Match</v>
      </c>
      <c r="Y336" s="5">
        <f>Clean_Data!$G336+Clean_Data!$J336</f>
        <v>342</v>
      </c>
      <c r="Z336" s="5" t="str">
        <f>IF(Clean_Data!$Y336&gt;=170,"170+ Match","Below 170")</f>
        <v>170+ Match</v>
      </c>
      <c r="AA336" s="5" t="s">
        <v>50</v>
      </c>
      <c r="AB336" s="17" t="s">
        <v>562</v>
      </c>
    </row>
    <row r="337" spans="1:28" x14ac:dyDescent="0.3">
      <c r="A337" s="18" t="s">
        <v>304</v>
      </c>
      <c r="B337" s="19" t="str">
        <f>LEFT(Clean_Data!$A337,4)</f>
        <v>2021</v>
      </c>
      <c r="C337" s="19" t="s">
        <v>58</v>
      </c>
      <c r="D337" s="19" t="str">
        <f>IF(ISNUMBER(SEARCH("Final",Clean_Data!$C337)),"Final",
IF(ISNUMBER(SEARCH("Semi",Clean_Data!$C337)),"Semi-Final",
IF(ISNUMBER(SEARCH("Elimination",Clean_Data!$C337)),"Eliminator",
"League")))</f>
        <v>League</v>
      </c>
      <c r="E337" s="20" t="s">
        <v>568</v>
      </c>
      <c r="F337" s="19" t="s">
        <v>143</v>
      </c>
      <c r="G337" s="19">
        <v>188</v>
      </c>
      <c r="H337" s="19">
        <v>6</v>
      </c>
      <c r="I337" s="19" t="s">
        <v>277</v>
      </c>
      <c r="J337" s="19">
        <v>123</v>
      </c>
      <c r="K337" s="19">
        <v>10</v>
      </c>
      <c r="L337" s="19" t="s">
        <v>569</v>
      </c>
      <c r="M337" s="19" t="s">
        <v>277</v>
      </c>
      <c r="N337" s="19" t="s">
        <v>26</v>
      </c>
      <c r="O337" s="19" t="s">
        <v>143</v>
      </c>
      <c r="P337" s="19" t="str">
        <f>IF(Clean_Data!$G337&gt;Clean_Data!$J337,Clean_Data!$F337,Clean_Data!$I337)</f>
        <v>Comilla Victorians</v>
      </c>
      <c r="Q337" s="19" t="s">
        <v>28</v>
      </c>
      <c r="R337" s="19" t="s">
        <v>29</v>
      </c>
      <c r="S337" s="19">
        <v>0</v>
      </c>
      <c r="T337" s="19">
        <v>65</v>
      </c>
      <c r="U337" s="19" t="s">
        <v>474</v>
      </c>
      <c r="V337" s="19" t="str">
        <f>IF(Clean_Data!$T337&gt;0,"Runs","Wickets")</f>
        <v>Runs</v>
      </c>
      <c r="W337" s="19">
        <f>IF(Clean_Data!$T337&gt;0,Clean_Data!$T337,Clean_Data!$S337)</f>
        <v>65</v>
      </c>
      <c r="X337" s="19" t="str">
        <f>IF(Clean_Data!$W337&lt;=10,"Close Match","Normal")</f>
        <v>Normal</v>
      </c>
      <c r="Y337" s="19">
        <f>Clean_Data!$G337+Clean_Data!$J337</f>
        <v>311</v>
      </c>
      <c r="Z337" s="19" t="str">
        <f>IF(Clean_Data!$Y337&gt;=170,"170+ Match","Below 170")</f>
        <v>170+ Match</v>
      </c>
      <c r="AA337" s="19" t="s">
        <v>66</v>
      </c>
      <c r="AB337" s="21" t="s">
        <v>557</v>
      </c>
    </row>
    <row r="338" spans="1:28" x14ac:dyDescent="0.3">
      <c r="A338" s="16" t="s">
        <v>304</v>
      </c>
      <c r="B338" s="5" t="str">
        <f>LEFT(Clean_Data!$A338,4)</f>
        <v>2021</v>
      </c>
      <c r="C338" s="5" t="s">
        <v>51</v>
      </c>
      <c r="D338" s="5" t="str">
        <f>IF(ISNUMBER(SEARCH("Final",Clean_Data!$C338)),"Final",
IF(ISNUMBER(SEARCH("Semi",Clean_Data!$C338)),"Semi-Final",
IF(ISNUMBER(SEARCH("Elimination",Clean_Data!$C338)),"Eliminator",
"League")))</f>
        <v>League</v>
      </c>
      <c r="E338" s="6" t="s">
        <v>568</v>
      </c>
      <c r="F338" s="5" t="s">
        <v>312</v>
      </c>
      <c r="G338" s="5">
        <v>128</v>
      </c>
      <c r="H338" s="5">
        <v>9</v>
      </c>
      <c r="I338" s="5" t="s">
        <v>310</v>
      </c>
      <c r="J338" s="5">
        <v>129</v>
      </c>
      <c r="K338" s="5">
        <v>2</v>
      </c>
      <c r="L338" s="5" t="s">
        <v>108</v>
      </c>
      <c r="M338" s="5" t="s">
        <v>312</v>
      </c>
      <c r="N338" s="5" t="s">
        <v>37</v>
      </c>
      <c r="O338" s="5" t="s">
        <v>310</v>
      </c>
      <c r="P338" s="5" t="str">
        <f>IF(Clean_Data!$G338&gt;Clean_Data!$J338,Clean_Data!$F338,Clean_Data!$I338)</f>
        <v>Fortune Barishal</v>
      </c>
      <c r="Q338" s="5" t="s">
        <v>28</v>
      </c>
      <c r="R338" s="5" t="s">
        <v>29</v>
      </c>
      <c r="S338" s="5">
        <v>8</v>
      </c>
      <c r="T338" s="5">
        <v>0</v>
      </c>
      <c r="U338" s="5" t="s">
        <v>30</v>
      </c>
      <c r="V338" s="5" t="str">
        <f>IF(Clean_Data!$T338&gt;0,"Runs","Wickets")</f>
        <v>Wickets</v>
      </c>
      <c r="W338" s="5">
        <f>IF(Clean_Data!$T338&gt;0,Clean_Data!$T338,Clean_Data!$S338)</f>
        <v>8</v>
      </c>
      <c r="X338" s="5" t="str">
        <f>IF(Clean_Data!$W338&lt;=10,"Close Match","Normal")</f>
        <v>Close Match</v>
      </c>
      <c r="Y338" s="5">
        <f>Clean_Data!$G338+Clean_Data!$J338</f>
        <v>257</v>
      </c>
      <c r="Z338" s="5" t="str">
        <f>IF(Clean_Data!$Y338&gt;=170,"170+ Match","Below 170")</f>
        <v>170+ Match</v>
      </c>
      <c r="AA338" s="5" t="s">
        <v>50</v>
      </c>
      <c r="AB338" s="17" t="s">
        <v>286</v>
      </c>
    </row>
    <row r="339" spans="1:28" x14ac:dyDescent="0.3">
      <c r="A339" s="18" t="s">
        <v>304</v>
      </c>
      <c r="B339" s="19" t="str">
        <f>LEFT(Clean_Data!$A339,4)</f>
        <v>2021</v>
      </c>
      <c r="C339" s="19" t="s">
        <v>45</v>
      </c>
      <c r="D339" s="19" t="str">
        <f>IF(ISNUMBER(SEARCH("Final",Clean_Data!$C339)),"Final",
IF(ISNUMBER(SEARCH("Semi",Clean_Data!$C339)),"Semi-Final",
IF(ISNUMBER(SEARCH("Elimination",Clean_Data!$C339)),"Eliminator",
"League")))</f>
        <v>League</v>
      </c>
      <c r="E339" s="20" t="s">
        <v>570</v>
      </c>
      <c r="F339" s="19" t="s">
        <v>307</v>
      </c>
      <c r="G339" s="19">
        <v>185</v>
      </c>
      <c r="H339" s="19">
        <v>6</v>
      </c>
      <c r="I339" s="19" t="s">
        <v>280</v>
      </c>
      <c r="J339" s="19">
        <v>188</v>
      </c>
      <c r="K339" s="19">
        <v>6</v>
      </c>
      <c r="L339" s="19" t="s">
        <v>571</v>
      </c>
      <c r="M339" s="19" t="s">
        <v>280</v>
      </c>
      <c r="N339" s="19" t="s">
        <v>26</v>
      </c>
      <c r="O339" s="19" t="s">
        <v>280</v>
      </c>
      <c r="P339" s="19" t="str">
        <f>IF(Clean_Data!$G339&gt;Clean_Data!$J339,Clean_Data!$F339,Clean_Data!$I339)</f>
        <v>Chattogram Challengers</v>
      </c>
      <c r="Q339" s="19" t="s">
        <v>28</v>
      </c>
      <c r="R339" s="19" t="s">
        <v>29</v>
      </c>
      <c r="S339" s="19">
        <v>4</v>
      </c>
      <c r="T339" s="19">
        <v>0</v>
      </c>
      <c r="U339" s="19" t="s">
        <v>90</v>
      </c>
      <c r="V339" s="19" t="str">
        <f>IF(Clean_Data!$T339&gt;0,"Runs","Wickets")</f>
        <v>Wickets</v>
      </c>
      <c r="W339" s="19">
        <f>IF(Clean_Data!$T339&gt;0,Clean_Data!$T339,Clean_Data!$S339)</f>
        <v>4</v>
      </c>
      <c r="X339" s="19" t="str">
        <f>IF(Clean_Data!$W339&lt;=10,"Close Match","Normal")</f>
        <v>Close Match</v>
      </c>
      <c r="Y339" s="19">
        <f>Clean_Data!$G339+Clean_Data!$J339</f>
        <v>373</v>
      </c>
      <c r="Z339" s="19" t="str">
        <f>IF(Clean_Data!$Y339&gt;=170,"170+ Match","Below 170")</f>
        <v>170+ Match</v>
      </c>
      <c r="AA339" s="19" t="s">
        <v>66</v>
      </c>
      <c r="AB339" s="21" t="s">
        <v>286</v>
      </c>
    </row>
    <row r="340" spans="1:28" x14ac:dyDescent="0.3">
      <c r="A340" s="16" t="s">
        <v>304</v>
      </c>
      <c r="B340" s="5" t="str">
        <f>LEFT(Clean_Data!$A340,4)</f>
        <v>2021</v>
      </c>
      <c r="C340" s="5" t="s">
        <v>336</v>
      </c>
      <c r="D340" s="5" t="str">
        <f>IF(ISNUMBER(SEARCH("Final",Clean_Data!$C340)),"Final",
IF(ISNUMBER(SEARCH("Semi",Clean_Data!$C340)),"Semi-Final",
IF(ISNUMBER(SEARCH("Elimination",Clean_Data!$C340)),"Eliminator",
"League")))</f>
        <v>League</v>
      </c>
      <c r="E340" s="6" t="s">
        <v>570</v>
      </c>
      <c r="F340" s="5" t="s">
        <v>143</v>
      </c>
      <c r="G340" s="5">
        <v>182</v>
      </c>
      <c r="H340" s="5">
        <v>5</v>
      </c>
      <c r="I340" s="5" t="s">
        <v>277</v>
      </c>
      <c r="J340" s="5">
        <v>183</v>
      </c>
      <c r="K340" s="5">
        <v>1</v>
      </c>
      <c r="L340" s="5" t="s">
        <v>308</v>
      </c>
      <c r="M340" s="5" t="s">
        <v>143</v>
      </c>
      <c r="N340" s="5" t="s">
        <v>37</v>
      </c>
      <c r="O340" s="5" t="s">
        <v>277</v>
      </c>
      <c r="P340" s="5" t="str">
        <f>IF(Clean_Data!$G340&gt;Clean_Data!$J340,Clean_Data!$F340,Clean_Data!$I340)</f>
        <v>Khulna Tigers</v>
      </c>
      <c r="Q340" s="5" t="s">
        <v>28</v>
      </c>
      <c r="R340" s="5" t="s">
        <v>29</v>
      </c>
      <c r="S340" s="5">
        <v>9</v>
      </c>
      <c r="T340" s="5">
        <v>0</v>
      </c>
      <c r="U340" s="5" t="s">
        <v>71</v>
      </c>
      <c r="V340" s="5" t="str">
        <f>IF(Clean_Data!$T340&gt;0,"Runs","Wickets")</f>
        <v>Wickets</v>
      </c>
      <c r="W340" s="5">
        <f>IF(Clean_Data!$T340&gt;0,Clean_Data!$T340,Clean_Data!$S340)</f>
        <v>9</v>
      </c>
      <c r="X340" s="5" t="str">
        <f>IF(Clean_Data!$W340&lt;=10,"Close Match","Normal")</f>
        <v>Close Match</v>
      </c>
      <c r="Y340" s="5">
        <f>Clean_Data!$G340+Clean_Data!$J340</f>
        <v>365</v>
      </c>
      <c r="Z340" s="5" t="str">
        <f>IF(Clean_Data!$Y340&gt;=170,"170+ Match","Below 170")</f>
        <v>170+ Match</v>
      </c>
      <c r="AA340" s="5" t="s">
        <v>50</v>
      </c>
      <c r="AB340" s="17" t="s">
        <v>558</v>
      </c>
    </row>
    <row r="341" spans="1:28" x14ac:dyDescent="0.3">
      <c r="A341" s="18" t="s">
        <v>304</v>
      </c>
      <c r="B341" s="19" t="str">
        <f>LEFT(Clean_Data!$A341,4)</f>
        <v>2021</v>
      </c>
      <c r="C341" s="19" t="s">
        <v>158</v>
      </c>
      <c r="D341" s="19" t="str">
        <f>IF(ISNUMBER(SEARCH("Final",Clean_Data!$C341)),"Final",
IF(ISNUMBER(SEARCH("Semi",Clean_Data!$C341)),"Semi-Final",
IF(ISNUMBER(SEARCH("Elimination",Clean_Data!$C341)),"Eliminator",
"League")))</f>
        <v>League</v>
      </c>
      <c r="E341" s="20" t="s">
        <v>572</v>
      </c>
      <c r="F341" s="19" t="s">
        <v>280</v>
      </c>
      <c r="G341" s="19">
        <v>189</v>
      </c>
      <c r="H341" s="19">
        <v>5</v>
      </c>
      <c r="I341" s="19" t="s">
        <v>277</v>
      </c>
      <c r="J341" s="19">
        <v>182</v>
      </c>
      <c r="K341" s="19">
        <v>5</v>
      </c>
      <c r="L341" s="19" t="s">
        <v>537</v>
      </c>
      <c r="M341" s="19" t="s">
        <v>277</v>
      </c>
      <c r="N341" s="19" t="s">
        <v>26</v>
      </c>
      <c r="O341" s="19" t="s">
        <v>280</v>
      </c>
      <c r="P341" s="19" t="str">
        <f>IF(Clean_Data!$G341&gt;Clean_Data!$J341,Clean_Data!$F341,Clean_Data!$I341)</f>
        <v>Chattogram Challengers</v>
      </c>
      <c r="Q341" s="19" t="s">
        <v>28</v>
      </c>
      <c r="R341" s="19" t="s">
        <v>29</v>
      </c>
      <c r="S341" s="19">
        <v>0</v>
      </c>
      <c r="T341" s="19">
        <v>7</v>
      </c>
      <c r="U341" s="19" t="s">
        <v>364</v>
      </c>
      <c r="V341" s="19" t="str">
        <f>IF(Clean_Data!$T341&gt;0,"Runs","Wickets")</f>
        <v>Runs</v>
      </c>
      <c r="W341" s="19">
        <f>IF(Clean_Data!$T341&gt;0,Clean_Data!$T341,Clean_Data!$S341)</f>
        <v>7</v>
      </c>
      <c r="X341" s="19" t="str">
        <f>IF(Clean_Data!$W341&lt;=10,"Close Match","Normal")</f>
        <v>Close Match</v>
      </c>
      <c r="Y341" s="19">
        <f>Clean_Data!$G341+Clean_Data!$J341</f>
        <v>371</v>
      </c>
      <c r="Z341" s="19" t="str">
        <f>IF(Clean_Data!$Y341&gt;=170,"170+ Match","Below 170")</f>
        <v>170+ Match</v>
      </c>
      <c r="AA341" s="19" t="s">
        <v>50</v>
      </c>
      <c r="AB341" s="21" t="s">
        <v>286</v>
      </c>
    </row>
    <row r="342" spans="1:28" x14ac:dyDescent="0.3">
      <c r="A342" s="16" t="s">
        <v>304</v>
      </c>
      <c r="B342" s="5" t="str">
        <f>LEFT(Clean_Data!$A342,4)</f>
        <v>2021</v>
      </c>
      <c r="C342" s="5" t="s">
        <v>573</v>
      </c>
      <c r="D342" s="5" t="str">
        <f>IF(ISNUMBER(SEARCH("Final",Clean_Data!$C342)),"Final",
IF(ISNUMBER(SEARCH("Semi",Clean_Data!$C342)),"Semi-Final",
IF(ISNUMBER(SEARCH("Elimination",Clean_Data!$C342)),"Eliminator",
"League")))</f>
        <v>League</v>
      </c>
      <c r="E342" s="6" t="s">
        <v>572</v>
      </c>
      <c r="F342" s="5" t="s">
        <v>310</v>
      </c>
      <c r="G342" s="5">
        <v>143</v>
      </c>
      <c r="H342" s="5">
        <v>8</v>
      </c>
      <c r="I342" s="5" t="s">
        <v>143</v>
      </c>
      <c r="J342" s="5">
        <v>133</v>
      </c>
      <c r="K342" s="5">
        <v>7</v>
      </c>
      <c r="L342" s="5" t="s">
        <v>320</v>
      </c>
      <c r="M342" s="5" t="s">
        <v>143</v>
      </c>
      <c r="N342" s="5" t="s">
        <v>26</v>
      </c>
      <c r="O342" s="5" t="s">
        <v>310</v>
      </c>
      <c r="P342" s="5" t="str">
        <f>IF(Clean_Data!$G342&gt;Clean_Data!$J342,Clean_Data!$F342,Clean_Data!$I342)</f>
        <v>Fortune Barishal</v>
      </c>
      <c r="Q342" s="5" t="s">
        <v>28</v>
      </c>
      <c r="R342" s="5" t="s">
        <v>29</v>
      </c>
      <c r="S342" s="5">
        <v>0</v>
      </c>
      <c r="T342" s="5">
        <v>10</v>
      </c>
      <c r="U342" s="5" t="s">
        <v>384</v>
      </c>
      <c r="V342" s="5" t="str">
        <f>IF(Clean_Data!$T342&gt;0,"Runs","Wickets")</f>
        <v>Runs</v>
      </c>
      <c r="W342" s="5">
        <f>IF(Clean_Data!$T342&gt;0,Clean_Data!$T342,Clean_Data!$S342)</f>
        <v>10</v>
      </c>
      <c r="X342" s="5" t="str">
        <f>IF(Clean_Data!$W342&lt;=10,"Close Match","Normal")</f>
        <v>Close Match</v>
      </c>
      <c r="Y342" s="5">
        <f>Clean_Data!$G342+Clean_Data!$J342</f>
        <v>276</v>
      </c>
      <c r="Z342" s="5" t="str">
        <f>IF(Clean_Data!$Y342&gt;=170,"170+ Match","Below 170")</f>
        <v>170+ Match</v>
      </c>
      <c r="AA342" s="5" t="s">
        <v>66</v>
      </c>
      <c r="AB342" s="17" t="s">
        <v>558</v>
      </c>
    </row>
    <row r="343" spans="1:28" x14ac:dyDescent="0.3">
      <c r="A343" s="18" t="s">
        <v>304</v>
      </c>
      <c r="B343" s="19" t="str">
        <f>LEFT(Clean_Data!$A343,4)</f>
        <v>2021</v>
      </c>
      <c r="C343" s="19" t="s">
        <v>574</v>
      </c>
      <c r="D343" s="19" t="str">
        <f>IF(ISNUMBER(SEARCH("Final",Clean_Data!$C343)),"Final",
IF(ISNUMBER(SEARCH("Semi",Clean_Data!$C343)),"Semi-Final",
IF(ISNUMBER(SEARCH("Elimination",Clean_Data!$C343)),"Eliminator",
"League")))</f>
        <v>League</v>
      </c>
      <c r="E343" s="20" t="s">
        <v>575</v>
      </c>
      <c r="F343" s="19" t="s">
        <v>280</v>
      </c>
      <c r="G343" s="19">
        <v>148</v>
      </c>
      <c r="H343" s="19">
        <v>10</v>
      </c>
      <c r="I343" s="19" t="s">
        <v>143</v>
      </c>
      <c r="J343" s="19">
        <v>149</v>
      </c>
      <c r="K343" s="19">
        <v>3</v>
      </c>
      <c r="L343" s="19" t="s">
        <v>260</v>
      </c>
      <c r="M343" s="19" t="s">
        <v>280</v>
      </c>
      <c r="N343" s="19" t="s">
        <v>37</v>
      </c>
      <c r="O343" s="19" t="s">
        <v>143</v>
      </c>
      <c r="P343" s="19" t="str">
        <f>IF(Clean_Data!$G343&gt;Clean_Data!$J343,Clean_Data!$F343,Clean_Data!$I343)</f>
        <v>Comilla Victorians</v>
      </c>
      <c r="Q343" s="19" t="s">
        <v>28</v>
      </c>
      <c r="R343" s="19" t="s">
        <v>29</v>
      </c>
      <c r="S343" s="19">
        <v>7</v>
      </c>
      <c r="T343" s="19">
        <v>0</v>
      </c>
      <c r="U343" s="19" t="s">
        <v>118</v>
      </c>
      <c r="V343" s="19" t="str">
        <f>IF(Clean_Data!$T343&gt;0,"Runs","Wickets")</f>
        <v>Wickets</v>
      </c>
      <c r="W343" s="19">
        <f>IF(Clean_Data!$T343&gt;0,Clean_Data!$T343,Clean_Data!$S343)</f>
        <v>7</v>
      </c>
      <c r="X343" s="19" t="str">
        <f>IF(Clean_Data!$W343&lt;=10,"Close Match","Normal")</f>
        <v>Close Match</v>
      </c>
      <c r="Y343" s="19">
        <f>Clean_Data!$G343+Clean_Data!$J343</f>
        <v>297</v>
      </c>
      <c r="Z343" s="19" t="str">
        <f>IF(Clean_Data!$Y343&gt;=170,"170+ Match","Below 170")</f>
        <v>170+ Match</v>
      </c>
      <c r="AA343" s="19" t="s">
        <v>558</v>
      </c>
      <c r="AB343" s="21" t="s">
        <v>286</v>
      </c>
    </row>
    <row r="344" spans="1:28" x14ac:dyDescent="0.3">
      <c r="A344" s="16" t="s">
        <v>304</v>
      </c>
      <c r="B344" s="5" t="str">
        <f>LEFT(Clean_Data!$A344,4)</f>
        <v>2021</v>
      </c>
      <c r="C344" s="5" t="s">
        <v>576</v>
      </c>
      <c r="D344" s="5" t="str">
        <f>IF(ISNUMBER(SEARCH("Final",Clean_Data!$C344)),"Final",
IF(ISNUMBER(SEARCH("Semi",Clean_Data!$C344)),"Semi-Final",
IF(ISNUMBER(SEARCH("Elimination",Clean_Data!$C344)),"Eliminator",
"League")))</f>
        <v>Final</v>
      </c>
      <c r="E344" s="6" t="s">
        <v>577</v>
      </c>
      <c r="F344" s="5" t="s">
        <v>143</v>
      </c>
      <c r="G344" s="5">
        <v>151</v>
      </c>
      <c r="H344" s="5">
        <v>9</v>
      </c>
      <c r="I344" s="5" t="s">
        <v>310</v>
      </c>
      <c r="J344" s="5">
        <v>150</v>
      </c>
      <c r="K344" s="5">
        <v>8</v>
      </c>
      <c r="L344" s="5" t="s">
        <v>260</v>
      </c>
      <c r="M344" s="5" t="s">
        <v>143</v>
      </c>
      <c r="N344" s="5" t="s">
        <v>37</v>
      </c>
      <c r="O344" s="5" t="s">
        <v>143</v>
      </c>
      <c r="P344" s="5" t="str">
        <f>IF(Clean_Data!$G344&gt;Clean_Data!$J344,Clean_Data!$F344,Clean_Data!$I344)</f>
        <v>Comilla Victorians</v>
      </c>
      <c r="Q344" s="5" t="s">
        <v>28</v>
      </c>
      <c r="R344" s="5" t="s">
        <v>29</v>
      </c>
      <c r="S344" s="5">
        <v>0</v>
      </c>
      <c r="T344" s="5">
        <v>1</v>
      </c>
      <c r="U344" s="5" t="s">
        <v>578</v>
      </c>
      <c r="V344" s="5" t="str">
        <f>IF(Clean_Data!$T344&gt;0,"Runs","Wickets")</f>
        <v>Runs</v>
      </c>
      <c r="W344" s="5">
        <f>IF(Clean_Data!$T344&gt;0,Clean_Data!$T344,Clean_Data!$S344)</f>
        <v>1</v>
      </c>
      <c r="X344" s="5" t="str">
        <f>IF(Clean_Data!$W344&lt;=10,"Close Match","Normal")</f>
        <v>Close Match</v>
      </c>
      <c r="Y344" s="5">
        <f>Clean_Data!$G344+Clean_Data!$J344</f>
        <v>301</v>
      </c>
      <c r="Z344" s="5" t="str">
        <f>IF(Clean_Data!$Y344&gt;=170,"170+ Match","Below 170")</f>
        <v>170+ Match</v>
      </c>
      <c r="AA344" s="5" t="s">
        <v>66</v>
      </c>
      <c r="AB344" s="17" t="s">
        <v>286</v>
      </c>
    </row>
    <row r="345" spans="1:28" x14ac:dyDescent="0.3">
      <c r="A345" s="18" t="s">
        <v>579</v>
      </c>
      <c r="B345" s="19" t="str">
        <f>LEFT(Clean_Data!$A345,4)</f>
        <v>2022</v>
      </c>
      <c r="C345" s="19" t="s">
        <v>40</v>
      </c>
      <c r="D345" s="19" t="str">
        <f>IF(ISNUMBER(SEARCH("Final",Clean_Data!$C345)),"Final",
IF(ISNUMBER(SEARCH("Semi",Clean_Data!$C345)),"Semi-Final",
IF(ISNUMBER(SEARCH("Elimination",Clean_Data!$C345)),"Eliminator",
"League")))</f>
        <v>League</v>
      </c>
      <c r="E345" s="20" t="s">
        <v>580</v>
      </c>
      <c r="F345" s="19" t="s">
        <v>280</v>
      </c>
      <c r="G345" s="19">
        <v>89</v>
      </c>
      <c r="H345" s="19">
        <v>9</v>
      </c>
      <c r="I345" s="19" t="s">
        <v>581</v>
      </c>
      <c r="J345" s="19">
        <v>90</v>
      </c>
      <c r="K345" s="19">
        <v>2</v>
      </c>
      <c r="L345" s="19" t="s">
        <v>582</v>
      </c>
      <c r="M345" s="19" t="s">
        <v>581</v>
      </c>
      <c r="N345" s="19" t="s">
        <v>26</v>
      </c>
      <c r="O345" s="19" t="s">
        <v>581</v>
      </c>
      <c r="P345" s="19" t="str">
        <f>IF(Clean_Data!$G345&gt;Clean_Data!$J345,Clean_Data!$F345,Clean_Data!$I345)</f>
        <v>Sylhet Strikers</v>
      </c>
      <c r="Q345" s="19" t="s">
        <v>28</v>
      </c>
      <c r="R345" s="19" t="s">
        <v>29</v>
      </c>
      <c r="S345" s="19">
        <v>8</v>
      </c>
      <c r="T345" s="19">
        <v>0</v>
      </c>
      <c r="U345" s="19" t="s">
        <v>30</v>
      </c>
      <c r="V345" s="19" t="str">
        <f>IF(Clean_Data!$T345&gt;0,"Runs","Wickets")</f>
        <v>Wickets</v>
      </c>
      <c r="W345" s="19">
        <f>IF(Clean_Data!$T345&gt;0,Clean_Data!$T345,Clean_Data!$S345)</f>
        <v>8</v>
      </c>
      <c r="X345" s="19" t="str">
        <f>IF(Clean_Data!$W345&lt;=10,"Close Match","Normal")</f>
        <v>Close Match</v>
      </c>
      <c r="Y345" s="19">
        <f>Clean_Data!$G345+Clean_Data!$J345</f>
        <v>179</v>
      </c>
      <c r="Z345" s="19" t="str">
        <f>IF(Clean_Data!$Y345&gt;=170,"170+ Match","Below 170")</f>
        <v>170+ Match</v>
      </c>
      <c r="AA345" s="19" t="s">
        <v>56</v>
      </c>
      <c r="AB345" s="21" t="s">
        <v>583</v>
      </c>
    </row>
    <row r="346" spans="1:28" x14ac:dyDescent="0.3">
      <c r="A346" s="16" t="s">
        <v>579</v>
      </c>
      <c r="B346" s="5" t="str">
        <f>LEFT(Clean_Data!$A346,4)</f>
        <v>2022</v>
      </c>
      <c r="C346" s="5" t="s">
        <v>33</v>
      </c>
      <c r="D346" s="5" t="str">
        <f>IF(ISNUMBER(SEARCH("Final",Clean_Data!$C346)),"Final",
IF(ISNUMBER(SEARCH("Semi",Clean_Data!$C346)),"Semi-Final",
IF(ISNUMBER(SEARCH("Elimination",Clean_Data!$C346)),"Eliminator",
"League")))</f>
        <v>League</v>
      </c>
      <c r="E346" s="6" t="s">
        <v>580</v>
      </c>
      <c r="F346" s="5" t="s">
        <v>295</v>
      </c>
      <c r="G346" s="5">
        <v>176</v>
      </c>
      <c r="H346" s="5">
        <v>5</v>
      </c>
      <c r="I346" s="5" t="s">
        <v>143</v>
      </c>
      <c r="J346" s="5">
        <v>142</v>
      </c>
      <c r="K346" s="5">
        <v>10</v>
      </c>
      <c r="L346" s="5" t="s">
        <v>501</v>
      </c>
      <c r="M346" s="5" t="s">
        <v>143</v>
      </c>
      <c r="N346" s="5" t="s">
        <v>26</v>
      </c>
      <c r="O346" s="5" t="s">
        <v>295</v>
      </c>
      <c r="P346" s="5" t="str">
        <f>IF(Clean_Data!$G346&gt;Clean_Data!$J346,Clean_Data!$F346,Clean_Data!$I346)</f>
        <v>Rangpur Rangers</v>
      </c>
      <c r="Q346" s="5" t="s">
        <v>28</v>
      </c>
      <c r="R346" s="5" t="s">
        <v>29</v>
      </c>
      <c r="S346" s="5">
        <v>0</v>
      </c>
      <c r="T346" s="5">
        <v>34</v>
      </c>
      <c r="U346" s="5" t="s">
        <v>303</v>
      </c>
      <c r="V346" s="5" t="str">
        <f>IF(Clean_Data!$T346&gt;0,"Runs","Wickets")</f>
        <v>Runs</v>
      </c>
      <c r="W346" s="5">
        <f>IF(Clean_Data!$T346&gt;0,Clean_Data!$T346,Clean_Data!$S346)</f>
        <v>34</v>
      </c>
      <c r="X346" s="5" t="str">
        <f>IF(Clean_Data!$W346&lt;=10,"Close Match","Normal")</f>
        <v>Normal</v>
      </c>
      <c r="Y346" s="5">
        <f>Clean_Data!$G346+Clean_Data!$J346</f>
        <v>318</v>
      </c>
      <c r="Z346" s="5" t="str">
        <f>IF(Clean_Data!$Y346&gt;=170,"170+ Match","Below 170")</f>
        <v>170+ Match</v>
      </c>
      <c r="AA346" s="5" t="s">
        <v>216</v>
      </c>
      <c r="AB346" s="17" t="s">
        <v>558</v>
      </c>
    </row>
    <row r="347" spans="1:28" x14ac:dyDescent="0.3">
      <c r="A347" s="18" t="s">
        <v>579</v>
      </c>
      <c r="B347" s="19" t="str">
        <f>LEFT(Clean_Data!$A347,4)</f>
        <v>2022</v>
      </c>
      <c r="C347" s="19" t="s">
        <v>195</v>
      </c>
      <c r="D347" s="19" t="str">
        <f>IF(ISNUMBER(SEARCH("Final",Clean_Data!$C347)),"Final",
IF(ISNUMBER(SEARCH("Semi",Clean_Data!$C347)),"Semi-Final",
IF(ISNUMBER(SEARCH("Elimination",Clean_Data!$C347)),"Eliminator",
"League")))</f>
        <v>League</v>
      </c>
      <c r="E347" s="20" t="s">
        <v>584</v>
      </c>
      <c r="F347" s="19" t="s">
        <v>277</v>
      </c>
      <c r="G347" s="19">
        <v>113</v>
      </c>
      <c r="H347" s="19">
        <v>8</v>
      </c>
      <c r="I347" s="19" t="s">
        <v>585</v>
      </c>
      <c r="J347" s="19">
        <v>117</v>
      </c>
      <c r="K347" s="19">
        <v>4</v>
      </c>
      <c r="L347" s="19" t="s">
        <v>97</v>
      </c>
      <c r="M347" s="19" t="s">
        <v>585</v>
      </c>
      <c r="N347" s="19" t="s">
        <v>26</v>
      </c>
      <c r="O347" s="19" t="s">
        <v>585</v>
      </c>
      <c r="P347" s="19" t="str">
        <f>IF(Clean_Data!$G347&gt;Clean_Data!$J347,Clean_Data!$F347,Clean_Data!$I347)</f>
        <v>Dhaka Dominators</v>
      </c>
      <c r="Q347" s="19" t="s">
        <v>28</v>
      </c>
      <c r="R347" s="19" t="s">
        <v>29</v>
      </c>
      <c r="S347" s="19">
        <v>6</v>
      </c>
      <c r="T347" s="19">
        <v>0</v>
      </c>
      <c r="U347" s="19" t="s">
        <v>151</v>
      </c>
      <c r="V347" s="19" t="str">
        <f>IF(Clean_Data!$T347&gt;0,"Runs","Wickets")</f>
        <v>Wickets</v>
      </c>
      <c r="W347" s="19">
        <f>IF(Clean_Data!$T347&gt;0,Clean_Data!$T347,Clean_Data!$S347)</f>
        <v>6</v>
      </c>
      <c r="X347" s="19" t="str">
        <f>IF(Clean_Data!$W347&lt;=10,"Close Match","Normal")</f>
        <v>Close Match</v>
      </c>
      <c r="Y347" s="19">
        <f>Clean_Data!$G347+Clean_Data!$J347</f>
        <v>230</v>
      </c>
      <c r="Z347" s="19" t="str">
        <f>IF(Clean_Data!$Y347&gt;=170,"170+ Match","Below 170")</f>
        <v>170+ Match</v>
      </c>
      <c r="AA347" s="19" t="s">
        <v>56</v>
      </c>
      <c r="AB347" s="21" t="s">
        <v>557</v>
      </c>
    </row>
    <row r="348" spans="1:28" x14ac:dyDescent="0.3">
      <c r="A348" s="16" t="s">
        <v>579</v>
      </c>
      <c r="B348" s="5" t="str">
        <f>LEFT(Clean_Data!$A348,4)</f>
        <v>2022</v>
      </c>
      <c r="C348" s="5" t="s">
        <v>190</v>
      </c>
      <c r="D348" s="5" t="str">
        <f>IF(ISNUMBER(SEARCH("Final",Clean_Data!$C348)),"Final",
IF(ISNUMBER(SEARCH("Semi",Clean_Data!$C348)),"Semi-Final",
IF(ISNUMBER(SEARCH("Elimination",Clean_Data!$C348)),"Eliminator",
"League")))</f>
        <v>League</v>
      </c>
      <c r="E348" s="6" t="s">
        <v>584</v>
      </c>
      <c r="F348" s="5" t="s">
        <v>310</v>
      </c>
      <c r="G348" s="5">
        <v>194</v>
      </c>
      <c r="H348" s="5">
        <v>7</v>
      </c>
      <c r="I348" s="5" t="s">
        <v>581</v>
      </c>
      <c r="J348" s="5">
        <v>196</v>
      </c>
      <c r="K348" s="5">
        <v>4</v>
      </c>
      <c r="L348" s="5" t="s">
        <v>586</v>
      </c>
      <c r="M348" s="5" t="s">
        <v>310</v>
      </c>
      <c r="N348" s="5" t="s">
        <v>37</v>
      </c>
      <c r="O348" s="5" t="s">
        <v>581</v>
      </c>
      <c r="P348" s="5" t="str">
        <f>IF(Clean_Data!$G348&gt;Clean_Data!$J348,Clean_Data!$F348,Clean_Data!$I348)</f>
        <v>Sylhet Strikers</v>
      </c>
      <c r="Q348" s="5" t="s">
        <v>28</v>
      </c>
      <c r="R348" s="5" t="s">
        <v>29</v>
      </c>
      <c r="S348" s="5">
        <v>6</v>
      </c>
      <c r="T348" s="5">
        <v>0</v>
      </c>
      <c r="U348" s="5" t="s">
        <v>151</v>
      </c>
      <c r="V348" s="5" t="str">
        <f>IF(Clean_Data!$T348&gt;0,"Runs","Wickets")</f>
        <v>Wickets</v>
      </c>
      <c r="W348" s="5">
        <f>IF(Clean_Data!$T348&gt;0,Clean_Data!$T348,Clean_Data!$S348)</f>
        <v>6</v>
      </c>
      <c r="X348" s="5" t="str">
        <f>IF(Clean_Data!$W348&lt;=10,"Close Match","Normal")</f>
        <v>Close Match</v>
      </c>
      <c r="Y348" s="5">
        <f>Clean_Data!$G348+Clean_Data!$J348</f>
        <v>390</v>
      </c>
      <c r="Z348" s="5" t="str">
        <f>IF(Clean_Data!$Y348&gt;=170,"170+ Match","Below 170")</f>
        <v>170+ Match</v>
      </c>
      <c r="AA348" s="5" t="s">
        <v>50</v>
      </c>
      <c r="AB348" s="17" t="s">
        <v>558</v>
      </c>
    </row>
    <row r="349" spans="1:28" x14ac:dyDescent="0.3">
      <c r="A349" s="18" t="s">
        <v>579</v>
      </c>
      <c r="B349" s="19" t="str">
        <f>LEFT(Clean_Data!$A349,4)</f>
        <v>2022</v>
      </c>
      <c r="C349" s="19" t="s">
        <v>186</v>
      </c>
      <c r="D349" s="19" t="str">
        <f>IF(ISNUMBER(SEARCH("Final",Clean_Data!$C349)),"Final",
IF(ISNUMBER(SEARCH("Semi",Clean_Data!$C349)),"Semi-Final",
IF(ISNUMBER(SEARCH("Elimination",Clean_Data!$C349)),"Eliminator",
"League")))</f>
        <v>League</v>
      </c>
      <c r="E349" s="20" t="s">
        <v>587</v>
      </c>
      <c r="F349" s="19" t="s">
        <v>143</v>
      </c>
      <c r="G349" s="19">
        <v>149</v>
      </c>
      <c r="H349" s="19">
        <v>6</v>
      </c>
      <c r="I349" s="19" t="s">
        <v>581</v>
      </c>
      <c r="J349" s="19">
        <v>150</v>
      </c>
      <c r="K349" s="19">
        <v>5</v>
      </c>
      <c r="L349" s="19" t="s">
        <v>586</v>
      </c>
      <c r="M349" s="19" t="s">
        <v>581</v>
      </c>
      <c r="N349" s="19" t="s">
        <v>26</v>
      </c>
      <c r="O349" s="19" t="s">
        <v>581</v>
      </c>
      <c r="P349" s="19" t="str">
        <f>IF(Clean_Data!$G349&gt;Clean_Data!$J349,Clean_Data!$F349,Clean_Data!$I349)</f>
        <v>Sylhet Strikers</v>
      </c>
      <c r="Q349" s="19" t="s">
        <v>28</v>
      </c>
      <c r="R349" s="19" t="s">
        <v>29</v>
      </c>
      <c r="S349" s="19">
        <v>5</v>
      </c>
      <c r="T349" s="19">
        <v>0</v>
      </c>
      <c r="U349" s="19" t="s">
        <v>55</v>
      </c>
      <c r="V349" s="19" t="str">
        <f>IF(Clean_Data!$T349&gt;0,"Runs","Wickets")</f>
        <v>Wickets</v>
      </c>
      <c r="W349" s="19">
        <f>IF(Clean_Data!$T349&gt;0,Clean_Data!$T349,Clean_Data!$S349)</f>
        <v>5</v>
      </c>
      <c r="X349" s="19" t="str">
        <f>IF(Clean_Data!$W349&lt;=10,"Close Match","Normal")</f>
        <v>Close Match</v>
      </c>
      <c r="Y349" s="19">
        <f>Clean_Data!$G349+Clean_Data!$J349</f>
        <v>299</v>
      </c>
      <c r="Z349" s="19" t="str">
        <f>IF(Clean_Data!$Y349&gt;=170,"170+ Match","Below 170")</f>
        <v>170+ Match</v>
      </c>
      <c r="AA349" s="19" t="s">
        <v>278</v>
      </c>
      <c r="AB349" s="21" t="s">
        <v>588</v>
      </c>
    </row>
    <row r="350" spans="1:28" x14ac:dyDescent="0.3">
      <c r="A350" s="16" t="s">
        <v>579</v>
      </c>
      <c r="B350" s="5" t="str">
        <f>LEFT(Clean_Data!$A350,4)</f>
        <v>2022</v>
      </c>
      <c r="C350" s="5" t="s">
        <v>180</v>
      </c>
      <c r="D350" s="5" t="str">
        <f>IF(ISNUMBER(SEARCH("Final",Clean_Data!$C350)),"Final",
IF(ISNUMBER(SEARCH("Semi",Clean_Data!$C350)),"Semi-Final",
IF(ISNUMBER(SEARCH("Elimination",Clean_Data!$C350)),"Eliminator",
"League")))</f>
        <v>League</v>
      </c>
      <c r="E350" s="6" t="s">
        <v>587</v>
      </c>
      <c r="F350" s="5" t="s">
        <v>277</v>
      </c>
      <c r="G350" s="5">
        <v>178</v>
      </c>
      <c r="H350" s="5">
        <v>5</v>
      </c>
      <c r="I350" s="5" t="s">
        <v>280</v>
      </c>
      <c r="J350" s="5">
        <v>179</v>
      </c>
      <c r="K350" s="5">
        <v>1</v>
      </c>
      <c r="L350" s="5" t="s">
        <v>589</v>
      </c>
      <c r="M350" s="5" t="s">
        <v>280</v>
      </c>
      <c r="N350" s="5" t="s">
        <v>26</v>
      </c>
      <c r="O350" s="5" t="s">
        <v>280</v>
      </c>
      <c r="P350" s="5" t="str">
        <f>IF(Clean_Data!$G350&gt;Clean_Data!$J350,Clean_Data!$F350,Clean_Data!$I350)</f>
        <v>Chattogram Challengers</v>
      </c>
      <c r="Q350" s="5" t="s">
        <v>28</v>
      </c>
      <c r="R350" s="5" t="s">
        <v>29</v>
      </c>
      <c r="S350" s="5">
        <v>9</v>
      </c>
      <c r="T350" s="5">
        <v>0</v>
      </c>
      <c r="U350" s="5" t="s">
        <v>71</v>
      </c>
      <c r="V350" s="5" t="str">
        <f>IF(Clean_Data!$T350&gt;0,"Runs","Wickets")</f>
        <v>Wickets</v>
      </c>
      <c r="W350" s="5">
        <f>IF(Clean_Data!$T350&gt;0,Clean_Data!$T350,Clean_Data!$S350)</f>
        <v>9</v>
      </c>
      <c r="X350" s="5" t="str">
        <f>IF(Clean_Data!$W350&lt;=10,"Close Match","Normal")</f>
        <v>Close Match</v>
      </c>
      <c r="Y350" s="5">
        <f>Clean_Data!$G350+Clean_Data!$J350</f>
        <v>357</v>
      </c>
      <c r="Z350" s="5" t="str">
        <f>IF(Clean_Data!$Y350&gt;=170,"170+ Match","Below 170")</f>
        <v>170+ Match</v>
      </c>
      <c r="AA350" s="5" t="s">
        <v>233</v>
      </c>
      <c r="AB350" s="17" t="s">
        <v>558</v>
      </c>
    </row>
    <row r="351" spans="1:28" x14ac:dyDescent="0.3">
      <c r="A351" s="18" t="s">
        <v>579</v>
      </c>
      <c r="B351" s="19" t="str">
        <f>LEFT(Clean_Data!$A351,4)</f>
        <v>2022</v>
      </c>
      <c r="C351" s="19" t="s">
        <v>176</v>
      </c>
      <c r="D351" s="19" t="str">
        <f>IF(ISNUMBER(SEARCH("Final",Clean_Data!$C351)),"Final",
IF(ISNUMBER(SEARCH("Semi",Clean_Data!$C351)),"Semi-Final",
IF(ISNUMBER(SEARCH("Elimination",Clean_Data!$C351)),"Eliminator",
"League")))</f>
        <v>League</v>
      </c>
      <c r="E351" s="20" t="s">
        <v>590</v>
      </c>
      <c r="F351" s="19" t="s">
        <v>295</v>
      </c>
      <c r="G351" s="19">
        <v>158</v>
      </c>
      <c r="H351" s="19">
        <v>7</v>
      </c>
      <c r="I351" s="19" t="s">
        <v>310</v>
      </c>
      <c r="J351" s="19">
        <v>162</v>
      </c>
      <c r="K351" s="19">
        <v>4</v>
      </c>
      <c r="L351" s="19" t="s">
        <v>410</v>
      </c>
      <c r="M351" s="19" t="s">
        <v>310</v>
      </c>
      <c r="N351" s="19" t="s">
        <v>26</v>
      </c>
      <c r="O351" s="19" t="s">
        <v>310</v>
      </c>
      <c r="P351" s="19" t="str">
        <f>IF(Clean_Data!$G351&gt;Clean_Data!$J351,Clean_Data!$F351,Clean_Data!$I351)</f>
        <v>Fortune Barishal</v>
      </c>
      <c r="Q351" s="19" t="s">
        <v>28</v>
      </c>
      <c r="R351" s="19" t="s">
        <v>29</v>
      </c>
      <c r="S351" s="19">
        <v>6</v>
      </c>
      <c r="T351" s="19">
        <v>0</v>
      </c>
      <c r="U351" s="19" t="s">
        <v>151</v>
      </c>
      <c r="V351" s="19" t="str">
        <f>IF(Clean_Data!$T351&gt;0,"Runs","Wickets")</f>
        <v>Wickets</v>
      </c>
      <c r="W351" s="19">
        <f>IF(Clean_Data!$T351&gt;0,Clean_Data!$T351,Clean_Data!$S351)</f>
        <v>6</v>
      </c>
      <c r="X351" s="19" t="str">
        <f>IF(Clean_Data!$W351&lt;=10,"Close Match","Normal")</f>
        <v>Close Match</v>
      </c>
      <c r="Y351" s="19">
        <f>Clean_Data!$G351+Clean_Data!$J351</f>
        <v>320</v>
      </c>
      <c r="Z351" s="19" t="str">
        <f>IF(Clean_Data!$Y351&gt;=170,"170+ Match","Below 170")</f>
        <v>170+ Match</v>
      </c>
      <c r="AA351" s="19" t="s">
        <v>56</v>
      </c>
      <c r="AB351" s="21" t="s">
        <v>233</v>
      </c>
    </row>
    <row r="352" spans="1:28" x14ac:dyDescent="0.3">
      <c r="A352" s="16" t="s">
        <v>579</v>
      </c>
      <c r="B352" s="5" t="str">
        <f>LEFT(Clean_Data!$A352,4)</f>
        <v>2022</v>
      </c>
      <c r="C352" s="5" t="s">
        <v>170</v>
      </c>
      <c r="D352" s="5" t="str">
        <f>IF(ISNUMBER(SEARCH("Final",Clean_Data!$C352)),"Final",
IF(ISNUMBER(SEARCH("Semi",Clean_Data!$C352)),"Semi-Final",
IF(ISNUMBER(SEARCH("Elimination",Clean_Data!$C352)),"Eliminator",
"League")))</f>
        <v>League</v>
      </c>
      <c r="E352" s="6" t="s">
        <v>590</v>
      </c>
      <c r="F352" s="5" t="s">
        <v>581</v>
      </c>
      <c r="G352" s="5">
        <v>201</v>
      </c>
      <c r="H352" s="5">
        <v>8</v>
      </c>
      <c r="I352" s="5" t="s">
        <v>585</v>
      </c>
      <c r="J352" s="5">
        <v>139</v>
      </c>
      <c r="K352" s="5">
        <v>10</v>
      </c>
      <c r="L352" s="5" t="s">
        <v>586</v>
      </c>
      <c r="M352" s="5" t="s">
        <v>585</v>
      </c>
      <c r="N352" s="5" t="s">
        <v>26</v>
      </c>
      <c r="O352" s="5" t="s">
        <v>581</v>
      </c>
      <c r="P352" s="5" t="str">
        <f>IF(Clean_Data!$G352&gt;Clean_Data!$J352,Clean_Data!$F352,Clean_Data!$I352)</f>
        <v>Sylhet Strikers</v>
      </c>
      <c r="Q352" s="5" t="s">
        <v>28</v>
      </c>
      <c r="R352" s="5" t="s">
        <v>29</v>
      </c>
      <c r="S352" s="5">
        <v>0</v>
      </c>
      <c r="T352" s="5">
        <v>62</v>
      </c>
      <c r="U352" s="5" t="s">
        <v>375</v>
      </c>
      <c r="V352" s="5" t="str">
        <f>IF(Clean_Data!$T352&gt;0,"Runs","Wickets")</f>
        <v>Runs</v>
      </c>
      <c r="W352" s="5">
        <f>IF(Clean_Data!$T352&gt;0,Clean_Data!$T352,Clean_Data!$S352)</f>
        <v>62</v>
      </c>
      <c r="X352" s="5" t="str">
        <f>IF(Clean_Data!$W352&lt;=10,"Close Match","Normal")</f>
        <v>Normal</v>
      </c>
      <c r="Y352" s="5">
        <f>Clean_Data!$G352+Clean_Data!$J352</f>
        <v>340</v>
      </c>
      <c r="Z352" s="5" t="str">
        <f>IF(Clean_Data!$Y352&gt;=170,"170+ Match","Below 170")</f>
        <v>170+ Match</v>
      </c>
      <c r="AA352" s="5" t="s">
        <v>278</v>
      </c>
      <c r="AB352" s="17" t="s">
        <v>588</v>
      </c>
    </row>
    <row r="353" spans="1:28" x14ac:dyDescent="0.3">
      <c r="A353" s="18" t="s">
        <v>579</v>
      </c>
      <c r="B353" s="19" t="str">
        <f>LEFT(Clean_Data!$A353,4)</f>
        <v>2022</v>
      </c>
      <c r="C353" s="19" t="s">
        <v>168</v>
      </c>
      <c r="D353" s="19" t="str">
        <f>IF(ISNUMBER(SEARCH("Final",Clean_Data!$C353)),"Final",
IF(ISNUMBER(SEARCH("Semi",Clean_Data!$C353)),"Semi-Final",
IF(ISNUMBER(SEARCH("Elimination",Clean_Data!$C353)),"Eliminator",
"League")))</f>
        <v>League</v>
      </c>
      <c r="E353" s="20" t="s">
        <v>591</v>
      </c>
      <c r="F353" s="19" t="s">
        <v>310</v>
      </c>
      <c r="G353" s="19">
        <v>202</v>
      </c>
      <c r="H353" s="19">
        <v>7</v>
      </c>
      <c r="I353" s="19" t="s">
        <v>280</v>
      </c>
      <c r="J353" s="19">
        <v>176</v>
      </c>
      <c r="K353" s="19">
        <v>4</v>
      </c>
      <c r="L353" s="19" t="s">
        <v>592</v>
      </c>
      <c r="M353" s="19" t="s">
        <v>280</v>
      </c>
      <c r="N353" s="19" t="s">
        <v>26</v>
      </c>
      <c r="O353" s="19" t="s">
        <v>310</v>
      </c>
      <c r="P353" s="19" t="str">
        <f>IF(Clean_Data!$G353&gt;Clean_Data!$J353,Clean_Data!$F353,Clean_Data!$I353)</f>
        <v>Fortune Barishal</v>
      </c>
      <c r="Q353" s="19" t="s">
        <v>88</v>
      </c>
      <c r="R353" s="19" t="s">
        <v>89</v>
      </c>
      <c r="S353" s="19">
        <v>0</v>
      </c>
      <c r="T353" s="19">
        <v>26</v>
      </c>
      <c r="U353" s="19" t="s">
        <v>115</v>
      </c>
      <c r="V353" s="19" t="str">
        <f>IF(Clean_Data!$T353&gt;0,"Runs","Wickets")</f>
        <v>Runs</v>
      </c>
      <c r="W353" s="19">
        <f>IF(Clean_Data!$T353&gt;0,Clean_Data!$T353,Clean_Data!$S353)</f>
        <v>26</v>
      </c>
      <c r="X353" s="19" t="str">
        <f>IF(Clean_Data!$W353&lt;=10,"Close Match","Normal")</f>
        <v>Normal</v>
      </c>
      <c r="Y353" s="19">
        <f>Clean_Data!$G353+Clean_Data!$J353</f>
        <v>378</v>
      </c>
      <c r="Z353" s="19" t="str">
        <f>IF(Clean_Data!$Y353&gt;=170,"170+ Match","Below 170")</f>
        <v>170+ Match</v>
      </c>
      <c r="AA353" s="19" t="s">
        <v>593</v>
      </c>
      <c r="AB353" s="21" t="s">
        <v>233</v>
      </c>
    </row>
    <row r="354" spans="1:28" x14ac:dyDescent="0.3">
      <c r="A354" s="16" t="s">
        <v>579</v>
      </c>
      <c r="B354" s="5" t="str">
        <f>LEFT(Clean_Data!$A354,4)</f>
        <v>2022</v>
      </c>
      <c r="C354" s="5" t="s">
        <v>163</v>
      </c>
      <c r="D354" s="5" t="str">
        <f>IF(ISNUMBER(SEARCH("Final",Clean_Data!$C354)),"Final",
IF(ISNUMBER(SEARCH("Semi",Clean_Data!$C354)),"Semi-Final",
IF(ISNUMBER(SEARCH("Elimination",Clean_Data!$C354)),"Eliminator",
"League")))</f>
        <v>League</v>
      </c>
      <c r="E354" s="6" t="s">
        <v>591</v>
      </c>
      <c r="F354" s="5" t="s">
        <v>277</v>
      </c>
      <c r="G354" s="5">
        <v>130</v>
      </c>
      <c r="H354" s="5">
        <v>10</v>
      </c>
      <c r="I354" s="5" t="s">
        <v>295</v>
      </c>
      <c r="J354" s="5">
        <v>131</v>
      </c>
      <c r="K354" s="5">
        <v>6</v>
      </c>
      <c r="L354" s="5" t="s">
        <v>594</v>
      </c>
      <c r="M354" s="5" t="s">
        <v>113</v>
      </c>
      <c r="N354" s="5" t="s">
        <v>26</v>
      </c>
      <c r="O354" s="5" t="s">
        <v>295</v>
      </c>
      <c r="P354" s="5" t="str">
        <f>IF(Clean_Data!$G354&gt;Clean_Data!$J354,Clean_Data!$F354,Clean_Data!$I354)</f>
        <v>Rangpur Rangers</v>
      </c>
      <c r="Q354" s="5" t="s">
        <v>88</v>
      </c>
      <c r="R354" s="5" t="s">
        <v>89</v>
      </c>
      <c r="S354" s="5">
        <v>4</v>
      </c>
      <c r="T354" s="5">
        <v>0</v>
      </c>
      <c r="U354" s="5" t="s">
        <v>90</v>
      </c>
      <c r="V354" s="5" t="str">
        <f>IF(Clean_Data!$T354&gt;0,"Runs","Wickets")</f>
        <v>Wickets</v>
      </c>
      <c r="W354" s="5">
        <f>IF(Clean_Data!$T354&gt;0,Clean_Data!$T354,Clean_Data!$S354)</f>
        <v>4</v>
      </c>
      <c r="X354" s="5" t="str">
        <f>IF(Clean_Data!$W354&lt;=10,"Close Match","Normal")</f>
        <v>Close Match</v>
      </c>
      <c r="Y354" s="5">
        <f>Clean_Data!$G354+Clean_Data!$J354</f>
        <v>261</v>
      </c>
      <c r="Z354" s="5" t="str">
        <f>IF(Clean_Data!$Y354&gt;=170,"170+ Match","Below 170")</f>
        <v>170+ Match</v>
      </c>
      <c r="AA354" s="5" t="s">
        <v>286</v>
      </c>
      <c r="AB354" s="17" t="s">
        <v>558</v>
      </c>
    </row>
    <row r="355" spans="1:28" x14ac:dyDescent="0.3">
      <c r="A355" s="18" t="s">
        <v>579</v>
      </c>
      <c r="B355" s="19" t="str">
        <f>LEFT(Clean_Data!$A355,4)</f>
        <v>2022</v>
      </c>
      <c r="C355" s="19" t="s">
        <v>156</v>
      </c>
      <c r="D355" s="19" t="str">
        <f>IF(ISNUMBER(SEARCH("Final",Clean_Data!$C355)),"Final",
IF(ISNUMBER(SEARCH("Semi",Clean_Data!$C355)),"Semi-Final",
IF(ISNUMBER(SEARCH("Elimination",Clean_Data!$C355)),"Eliminator",
"League")))</f>
        <v>League</v>
      </c>
      <c r="E355" s="20" t="s">
        <v>595</v>
      </c>
      <c r="F355" s="19" t="s">
        <v>310</v>
      </c>
      <c r="G355" s="19">
        <v>177</v>
      </c>
      <c r="H355" s="19">
        <v>6</v>
      </c>
      <c r="I355" s="19" t="s">
        <v>143</v>
      </c>
      <c r="J355" s="19">
        <v>165</v>
      </c>
      <c r="K355" s="19">
        <v>7</v>
      </c>
      <c r="L355" s="19" t="s">
        <v>108</v>
      </c>
      <c r="M355" s="19" t="s">
        <v>143</v>
      </c>
      <c r="N355" s="19" t="s">
        <v>26</v>
      </c>
      <c r="O355" s="19" t="s">
        <v>310</v>
      </c>
      <c r="P355" s="19" t="str">
        <f>IF(Clean_Data!$G355&gt;Clean_Data!$J355,Clean_Data!$F355,Clean_Data!$I355)</f>
        <v>Fortune Barishal</v>
      </c>
      <c r="Q355" s="19" t="s">
        <v>88</v>
      </c>
      <c r="R355" s="19" t="s">
        <v>89</v>
      </c>
      <c r="S355" s="19">
        <v>0</v>
      </c>
      <c r="T355" s="19">
        <v>12</v>
      </c>
      <c r="U355" s="19" t="s">
        <v>417</v>
      </c>
      <c r="V355" s="19" t="str">
        <f>IF(Clean_Data!$T355&gt;0,"Runs","Wickets")</f>
        <v>Runs</v>
      </c>
      <c r="W355" s="19">
        <f>IF(Clean_Data!$T355&gt;0,Clean_Data!$T355,Clean_Data!$S355)</f>
        <v>12</v>
      </c>
      <c r="X355" s="19" t="str">
        <f>IF(Clean_Data!$W355&lt;=10,"Close Match","Normal")</f>
        <v>Normal</v>
      </c>
      <c r="Y355" s="19">
        <f>Clean_Data!$G355+Clean_Data!$J355</f>
        <v>342</v>
      </c>
      <c r="Z355" s="19" t="str">
        <f>IF(Clean_Data!$Y355&gt;=170,"170+ Match","Below 170")</f>
        <v>170+ Match</v>
      </c>
      <c r="AA355" s="19" t="s">
        <v>278</v>
      </c>
      <c r="AB355" s="21" t="s">
        <v>557</v>
      </c>
    </row>
    <row r="356" spans="1:28" x14ac:dyDescent="0.3">
      <c r="A356" s="16" t="s">
        <v>579</v>
      </c>
      <c r="B356" s="5" t="str">
        <f>LEFT(Clean_Data!$A356,4)</f>
        <v>2022</v>
      </c>
      <c r="C356" s="5" t="s">
        <v>148</v>
      </c>
      <c r="D356" s="5" t="str">
        <f>IF(ISNUMBER(SEARCH("Final",Clean_Data!$C356)),"Final",
IF(ISNUMBER(SEARCH("Semi",Clean_Data!$C356)),"Semi-Final",
IF(ISNUMBER(SEARCH("Elimination",Clean_Data!$C356)),"Eliminator",
"League")))</f>
        <v>League</v>
      </c>
      <c r="E356" s="6" t="s">
        <v>595</v>
      </c>
      <c r="F356" s="5" t="s">
        <v>585</v>
      </c>
      <c r="G356" s="5">
        <v>158</v>
      </c>
      <c r="H356" s="5">
        <v>6</v>
      </c>
      <c r="I356" s="5" t="s">
        <v>280</v>
      </c>
      <c r="J356" s="5">
        <v>159</v>
      </c>
      <c r="K356" s="5">
        <v>2</v>
      </c>
      <c r="L356" s="5" t="s">
        <v>220</v>
      </c>
      <c r="M356" s="5" t="s">
        <v>585</v>
      </c>
      <c r="N356" s="5" t="s">
        <v>37</v>
      </c>
      <c r="O356" s="5" t="s">
        <v>280</v>
      </c>
      <c r="P356" s="5" t="str">
        <f>IF(Clean_Data!$G356&gt;Clean_Data!$J356,Clean_Data!$F356,Clean_Data!$I356)</f>
        <v>Chattogram Challengers</v>
      </c>
      <c r="Q356" s="5" t="s">
        <v>88</v>
      </c>
      <c r="R356" s="5" t="s">
        <v>89</v>
      </c>
      <c r="S356" s="5">
        <v>8</v>
      </c>
      <c r="T356" s="5">
        <v>0</v>
      </c>
      <c r="U356" s="5" t="s">
        <v>30</v>
      </c>
      <c r="V356" s="5" t="str">
        <f>IF(Clean_Data!$T356&gt;0,"Runs","Wickets")</f>
        <v>Wickets</v>
      </c>
      <c r="W356" s="5">
        <f>IF(Clean_Data!$T356&gt;0,Clean_Data!$T356,Clean_Data!$S356)</f>
        <v>8</v>
      </c>
      <c r="X356" s="5" t="str">
        <f>IF(Clean_Data!$W356&lt;=10,"Close Match","Normal")</f>
        <v>Close Match</v>
      </c>
      <c r="Y356" s="5">
        <f>Clean_Data!$G356+Clean_Data!$J356</f>
        <v>317</v>
      </c>
      <c r="Z356" s="5" t="str">
        <f>IF(Clean_Data!$Y356&gt;=170,"170+ Match","Below 170")</f>
        <v>170+ Match</v>
      </c>
      <c r="AA356" s="5" t="s">
        <v>593</v>
      </c>
      <c r="AB356" s="17" t="s">
        <v>286</v>
      </c>
    </row>
    <row r="357" spans="1:28" x14ac:dyDescent="0.3">
      <c r="A357" s="18" t="s">
        <v>579</v>
      </c>
      <c r="B357" s="19" t="str">
        <f>LEFT(Clean_Data!$A357,4)</f>
        <v>2022</v>
      </c>
      <c r="C357" s="19" t="s">
        <v>138</v>
      </c>
      <c r="D357" s="19" t="str">
        <f>IF(ISNUMBER(SEARCH("Final",Clean_Data!$C357)),"Final",
IF(ISNUMBER(SEARCH("Semi",Clean_Data!$C357)),"Semi-Final",
IF(ISNUMBER(SEARCH("Elimination",Clean_Data!$C357)),"Eliminator",
"League")))</f>
        <v>League</v>
      </c>
      <c r="E357" s="20" t="s">
        <v>596</v>
      </c>
      <c r="F357" s="19" t="s">
        <v>585</v>
      </c>
      <c r="G357" s="19">
        <v>128</v>
      </c>
      <c r="H357" s="19">
        <v>7</v>
      </c>
      <c r="I357" s="19" t="s">
        <v>581</v>
      </c>
      <c r="J357" s="19">
        <v>134</v>
      </c>
      <c r="K357" s="19">
        <v>5</v>
      </c>
      <c r="L357" s="19" t="s">
        <v>597</v>
      </c>
      <c r="M357" s="19" t="s">
        <v>585</v>
      </c>
      <c r="N357" s="19" t="s">
        <v>37</v>
      </c>
      <c r="O357" s="19" t="s">
        <v>581</v>
      </c>
      <c r="P357" s="19" t="str">
        <f>IF(Clean_Data!$G357&gt;Clean_Data!$J357,Clean_Data!$F357,Clean_Data!$I357)</f>
        <v>Sylhet Strikers</v>
      </c>
      <c r="Q357" s="19" t="s">
        <v>88</v>
      </c>
      <c r="R357" s="19" t="s">
        <v>89</v>
      </c>
      <c r="S357" s="19">
        <v>5</v>
      </c>
      <c r="T357" s="19">
        <v>0</v>
      </c>
      <c r="U357" s="19" t="s">
        <v>55</v>
      </c>
      <c r="V357" s="19" t="str">
        <f>IF(Clean_Data!$T357&gt;0,"Runs","Wickets")</f>
        <v>Wickets</v>
      </c>
      <c r="W357" s="19">
        <f>IF(Clean_Data!$T357&gt;0,Clean_Data!$T357,Clean_Data!$S357)</f>
        <v>5</v>
      </c>
      <c r="X357" s="19" t="str">
        <f>IF(Clean_Data!$W357&lt;=10,"Close Match","Normal")</f>
        <v>Close Match</v>
      </c>
      <c r="Y357" s="19">
        <f>Clean_Data!$G357+Clean_Data!$J357</f>
        <v>262</v>
      </c>
      <c r="Z357" s="19" t="str">
        <f>IF(Clean_Data!$Y357&gt;=170,"170+ Match","Below 170")</f>
        <v>170+ Match</v>
      </c>
      <c r="AA357" s="19" t="s">
        <v>278</v>
      </c>
      <c r="AB357" s="21" t="s">
        <v>557</v>
      </c>
    </row>
    <row r="358" spans="1:28" x14ac:dyDescent="0.3">
      <c r="A358" s="16" t="s">
        <v>579</v>
      </c>
      <c r="B358" s="5" t="str">
        <f>LEFT(Clean_Data!$A358,4)</f>
        <v>2022</v>
      </c>
      <c r="C358" s="5" t="s">
        <v>132</v>
      </c>
      <c r="D358" s="5" t="str">
        <f>IF(ISNUMBER(SEARCH("Final",Clean_Data!$C358)),"Final",
IF(ISNUMBER(SEARCH("Semi",Clean_Data!$C358)),"Semi-Final",
IF(ISNUMBER(SEARCH("Elimination",Clean_Data!$C358)),"Eliminator",
"League")))</f>
        <v>League</v>
      </c>
      <c r="E358" s="6" t="s">
        <v>596</v>
      </c>
      <c r="F358" s="5" t="s">
        <v>280</v>
      </c>
      <c r="G358" s="5">
        <v>135</v>
      </c>
      <c r="H358" s="5">
        <v>8</v>
      </c>
      <c r="I358" s="5" t="s">
        <v>143</v>
      </c>
      <c r="J358" s="5">
        <v>137</v>
      </c>
      <c r="K358" s="5">
        <v>4</v>
      </c>
      <c r="L358" s="5" t="s">
        <v>239</v>
      </c>
      <c r="M358" s="5" t="s">
        <v>280</v>
      </c>
      <c r="N358" s="5" t="s">
        <v>37</v>
      </c>
      <c r="O358" s="5" t="s">
        <v>143</v>
      </c>
      <c r="P358" s="5" t="str">
        <f>IF(Clean_Data!$G358&gt;Clean_Data!$J358,Clean_Data!$F358,Clean_Data!$I358)</f>
        <v>Comilla Victorians</v>
      </c>
      <c r="Q358" s="5" t="s">
        <v>88</v>
      </c>
      <c r="R358" s="5" t="s">
        <v>89</v>
      </c>
      <c r="S358" s="5">
        <v>6</v>
      </c>
      <c r="T358" s="5">
        <v>0</v>
      </c>
      <c r="U358" s="5" t="s">
        <v>151</v>
      </c>
      <c r="V358" s="5" t="str">
        <f>IF(Clean_Data!$T358&gt;0,"Runs","Wickets")</f>
        <v>Wickets</v>
      </c>
      <c r="W358" s="5">
        <f>IF(Clean_Data!$T358&gt;0,Clean_Data!$T358,Clean_Data!$S358)</f>
        <v>6</v>
      </c>
      <c r="X358" s="5" t="str">
        <f>IF(Clean_Data!$W358&lt;=10,"Close Match","Normal")</f>
        <v>Close Match</v>
      </c>
      <c r="Y358" s="5">
        <f>Clean_Data!$G358+Clean_Data!$J358</f>
        <v>272</v>
      </c>
      <c r="Z358" s="5" t="str">
        <f>IF(Clean_Data!$Y358&gt;=170,"170+ Match","Below 170")</f>
        <v>170+ Match</v>
      </c>
      <c r="AA358" s="5" t="s">
        <v>593</v>
      </c>
      <c r="AB358" s="17" t="s">
        <v>233</v>
      </c>
    </row>
    <row r="359" spans="1:28" x14ac:dyDescent="0.3">
      <c r="A359" s="18" t="s">
        <v>579</v>
      </c>
      <c r="B359" s="19" t="str">
        <f>LEFT(Clean_Data!$A359,4)</f>
        <v>2022</v>
      </c>
      <c r="C359" s="19" t="s">
        <v>126</v>
      </c>
      <c r="D359" s="19" t="str">
        <f>IF(ISNUMBER(SEARCH("Final",Clean_Data!$C359)),"Final",
IF(ISNUMBER(SEARCH("Semi",Clean_Data!$C359)),"Semi-Final",
IF(ISNUMBER(SEARCH("Elimination",Clean_Data!$C359)),"Eliminator",
"League")))</f>
        <v>League</v>
      </c>
      <c r="E359" s="20" t="s">
        <v>598</v>
      </c>
      <c r="F359" s="19" t="s">
        <v>295</v>
      </c>
      <c r="G359" s="19">
        <v>129</v>
      </c>
      <c r="H359" s="19">
        <v>10</v>
      </c>
      <c r="I359" s="19" t="s">
        <v>277</v>
      </c>
      <c r="J359" s="19">
        <v>130</v>
      </c>
      <c r="K359" s="19">
        <v>1</v>
      </c>
      <c r="L359" s="19" t="s">
        <v>526</v>
      </c>
      <c r="M359" s="19" t="s">
        <v>277</v>
      </c>
      <c r="N359" s="19" t="s">
        <v>26</v>
      </c>
      <c r="O359" s="19" t="s">
        <v>277</v>
      </c>
      <c r="P359" s="19" t="str">
        <f>IF(Clean_Data!$G359&gt;Clean_Data!$J359,Clean_Data!$F359,Clean_Data!$I359)</f>
        <v>Khulna Tigers</v>
      </c>
      <c r="Q359" s="19" t="s">
        <v>88</v>
      </c>
      <c r="R359" s="19" t="s">
        <v>89</v>
      </c>
      <c r="S359" s="19">
        <v>9</v>
      </c>
      <c r="T359" s="19">
        <v>0</v>
      </c>
      <c r="U359" s="19" t="s">
        <v>71</v>
      </c>
      <c r="V359" s="19" t="str">
        <f>IF(Clean_Data!$T359&gt;0,"Runs","Wickets")</f>
        <v>Wickets</v>
      </c>
      <c r="W359" s="19">
        <f>IF(Clean_Data!$T359&gt;0,Clean_Data!$T359,Clean_Data!$S359)</f>
        <v>9</v>
      </c>
      <c r="X359" s="19" t="str">
        <f>IF(Clean_Data!$W359&lt;=10,"Close Match","Normal")</f>
        <v>Close Match</v>
      </c>
      <c r="Y359" s="19">
        <f>Clean_Data!$G359+Clean_Data!$J359</f>
        <v>259</v>
      </c>
      <c r="Z359" s="19" t="str">
        <f>IF(Clean_Data!$Y359&gt;=170,"170+ Match","Below 170")</f>
        <v>170+ Match</v>
      </c>
      <c r="AA359" s="19" t="s">
        <v>593</v>
      </c>
      <c r="AB359" s="21" t="s">
        <v>278</v>
      </c>
    </row>
    <row r="360" spans="1:28" x14ac:dyDescent="0.3">
      <c r="A360" s="16" t="s">
        <v>579</v>
      </c>
      <c r="B360" s="5" t="str">
        <f>LEFT(Clean_Data!$A360,4)</f>
        <v>2022</v>
      </c>
      <c r="C360" s="5" t="s">
        <v>123</v>
      </c>
      <c r="D360" s="5" t="str">
        <f>IF(ISNUMBER(SEARCH("Final",Clean_Data!$C360)),"Final",
IF(ISNUMBER(SEARCH("Semi",Clean_Data!$C360)),"Semi-Final",
IF(ISNUMBER(SEARCH("Elimination",Clean_Data!$C360)),"Eliminator",
"League")))</f>
        <v>League</v>
      </c>
      <c r="E360" s="6" t="s">
        <v>598</v>
      </c>
      <c r="F360" s="5" t="s">
        <v>581</v>
      </c>
      <c r="G360" s="5">
        <v>133</v>
      </c>
      <c r="H360" s="5">
        <v>7</v>
      </c>
      <c r="I360" s="5" t="s">
        <v>143</v>
      </c>
      <c r="J360" s="5">
        <v>134</v>
      </c>
      <c r="K360" s="5">
        <v>5</v>
      </c>
      <c r="L360" s="5" t="s">
        <v>239</v>
      </c>
      <c r="M360" s="5" t="s">
        <v>143</v>
      </c>
      <c r="N360" s="5" t="s">
        <v>26</v>
      </c>
      <c r="O360" s="5" t="s">
        <v>143</v>
      </c>
      <c r="P360" s="5" t="str">
        <f>IF(Clean_Data!$G360&gt;Clean_Data!$J360,Clean_Data!$F360,Clean_Data!$I360)</f>
        <v>Comilla Victorians</v>
      </c>
      <c r="Q360" s="5" t="s">
        <v>88</v>
      </c>
      <c r="R360" s="5" t="s">
        <v>89</v>
      </c>
      <c r="S360" s="5">
        <v>5</v>
      </c>
      <c r="T360" s="5">
        <v>0</v>
      </c>
      <c r="U360" s="5" t="s">
        <v>55</v>
      </c>
      <c r="V360" s="5" t="str">
        <f>IF(Clean_Data!$T360&gt;0,"Runs","Wickets")</f>
        <v>Wickets</v>
      </c>
      <c r="W360" s="5">
        <f>IF(Clean_Data!$T360&gt;0,Clean_Data!$T360,Clean_Data!$S360)</f>
        <v>5</v>
      </c>
      <c r="X360" s="5" t="str">
        <f>IF(Clean_Data!$W360&lt;=10,"Close Match","Normal")</f>
        <v>Close Match</v>
      </c>
      <c r="Y360" s="5">
        <f>Clean_Data!$G360+Clean_Data!$J360</f>
        <v>267</v>
      </c>
      <c r="Z360" s="5" t="str">
        <f>IF(Clean_Data!$Y360&gt;=170,"170+ Match","Below 170")</f>
        <v>170+ Match</v>
      </c>
      <c r="AA360" s="5" t="s">
        <v>286</v>
      </c>
      <c r="AB360" s="17" t="s">
        <v>558</v>
      </c>
    </row>
    <row r="361" spans="1:28" x14ac:dyDescent="0.3">
      <c r="A361" s="18" t="s">
        <v>579</v>
      </c>
      <c r="B361" s="19" t="str">
        <f>LEFT(Clean_Data!$A361,4)</f>
        <v>2022</v>
      </c>
      <c r="C361" s="19" t="s">
        <v>116</v>
      </c>
      <c r="D361" s="19" t="str">
        <f>IF(ISNUMBER(SEARCH("Final",Clean_Data!$C361)),"Final",
IF(ISNUMBER(SEARCH("Semi",Clean_Data!$C361)),"Semi-Final",
IF(ISNUMBER(SEARCH("Elimination",Clean_Data!$C361)),"Eliminator",
"League")))</f>
        <v>League</v>
      </c>
      <c r="E361" s="20" t="s">
        <v>599</v>
      </c>
      <c r="F361" s="19" t="s">
        <v>143</v>
      </c>
      <c r="G361" s="19">
        <v>184</v>
      </c>
      <c r="H361" s="19">
        <v>4</v>
      </c>
      <c r="I361" s="19" t="s">
        <v>585</v>
      </c>
      <c r="J361" s="19">
        <v>151</v>
      </c>
      <c r="K361" s="19">
        <v>4</v>
      </c>
      <c r="L361" s="19" t="s">
        <v>600</v>
      </c>
      <c r="M361" s="19" t="s">
        <v>585</v>
      </c>
      <c r="N361" s="19" t="s">
        <v>26</v>
      </c>
      <c r="O361" s="19" t="s">
        <v>143</v>
      </c>
      <c r="P361" s="19" t="str">
        <f>IF(Clean_Data!$G361&gt;Clean_Data!$J361,Clean_Data!$F361,Clean_Data!$I361)</f>
        <v>Comilla Victorians</v>
      </c>
      <c r="Q361" s="19" t="s">
        <v>88</v>
      </c>
      <c r="R361" s="19" t="s">
        <v>89</v>
      </c>
      <c r="S361" s="19">
        <v>0</v>
      </c>
      <c r="T361" s="19">
        <v>33</v>
      </c>
      <c r="U361" s="19" t="s">
        <v>131</v>
      </c>
      <c r="V361" s="19" t="str">
        <f>IF(Clean_Data!$T361&gt;0,"Runs","Wickets")</f>
        <v>Runs</v>
      </c>
      <c r="W361" s="19">
        <f>IF(Clean_Data!$T361&gt;0,Clean_Data!$T361,Clean_Data!$S361)</f>
        <v>33</v>
      </c>
      <c r="X361" s="19" t="str">
        <f>IF(Clean_Data!$W361&lt;=10,"Close Match","Normal")</f>
        <v>Normal</v>
      </c>
      <c r="Y361" s="19">
        <f>Clean_Data!$G361+Clean_Data!$J361</f>
        <v>335</v>
      </c>
      <c r="Z361" s="19" t="str">
        <f>IF(Clean_Data!$Y361&gt;=170,"170+ Match","Below 170")</f>
        <v>170+ Match</v>
      </c>
      <c r="AA361" s="19" t="s">
        <v>233</v>
      </c>
      <c r="AB361" s="21" t="s">
        <v>50</v>
      </c>
    </row>
    <row r="362" spans="1:28" x14ac:dyDescent="0.3">
      <c r="A362" s="16" t="s">
        <v>579</v>
      </c>
      <c r="B362" s="5" t="str">
        <f>LEFT(Clean_Data!$A362,4)</f>
        <v>2022</v>
      </c>
      <c r="C362" s="5" t="s">
        <v>110</v>
      </c>
      <c r="D362" s="5" t="str">
        <f>IF(ISNUMBER(SEARCH("Final",Clean_Data!$C362)),"Final",
IF(ISNUMBER(SEARCH("Semi",Clean_Data!$C362)),"Semi-Final",
IF(ISNUMBER(SEARCH("Elimination",Clean_Data!$C362)),"Eliminator",
"League")))</f>
        <v>League</v>
      </c>
      <c r="E362" s="6" t="s">
        <v>599</v>
      </c>
      <c r="F362" s="5" t="s">
        <v>310</v>
      </c>
      <c r="G362" s="5">
        <v>238</v>
      </c>
      <c r="H362" s="5">
        <v>4</v>
      </c>
      <c r="I362" s="5" t="s">
        <v>295</v>
      </c>
      <c r="J362" s="5">
        <v>171</v>
      </c>
      <c r="K362" s="5">
        <v>9</v>
      </c>
      <c r="L362" s="5" t="s">
        <v>592</v>
      </c>
      <c r="M362" s="5" t="s">
        <v>295</v>
      </c>
      <c r="N362" s="5" t="s">
        <v>26</v>
      </c>
      <c r="O362" s="5" t="s">
        <v>310</v>
      </c>
      <c r="P362" s="5" t="str">
        <f>IF(Clean_Data!$G362&gt;Clean_Data!$J362,Clean_Data!$F362,Clean_Data!$I362)</f>
        <v>Fortune Barishal</v>
      </c>
      <c r="Q362" s="5" t="s">
        <v>88</v>
      </c>
      <c r="R362" s="5" t="s">
        <v>89</v>
      </c>
      <c r="S362" s="5">
        <v>0</v>
      </c>
      <c r="T362" s="5">
        <v>67</v>
      </c>
      <c r="U362" s="5" t="s">
        <v>601</v>
      </c>
      <c r="V362" s="5" t="str">
        <f>IF(Clean_Data!$T362&gt;0,"Runs","Wickets")</f>
        <v>Runs</v>
      </c>
      <c r="W362" s="5">
        <f>IF(Clean_Data!$T362&gt;0,Clean_Data!$T362,Clean_Data!$S362)</f>
        <v>67</v>
      </c>
      <c r="X362" s="5" t="str">
        <f>IF(Clean_Data!$W362&lt;=10,"Close Match","Normal")</f>
        <v>Normal</v>
      </c>
      <c r="Y362" s="5">
        <f>Clean_Data!$G362+Clean_Data!$J362</f>
        <v>409</v>
      </c>
      <c r="Z362" s="5" t="str">
        <f>IF(Clean_Data!$Y362&gt;=170,"170+ Match","Below 170")</f>
        <v>170+ Match</v>
      </c>
      <c r="AA362" s="5" t="s">
        <v>588</v>
      </c>
      <c r="AB362" s="17" t="s">
        <v>286</v>
      </c>
    </row>
    <row r="363" spans="1:28" x14ac:dyDescent="0.3">
      <c r="A363" s="18" t="s">
        <v>579</v>
      </c>
      <c r="B363" s="19" t="str">
        <f>LEFT(Clean_Data!$A363,4)</f>
        <v>2022</v>
      </c>
      <c r="C363" s="19" t="s">
        <v>104</v>
      </c>
      <c r="D363" s="19" t="str">
        <f>IF(ISNUMBER(SEARCH("Final",Clean_Data!$C363)),"Final",
IF(ISNUMBER(SEARCH("Semi",Clean_Data!$C363)),"Semi-Final",
IF(ISNUMBER(SEARCH("Elimination",Clean_Data!$C363)),"Eliminator",
"League")))</f>
        <v>League</v>
      </c>
      <c r="E363" s="20" t="s">
        <v>602</v>
      </c>
      <c r="F363" s="19" t="s">
        <v>280</v>
      </c>
      <c r="G363" s="19">
        <v>157</v>
      </c>
      <c r="H363" s="19">
        <v>9</v>
      </c>
      <c r="I363" s="19" t="s">
        <v>277</v>
      </c>
      <c r="J363" s="19">
        <v>159</v>
      </c>
      <c r="K363" s="19">
        <v>3</v>
      </c>
      <c r="L363" s="19" t="s">
        <v>567</v>
      </c>
      <c r="M363" s="19" t="s">
        <v>277</v>
      </c>
      <c r="N363" s="19" t="s">
        <v>26</v>
      </c>
      <c r="O363" s="19" t="s">
        <v>277</v>
      </c>
      <c r="P363" s="19" t="str">
        <f>IF(Clean_Data!$G363&gt;Clean_Data!$J363,Clean_Data!$F363,Clean_Data!$I363)</f>
        <v>Khulna Tigers</v>
      </c>
      <c r="Q363" s="19" t="s">
        <v>88</v>
      </c>
      <c r="R363" s="19" t="s">
        <v>89</v>
      </c>
      <c r="S363" s="19">
        <v>7</v>
      </c>
      <c r="T363" s="19">
        <v>0</v>
      </c>
      <c r="U363" s="19" t="s">
        <v>118</v>
      </c>
      <c r="V363" s="19" t="str">
        <f>IF(Clean_Data!$T363&gt;0,"Runs","Wickets")</f>
        <v>Wickets</v>
      </c>
      <c r="W363" s="19">
        <f>IF(Clean_Data!$T363&gt;0,Clean_Data!$T363,Clean_Data!$S363)</f>
        <v>7</v>
      </c>
      <c r="X363" s="19" t="str">
        <f>IF(Clean_Data!$W363&lt;=10,"Close Match","Normal")</f>
        <v>Close Match</v>
      </c>
      <c r="Y363" s="19">
        <f>Clean_Data!$G363+Clean_Data!$J363</f>
        <v>316</v>
      </c>
      <c r="Z363" s="19" t="str">
        <f>IF(Clean_Data!$Y363&gt;=170,"170+ Match","Below 170")</f>
        <v>170+ Match</v>
      </c>
      <c r="AA363" s="19" t="s">
        <v>50</v>
      </c>
      <c r="AB363" s="21" t="s">
        <v>233</v>
      </c>
    </row>
    <row r="364" spans="1:28" x14ac:dyDescent="0.3">
      <c r="A364" s="16" t="s">
        <v>579</v>
      </c>
      <c r="B364" s="5" t="str">
        <f>LEFT(Clean_Data!$A364,4)</f>
        <v>2022</v>
      </c>
      <c r="C364" s="5" t="s">
        <v>95</v>
      </c>
      <c r="D364" s="5" t="str">
        <f>IF(ISNUMBER(SEARCH("Final",Clean_Data!$C364)),"Final",
IF(ISNUMBER(SEARCH("Semi",Clean_Data!$C364)),"Semi-Final",
IF(ISNUMBER(SEARCH("Elimination",Clean_Data!$C364)),"Eliminator",
"League")))</f>
        <v>League</v>
      </c>
      <c r="E364" s="6" t="s">
        <v>602</v>
      </c>
      <c r="F364" s="5" t="s">
        <v>310</v>
      </c>
      <c r="G364" s="5">
        <v>173</v>
      </c>
      <c r="H364" s="5">
        <v>5</v>
      </c>
      <c r="I364" s="5" t="s">
        <v>585</v>
      </c>
      <c r="J364" s="5">
        <v>160</v>
      </c>
      <c r="K364" s="5">
        <v>4</v>
      </c>
      <c r="L364" s="5" t="s">
        <v>592</v>
      </c>
      <c r="M364" s="5" t="s">
        <v>585</v>
      </c>
      <c r="N364" s="5" t="s">
        <v>26</v>
      </c>
      <c r="O364" s="5" t="s">
        <v>310</v>
      </c>
      <c r="P364" s="5" t="str">
        <f>IF(Clean_Data!$G364&gt;Clean_Data!$J364,Clean_Data!$F364,Clean_Data!$I364)</f>
        <v>Fortune Barishal</v>
      </c>
      <c r="Q364" s="5" t="s">
        <v>88</v>
      </c>
      <c r="R364" s="5" t="s">
        <v>89</v>
      </c>
      <c r="S364" s="5">
        <v>0</v>
      </c>
      <c r="T364" s="5">
        <v>13</v>
      </c>
      <c r="U364" s="5" t="s">
        <v>81</v>
      </c>
      <c r="V364" s="5" t="str">
        <f>IF(Clean_Data!$T364&gt;0,"Runs","Wickets")</f>
        <v>Runs</v>
      </c>
      <c r="W364" s="5">
        <f>IF(Clean_Data!$T364&gt;0,Clean_Data!$T364,Clean_Data!$S364)</f>
        <v>13</v>
      </c>
      <c r="X364" s="5" t="str">
        <f>IF(Clean_Data!$W364&lt;=10,"Close Match","Normal")</f>
        <v>Normal</v>
      </c>
      <c r="Y364" s="5">
        <f>Clean_Data!$G364+Clean_Data!$J364</f>
        <v>333</v>
      </c>
      <c r="Z364" s="5" t="str">
        <f>IF(Clean_Data!$Y364&gt;=170,"170+ Match","Below 170")</f>
        <v>170+ Match</v>
      </c>
      <c r="AA364" s="5" t="s">
        <v>278</v>
      </c>
      <c r="AB364" s="17" t="s">
        <v>588</v>
      </c>
    </row>
    <row r="365" spans="1:28" x14ac:dyDescent="0.3">
      <c r="A365" s="18" t="s">
        <v>579</v>
      </c>
      <c r="B365" s="19" t="str">
        <f>LEFT(Clean_Data!$A365,4)</f>
        <v>2022</v>
      </c>
      <c r="C365" s="19" t="s">
        <v>91</v>
      </c>
      <c r="D365" s="19" t="str">
        <f>IF(ISNUMBER(SEARCH("Final",Clean_Data!$C365)),"Final",
IF(ISNUMBER(SEARCH("Semi",Clean_Data!$C365)),"Semi-Final",
IF(ISNUMBER(SEARCH("Elimination",Clean_Data!$C365)),"Eliminator",
"League")))</f>
        <v>League</v>
      </c>
      <c r="E365" s="20" t="s">
        <v>603</v>
      </c>
      <c r="F365" s="19" t="s">
        <v>295</v>
      </c>
      <c r="G365" s="19">
        <v>179</v>
      </c>
      <c r="H365" s="19">
        <v>6</v>
      </c>
      <c r="I365" s="19" t="s">
        <v>280</v>
      </c>
      <c r="J365" s="19">
        <v>124</v>
      </c>
      <c r="K365" s="19">
        <v>10</v>
      </c>
      <c r="L365" s="19" t="s">
        <v>604</v>
      </c>
      <c r="M365" s="19" t="s">
        <v>280</v>
      </c>
      <c r="N365" s="19" t="s">
        <v>26</v>
      </c>
      <c r="O365" s="19" t="s">
        <v>295</v>
      </c>
      <c r="P365" s="19" t="str">
        <f>IF(Clean_Data!$G365&gt;Clean_Data!$J365,Clean_Data!$F365,Clean_Data!$I365)</f>
        <v>Rangpur Rangers</v>
      </c>
      <c r="Q365" s="19" t="s">
        <v>28</v>
      </c>
      <c r="R365" s="19" t="s">
        <v>29</v>
      </c>
      <c r="S365" s="19">
        <v>0</v>
      </c>
      <c r="T365" s="19">
        <v>55</v>
      </c>
      <c r="U365" s="19" t="s">
        <v>605</v>
      </c>
      <c r="V365" s="19" t="str">
        <f>IF(Clean_Data!$T365&gt;0,"Runs","Wickets")</f>
        <v>Runs</v>
      </c>
      <c r="W365" s="19">
        <f>IF(Clean_Data!$T365&gt;0,Clean_Data!$T365,Clean_Data!$S365)</f>
        <v>55</v>
      </c>
      <c r="X365" s="19" t="str">
        <f>IF(Clean_Data!$W365&lt;=10,"Close Match","Normal")</f>
        <v>Normal</v>
      </c>
      <c r="Y365" s="19">
        <f>Clean_Data!$G365+Clean_Data!$J365</f>
        <v>303</v>
      </c>
      <c r="Z365" s="19" t="str">
        <f>IF(Clean_Data!$Y365&gt;=170,"170+ Match","Below 170")</f>
        <v>170+ Match</v>
      </c>
      <c r="AA365" s="19" t="s">
        <v>606</v>
      </c>
      <c r="AB365" s="21" t="s">
        <v>286</v>
      </c>
    </row>
    <row r="366" spans="1:28" x14ac:dyDescent="0.3">
      <c r="A366" s="16" t="s">
        <v>579</v>
      </c>
      <c r="B366" s="5" t="str">
        <f>LEFT(Clean_Data!$A366,4)</f>
        <v>2022</v>
      </c>
      <c r="C366" s="5" t="s">
        <v>85</v>
      </c>
      <c r="D366" s="5" t="str">
        <f>IF(ISNUMBER(SEARCH("Final",Clean_Data!$C366)),"Final",
IF(ISNUMBER(SEARCH("Semi",Clean_Data!$C366)),"Semi-Final",
IF(ISNUMBER(SEARCH("Elimination",Clean_Data!$C366)),"Eliminator",
"League")))</f>
        <v>League</v>
      </c>
      <c r="E366" s="6" t="s">
        <v>603</v>
      </c>
      <c r="F366" s="5" t="s">
        <v>143</v>
      </c>
      <c r="G366" s="5">
        <v>164</v>
      </c>
      <c r="H366" s="5">
        <v>6</v>
      </c>
      <c r="I366" s="5" t="s">
        <v>585</v>
      </c>
      <c r="J366" s="5">
        <v>104</v>
      </c>
      <c r="K366" s="5">
        <v>9</v>
      </c>
      <c r="L366" s="5" t="s">
        <v>600</v>
      </c>
      <c r="M366" s="5" t="s">
        <v>585</v>
      </c>
      <c r="N366" s="5" t="s">
        <v>26</v>
      </c>
      <c r="O366" s="5" t="s">
        <v>143</v>
      </c>
      <c r="P366" s="5" t="str">
        <f>IF(Clean_Data!$G366&gt;Clean_Data!$J366,Clean_Data!$F366,Clean_Data!$I366)</f>
        <v>Comilla Victorians</v>
      </c>
      <c r="Q366" s="5" t="s">
        <v>28</v>
      </c>
      <c r="R366" s="5" t="s">
        <v>29</v>
      </c>
      <c r="S366" s="5">
        <v>0</v>
      </c>
      <c r="T366" s="5">
        <v>60</v>
      </c>
      <c r="U366" s="5" t="s">
        <v>607</v>
      </c>
      <c r="V366" s="5" t="str">
        <f>IF(Clean_Data!$T366&gt;0,"Runs","Wickets")</f>
        <v>Runs</v>
      </c>
      <c r="W366" s="5">
        <f>IF(Clean_Data!$T366&gt;0,Clean_Data!$T366,Clean_Data!$S366)</f>
        <v>60</v>
      </c>
      <c r="X366" s="5" t="str">
        <f>IF(Clean_Data!$W366&lt;=10,"Close Match","Normal")</f>
        <v>Normal</v>
      </c>
      <c r="Y366" s="5">
        <f>Clean_Data!$G366+Clean_Data!$J366</f>
        <v>268</v>
      </c>
      <c r="Z366" s="5" t="str">
        <f>IF(Clean_Data!$Y366&gt;=170,"170+ Match","Below 170")</f>
        <v>170+ Match</v>
      </c>
      <c r="AA366" s="5" t="s">
        <v>66</v>
      </c>
      <c r="AB366" s="17" t="s">
        <v>233</v>
      </c>
    </row>
    <row r="367" spans="1:28" x14ac:dyDescent="0.3">
      <c r="A367" s="18" t="s">
        <v>579</v>
      </c>
      <c r="B367" s="19" t="str">
        <f>LEFT(Clean_Data!$A367,4)</f>
        <v>2022</v>
      </c>
      <c r="C367" s="19" t="s">
        <v>78</v>
      </c>
      <c r="D367" s="19" t="str">
        <f>IF(ISNUMBER(SEARCH("Final",Clean_Data!$C367)),"Final",
IF(ISNUMBER(SEARCH("Semi",Clean_Data!$C367)),"Semi-Final",
IF(ISNUMBER(SEARCH("Elimination",Clean_Data!$C367)),"Eliminator",
"League")))</f>
        <v>League</v>
      </c>
      <c r="E367" s="20" t="s">
        <v>608</v>
      </c>
      <c r="F367" s="19" t="s">
        <v>581</v>
      </c>
      <c r="G367" s="19">
        <v>173</v>
      </c>
      <c r="H367" s="19">
        <v>5</v>
      </c>
      <c r="I367" s="19" t="s">
        <v>310</v>
      </c>
      <c r="J367" s="19">
        <v>178</v>
      </c>
      <c r="K367" s="19">
        <v>8</v>
      </c>
      <c r="L367" s="19" t="s">
        <v>291</v>
      </c>
      <c r="M367" s="19" t="s">
        <v>310</v>
      </c>
      <c r="N367" s="19" t="s">
        <v>26</v>
      </c>
      <c r="O367" s="19" t="s">
        <v>581</v>
      </c>
      <c r="P367" s="19" t="str">
        <f>IF(Clean_Data!$G367&gt;Clean_Data!$J367,Clean_Data!$F367,Clean_Data!$I367)</f>
        <v>Fortune Barishal</v>
      </c>
      <c r="Q367" s="19" t="s">
        <v>28</v>
      </c>
      <c r="R367" s="19" t="s">
        <v>29</v>
      </c>
      <c r="S367" s="19">
        <v>0</v>
      </c>
      <c r="T367" s="19">
        <v>2</v>
      </c>
      <c r="U367" s="19" t="s">
        <v>128</v>
      </c>
      <c r="V367" s="19" t="str">
        <f>IF(Clean_Data!$T367&gt;0,"Runs","Wickets")</f>
        <v>Runs</v>
      </c>
      <c r="W367" s="19">
        <f>IF(Clean_Data!$T367&gt;0,Clean_Data!$T367,Clean_Data!$S367)</f>
        <v>2</v>
      </c>
      <c r="X367" s="19" t="str">
        <f>IF(Clean_Data!$W367&lt;=10,"Close Match","Normal")</f>
        <v>Close Match</v>
      </c>
      <c r="Y367" s="19">
        <f>Clean_Data!$G367+Clean_Data!$J367</f>
        <v>351</v>
      </c>
      <c r="Z367" s="19" t="str">
        <f>IF(Clean_Data!$Y367&gt;=170,"170+ Match","Below 170")</f>
        <v>170+ Match</v>
      </c>
      <c r="AA367" s="19" t="s">
        <v>278</v>
      </c>
      <c r="AB367" s="21" t="s">
        <v>588</v>
      </c>
    </row>
    <row r="368" spans="1:28" x14ac:dyDescent="0.3">
      <c r="A368" s="16" t="s">
        <v>579</v>
      </c>
      <c r="B368" s="5" t="str">
        <f>LEFT(Clean_Data!$A368,4)</f>
        <v>2022</v>
      </c>
      <c r="C368" s="5" t="s">
        <v>68</v>
      </c>
      <c r="D368" s="5" t="str">
        <f>IF(ISNUMBER(SEARCH("Final",Clean_Data!$C368)),"Final",
IF(ISNUMBER(SEARCH("Semi",Clean_Data!$C368)),"Semi-Final",
IF(ISNUMBER(SEARCH("Elimination",Clean_Data!$C368)),"Eliminator",
"League")))</f>
        <v>League</v>
      </c>
      <c r="E368" s="6" t="s">
        <v>608</v>
      </c>
      <c r="F368" s="5" t="s">
        <v>585</v>
      </c>
      <c r="G368" s="5">
        <v>108</v>
      </c>
      <c r="H368" s="5">
        <v>10</v>
      </c>
      <c r="I368" s="5" t="s">
        <v>277</v>
      </c>
      <c r="J368" s="5">
        <v>84</v>
      </c>
      <c r="K368" s="5">
        <v>10</v>
      </c>
      <c r="L368" s="5" t="s">
        <v>94</v>
      </c>
      <c r="M368" s="5" t="s">
        <v>277</v>
      </c>
      <c r="N368" s="5" t="s">
        <v>26</v>
      </c>
      <c r="O368" s="5" t="s">
        <v>585</v>
      </c>
      <c r="P368" s="5" t="str">
        <f>IF(Clean_Data!$G368&gt;Clean_Data!$J368,Clean_Data!$F368,Clean_Data!$I368)</f>
        <v>Dhaka Dominators</v>
      </c>
      <c r="Q368" s="5" t="s">
        <v>28</v>
      </c>
      <c r="R368" s="5" t="s">
        <v>29</v>
      </c>
      <c r="S368" s="5">
        <v>0</v>
      </c>
      <c r="T368" s="5">
        <v>24</v>
      </c>
      <c r="U368" s="5" t="s">
        <v>541</v>
      </c>
      <c r="V368" s="5" t="str">
        <f>IF(Clean_Data!$T368&gt;0,"Runs","Wickets")</f>
        <v>Runs</v>
      </c>
      <c r="W368" s="5">
        <f>IF(Clean_Data!$T368&gt;0,Clean_Data!$T368,Clean_Data!$S368)</f>
        <v>24</v>
      </c>
      <c r="X368" s="5" t="str">
        <f>IF(Clean_Data!$W368&lt;=10,"Close Match","Normal")</f>
        <v>Normal</v>
      </c>
      <c r="Y368" s="5">
        <f>Clean_Data!$G368+Clean_Data!$J368</f>
        <v>192</v>
      </c>
      <c r="Z368" s="5" t="str">
        <f>IF(Clean_Data!$Y368&gt;=170,"170+ Match","Below 170")</f>
        <v>170+ Match</v>
      </c>
      <c r="AA368" s="5" t="s">
        <v>606</v>
      </c>
      <c r="AB368" s="17" t="s">
        <v>233</v>
      </c>
    </row>
    <row r="369" spans="1:28" x14ac:dyDescent="0.3">
      <c r="A369" s="18" t="s">
        <v>579</v>
      </c>
      <c r="B369" s="19" t="str">
        <f>LEFT(Clean_Data!$A369,4)</f>
        <v>2022</v>
      </c>
      <c r="C369" s="19" t="s">
        <v>67</v>
      </c>
      <c r="D369" s="19" t="str">
        <f>IF(ISNUMBER(SEARCH("Final",Clean_Data!$C369)),"Final",
IF(ISNUMBER(SEARCH("Semi",Clean_Data!$C369)),"Semi-Final",
IF(ISNUMBER(SEARCH("Elimination",Clean_Data!$C369)),"Eliminator",
"League")))</f>
        <v>League</v>
      </c>
      <c r="E369" s="20" t="s">
        <v>609</v>
      </c>
      <c r="F369" s="19" t="s">
        <v>581</v>
      </c>
      <c r="G369" s="19">
        <v>92</v>
      </c>
      <c r="H369" s="19">
        <v>9</v>
      </c>
      <c r="I369" s="19" t="s">
        <v>295</v>
      </c>
      <c r="J369" s="19">
        <v>93</v>
      </c>
      <c r="K369" s="19">
        <v>4</v>
      </c>
      <c r="L369" s="19" t="s">
        <v>610</v>
      </c>
      <c r="M369" s="19" t="s">
        <v>113</v>
      </c>
      <c r="N369" s="19" t="s">
        <v>26</v>
      </c>
      <c r="O369" s="19" t="s">
        <v>295</v>
      </c>
      <c r="P369" s="19" t="str">
        <f>IF(Clean_Data!$G369&gt;Clean_Data!$J369,Clean_Data!$F369,Clean_Data!$I369)</f>
        <v>Rangpur Rangers</v>
      </c>
      <c r="Q369" s="19" t="s">
        <v>469</v>
      </c>
      <c r="R369" s="19" t="s">
        <v>470</v>
      </c>
      <c r="S369" s="19">
        <v>6</v>
      </c>
      <c r="T369" s="19">
        <v>0</v>
      </c>
      <c r="U369" s="19" t="s">
        <v>151</v>
      </c>
      <c r="V369" s="19" t="str">
        <f>IF(Clean_Data!$T369&gt;0,"Runs","Wickets")</f>
        <v>Wickets</v>
      </c>
      <c r="W369" s="19">
        <f>IF(Clean_Data!$T369&gt;0,Clean_Data!$T369,Clean_Data!$S369)</f>
        <v>6</v>
      </c>
      <c r="X369" s="19" t="str">
        <f>IF(Clean_Data!$W369&lt;=10,"Close Match","Normal")</f>
        <v>Close Match</v>
      </c>
      <c r="Y369" s="19">
        <f>Clean_Data!$G369+Clean_Data!$J369</f>
        <v>185</v>
      </c>
      <c r="Z369" s="19" t="str">
        <f>IF(Clean_Data!$Y369&gt;=170,"170+ Match","Below 170")</f>
        <v>170+ Match</v>
      </c>
      <c r="AA369" s="19" t="s">
        <v>56</v>
      </c>
      <c r="AB369" s="21" t="s">
        <v>286</v>
      </c>
    </row>
    <row r="370" spans="1:28" x14ac:dyDescent="0.3">
      <c r="A370" s="16" t="s">
        <v>579</v>
      </c>
      <c r="B370" s="5" t="str">
        <f>LEFT(Clean_Data!$A370,4)</f>
        <v>2022</v>
      </c>
      <c r="C370" s="5" t="s">
        <v>60</v>
      </c>
      <c r="D370" s="5" t="str">
        <f>IF(ISNUMBER(SEARCH("Final",Clean_Data!$C370)),"Final",
IF(ISNUMBER(SEARCH("Semi",Clean_Data!$C370)),"Semi-Final",
IF(ISNUMBER(SEARCH("Elimination",Clean_Data!$C370)),"Eliminator",
"League")))</f>
        <v>League</v>
      </c>
      <c r="E370" s="6" t="s">
        <v>609</v>
      </c>
      <c r="F370" s="5" t="s">
        <v>280</v>
      </c>
      <c r="G370" s="5">
        <v>168</v>
      </c>
      <c r="H370" s="5">
        <v>6</v>
      </c>
      <c r="I370" s="5" t="s">
        <v>310</v>
      </c>
      <c r="J370" s="5">
        <v>171</v>
      </c>
      <c r="K370" s="5">
        <v>7</v>
      </c>
      <c r="L370" s="5" t="s">
        <v>182</v>
      </c>
      <c r="M370" s="5" t="s">
        <v>310</v>
      </c>
      <c r="N370" s="5" t="s">
        <v>26</v>
      </c>
      <c r="O370" s="5" t="s">
        <v>310</v>
      </c>
      <c r="P370" s="5" t="str">
        <f>IF(Clean_Data!$G370&gt;Clean_Data!$J370,Clean_Data!$F370,Clean_Data!$I370)</f>
        <v>Fortune Barishal</v>
      </c>
      <c r="Q370" s="5" t="s">
        <v>469</v>
      </c>
      <c r="R370" s="5" t="s">
        <v>470</v>
      </c>
      <c r="S370" s="5">
        <v>3</v>
      </c>
      <c r="T370" s="5">
        <v>0</v>
      </c>
      <c r="U370" s="5" t="s">
        <v>49</v>
      </c>
      <c r="V370" s="5" t="str">
        <f>IF(Clean_Data!$T370&gt;0,"Runs","Wickets")</f>
        <v>Wickets</v>
      </c>
      <c r="W370" s="5">
        <f>IF(Clean_Data!$T370&gt;0,Clean_Data!$T370,Clean_Data!$S370)</f>
        <v>3</v>
      </c>
      <c r="X370" s="5" t="str">
        <f>IF(Clean_Data!$W370&lt;=10,"Close Match","Normal")</f>
        <v>Close Match</v>
      </c>
      <c r="Y370" s="5">
        <f>Clean_Data!$G370+Clean_Data!$J370</f>
        <v>339</v>
      </c>
      <c r="Z370" s="5" t="str">
        <f>IF(Clean_Data!$Y370&gt;=170,"170+ Match","Below 170")</f>
        <v>170+ Match</v>
      </c>
      <c r="AA370" s="5" t="s">
        <v>278</v>
      </c>
      <c r="AB370" s="17" t="s">
        <v>583</v>
      </c>
    </row>
    <row r="371" spans="1:28" x14ac:dyDescent="0.3">
      <c r="A371" s="18" t="s">
        <v>579</v>
      </c>
      <c r="B371" s="19" t="str">
        <f>LEFT(Clean_Data!$A371,4)</f>
        <v>2022</v>
      </c>
      <c r="C371" s="19" t="s">
        <v>58</v>
      </c>
      <c r="D371" s="19" t="str">
        <f>IF(ISNUMBER(SEARCH("Final",Clean_Data!$C371)),"Final",
IF(ISNUMBER(SEARCH("Semi",Clean_Data!$C371)),"Semi-Final",
IF(ISNUMBER(SEARCH("Elimination",Clean_Data!$C371)),"Eliminator",
"League")))</f>
        <v>League</v>
      </c>
      <c r="E371" s="20" t="s">
        <v>611</v>
      </c>
      <c r="F371" s="19" t="s">
        <v>143</v>
      </c>
      <c r="G371" s="19">
        <v>165</v>
      </c>
      <c r="H371" s="19">
        <v>2</v>
      </c>
      <c r="I371" s="19" t="s">
        <v>277</v>
      </c>
      <c r="J371" s="19">
        <v>161</v>
      </c>
      <c r="K371" s="19">
        <v>6</v>
      </c>
      <c r="L371" s="19" t="s">
        <v>612</v>
      </c>
      <c r="M371" s="19" t="s">
        <v>277</v>
      </c>
      <c r="N371" s="19" t="s">
        <v>26</v>
      </c>
      <c r="O371" s="19" t="s">
        <v>143</v>
      </c>
      <c r="P371" s="19" t="str">
        <f>IF(Clean_Data!$G371&gt;Clean_Data!$J371,Clean_Data!$F371,Clean_Data!$I371)</f>
        <v>Comilla Victorians</v>
      </c>
      <c r="Q371" s="19" t="s">
        <v>469</v>
      </c>
      <c r="R371" s="19" t="s">
        <v>470</v>
      </c>
      <c r="S371" s="19">
        <v>0</v>
      </c>
      <c r="T371" s="19">
        <v>4</v>
      </c>
      <c r="U371" s="19" t="s">
        <v>103</v>
      </c>
      <c r="V371" s="19" t="str">
        <f>IF(Clean_Data!$T371&gt;0,"Runs","Wickets")</f>
        <v>Runs</v>
      </c>
      <c r="W371" s="19">
        <f>IF(Clean_Data!$T371&gt;0,Clean_Data!$T371,Clean_Data!$S371)</f>
        <v>4</v>
      </c>
      <c r="X371" s="19" t="str">
        <f>IF(Clean_Data!$W371&lt;=10,"Close Match","Normal")</f>
        <v>Close Match</v>
      </c>
      <c r="Y371" s="19">
        <f>Clean_Data!$G371+Clean_Data!$J371</f>
        <v>326</v>
      </c>
      <c r="Z371" s="19" t="str">
        <f>IF(Clean_Data!$Y371&gt;=170,"170+ Match","Below 170")</f>
        <v>170+ Match</v>
      </c>
      <c r="AA371" s="19" t="s">
        <v>50</v>
      </c>
      <c r="AB371" s="21" t="s">
        <v>233</v>
      </c>
    </row>
    <row r="372" spans="1:28" x14ac:dyDescent="0.3">
      <c r="A372" s="16" t="s">
        <v>579</v>
      </c>
      <c r="B372" s="5" t="str">
        <f>LEFT(Clean_Data!$A372,4)</f>
        <v>2022</v>
      </c>
      <c r="C372" s="5" t="s">
        <v>51</v>
      </c>
      <c r="D372" s="5" t="str">
        <f>IF(ISNUMBER(SEARCH("Final",Clean_Data!$C372)),"Final",
IF(ISNUMBER(SEARCH("Semi",Clean_Data!$C372)),"Semi-Final",
IF(ISNUMBER(SEARCH("Elimination",Clean_Data!$C372)),"Eliminator",
"League")))</f>
        <v>League</v>
      </c>
      <c r="E372" s="6" t="s">
        <v>611</v>
      </c>
      <c r="F372" s="5" t="s">
        <v>280</v>
      </c>
      <c r="G372" s="5">
        <v>174</v>
      </c>
      <c r="H372" s="5">
        <v>6</v>
      </c>
      <c r="I372" s="5" t="s">
        <v>581</v>
      </c>
      <c r="J372" s="5">
        <v>177</v>
      </c>
      <c r="K372" s="5">
        <v>3</v>
      </c>
      <c r="L372" s="5" t="s">
        <v>613</v>
      </c>
      <c r="M372" s="5" t="s">
        <v>280</v>
      </c>
      <c r="N372" s="5" t="s">
        <v>37</v>
      </c>
      <c r="O372" s="5" t="s">
        <v>581</v>
      </c>
      <c r="P372" s="5" t="str">
        <f>IF(Clean_Data!$G372&gt;Clean_Data!$J372,Clean_Data!$F372,Clean_Data!$I372)</f>
        <v>Sylhet Strikers</v>
      </c>
      <c r="Q372" s="5" t="s">
        <v>469</v>
      </c>
      <c r="R372" s="5" t="s">
        <v>470</v>
      </c>
      <c r="S372" s="5">
        <v>7</v>
      </c>
      <c r="T372" s="5">
        <v>0</v>
      </c>
      <c r="U372" s="5" t="s">
        <v>118</v>
      </c>
      <c r="V372" s="5" t="str">
        <f>IF(Clean_Data!$T372&gt;0,"Runs","Wickets")</f>
        <v>Wickets</v>
      </c>
      <c r="W372" s="5">
        <f>IF(Clean_Data!$T372&gt;0,Clean_Data!$T372,Clean_Data!$S372)</f>
        <v>7</v>
      </c>
      <c r="X372" s="5" t="str">
        <f>IF(Clean_Data!$W372&lt;=10,"Close Match","Normal")</f>
        <v>Close Match</v>
      </c>
      <c r="Y372" s="5">
        <f>Clean_Data!$G372+Clean_Data!$J372</f>
        <v>351</v>
      </c>
      <c r="Z372" s="5" t="str">
        <f>IF(Clean_Data!$Y372&gt;=170,"170+ Match","Below 170")</f>
        <v>170+ Match</v>
      </c>
      <c r="AA372" s="5" t="s">
        <v>278</v>
      </c>
      <c r="AB372" s="17" t="s">
        <v>558</v>
      </c>
    </row>
    <row r="373" spans="1:28" x14ac:dyDescent="0.3">
      <c r="A373" s="18" t="s">
        <v>579</v>
      </c>
      <c r="B373" s="19" t="str">
        <f>LEFT(Clean_Data!$A373,4)</f>
        <v>2022</v>
      </c>
      <c r="C373" s="19" t="s">
        <v>45</v>
      </c>
      <c r="D373" s="19" t="str">
        <f>IF(ISNUMBER(SEARCH("Final",Clean_Data!$C373)),"Final",
IF(ISNUMBER(SEARCH("Semi",Clean_Data!$C373)),"Semi-Final",
IF(ISNUMBER(SEARCH("Elimination",Clean_Data!$C373)),"Eliminator",
"League")))</f>
        <v>League</v>
      </c>
      <c r="E373" s="20" t="s">
        <v>614</v>
      </c>
      <c r="F373" s="19" t="s">
        <v>585</v>
      </c>
      <c r="G373" s="19">
        <v>144</v>
      </c>
      <c r="H373" s="19">
        <v>5</v>
      </c>
      <c r="I373" s="19" t="s">
        <v>295</v>
      </c>
      <c r="J373" s="19">
        <v>146</v>
      </c>
      <c r="K373" s="19">
        <v>5</v>
      </c>
      <c r="L373" s="19" t="s">
        <v>443</v>
      </c>
      <c r="M373" s="19" t="s">
        <v>113</v>
      </c>
      <c r="N373" s="19" t="s">
        <v>26</v>
      </c>
      <c r="O373" s="19" t="s">
        <v>295</v>
      </c>
      <c r="P373" s="19" t="str">
        <f>IF(Clean_Data!$G373&gt;Clean_Data!$J373,Clean_Data!$F373,Clean_Data!$I373)</f>
        <v>Rangpur Rangers</v>
      </c>
      <c r="Q373" s="19" t="s">
        <v>469</v>
      </c>
      <c r="R373" s="19" t="s">
        <v>470</v>
      </c>
      <c r="S373" s="19">
        <v>5</v>
      </c>
      <c r="T373" s="19">
        <v>0</v>
      </c>
      <c r="U373" s="19" t="s">
        <v>55</v>
      </c>
      <c r="V373" s="19" t="str">
        <f>IF(Clean_Data!$T373&gt;0,"Runs","Wickets")</f>
        <v>Wickets</v>
      </c>
      <c r="W373" s="19">
        <f>IF(Clean_Data!$T373&gt;0,Clean_Data!$T373,Clean_Data!$S373)</f>
        <v>5</v>
      </c>
      <c r="X373" s="19" t="str">
        <f>IF(Clean_Data!$W373&lt;=10,"Close Match","Normal")</f>
        <v>Close Match</v>
      </c>
      <c r="Y373" s="19">
        <f>Clean_Data!$G373+Clean_Data!$J373</f>
        <v>290</v>
      </c>
      <c r="Z373" s="19" t="str">
        <f>IF(Clean_Data!$Y373&gt;=170,"170+ Match","Below 170")</f>
        <v>170+ Match</v>
      </c>
      <c r="AA373" s="19" t="s">
        <v>593</v>
      </c>
      <c r="AB373" s="21" t="s">
        <v>286</v>
      </c>
    </row>
    <row r="374" spans="1:28" x14ac:dyDescent="0.3">
      <c r="A374" s="16" t="s">
        <v>579</v>
      </c>
      <c r="B374" s="5" t="str">
        <f>LEFT(Clean_Data!$A374,4)</f>
        <v>2022</v>
      </c>
      <c r="C374" s="5" t="s">
        <v>336</v>
      </c>
      <c r="D374" s="5" t="str">
        <f>IF(ISNUMBER(SEARCH("Final",Clean_Data!$C374)),"Final",
IF(ISNUMBER(SEARCH("Semi",Clean_Data!$C374)),"Semi-Final",
IF(ISNUMBER(SEARCH("Elimination",Clean_Data!$C374)),"Eliminator",
"League")))</f>
        <v>League</v>
      </c>
      <c r="E374" s="6" t="s">
        <v>614</v>
      </c>
      <c r="F374" s="5" t="s">
        <v>581</v>
      </c>
      <c r="G374" s="5">
        <v>192</v>
      </c>
      <c r="H374" s="5">
        <v>4</v>
      </c>
      <c r="I374" s="5" t="s">
        <v>277</v>
      </c>
      <c r="J374" s="5">
        <v>161</v>
      </c>
      <c r="K374" s="5">
        <v>9</v>
      </c>
      <c r="L374" s="5" t="s">
        <v>586</v>
      </c>
      <c r="M374" s="5" t="s">
        <v>277</v>
      </c>
      <c r="N374" s="5" t="s">
        <v>26</v>
      </c>
      <c r="O374" s="5" t="s">
        <v>581</v>
      </c>
      <c r="P374" s="5" t="str">
        <f>IF(Clean_Data!$G374&gt;Clean_Data!$J374,Clean_Data!$F374,Clean_Data!$I374)</f>
        <v>Sylhet Strikers</v>
      </c>
      <c r="Q374" s="5" t="s">
        <v>469</v>
      </c>
      <c r="R374" s="5" t="s">
        <v>470</v>
      </c>
      <c r="S374" s="5">
        <v>0</v>
      </c>
      <c r="T374" s="5">
        <v>31</v>
      </c>
      <c r="U374" s="5" t="s">
        <v>353</v>
      </c>
      <c r="V374" s="5" t="str">
        <f>IF(Clean_Data!$T374&gt;0,"Runs","Wickets")</f>
        <v>Runs</v>
      </c>
      <c r="W374" s="5">
        <f>IF(Clean_Data!$T374&gt;0,Clean_Data!$T374,Clean_Data!$S374)</f>
        <v>31</v>
      </c>
      <c r="X374" s="5" t="str">
        <f>IF(Clean_Data!$W374&lt;=10,"Close Match","Normal")</f>
        <v>Normal</v>
      </c>
      <c r="Y374" s="5">
        <f>Clean_Data!$G374+Clean_Data!$J374</f>
        <v>353</v>
      </c>
      <c r="Z374" s="5" t="str">
        <f>IF(Clean_Data!$Y374&gt;=170,"170+ Match","Below 170")</f>
        <v>170+ Match</v>
      </c>
      <c r="AA374" s="5" t="s">
        <v>216</v>
      </c>
      <c r="AB374" s="17" t="s">
        <v>233</v>
      </c>
    </row>
    <row r="375" spans="1:28" x14ac:dyDescent="0.3">
      <c r="A375" s="18" t="s">
        <v>579</v>
      </c>
      <c r="B375" s="19" t="str">
        <f>LEFT(Clean_Data!$A375,4)</f>
        <v>2022</v>
      </c>
      <c r="C375" s="19" t="s">
        <v>334</v>
      </c>
      <c r="D375" s="19" t="str">
        <f>IF(ISNUMBER(SEARCH("Final",Clean_Data!$C375)),"Final",
IF(ISNUMBER(SEARCH("Semi",Clean_Data!$C375)),"Semi-Final",
IF(ISNUMBER(SEARCH("Elimination",Clean_Data!$C375)),"Eliminator",
"League")))</f>
        <v>League</v>
      </c>
      <c r="E375" s="20" t="s">
        <v>615</v>
      </c>
      <c r="F375" s="19" t="s">
        <v>310</v>
      </c>
      <c r="G375" s="19">
        <v>156</v>
      </c>
      <c r="H375" s="19">
        <v>8</v>
      </c>
      <c r="I375" s="19" t="s">
        <v>585</v>
      </c>
      <c r="J375" s="19">
        <v>157</v>
      </c>
      <c r="K375" s="19">
        <v>5</v>
      </c>
      <c r="L375" s="19" t="s">
        <v>249</v>
      </c>
      <c r="M375" s="19" t="s">
        <v>310</v>
      </c>
      <c r="N375" s="19" t="s">
        <v>37</v>
      </c>
      <c r="O375" s="19" t="s">
        <v>585</v>
      </c>
      <c r="P375" s="19" t="str">
        <f>IF(Clean_Data!$G375&gt;Clean_Data!$J375,Clean_Data!$F375,Clean_Data!$I375)</f>
        <v>Dhaka Dominators</v>
      </c>
      <c r="Q375" s="19" t="s">
        <v>469</v>
      </c>
      <c r="R375" s="19" t="s">
        <v>470</v>
      </c>
      <c r="S375" s="19">
        <v>5</v>
      </c>
      <c r="T375" s="19">
        <v>0</v>
      </c>
      <c r="U375" s="19" t="s">
        <v>55</v>
      </c>
      <c r="V375" s="19" t="str">
        <f>IF(Clean_Data!$T375&gt;0,"Runs","Wickets")</f>
        <v>Wickets</v>
      </c>
      <c r="W375" s="19">
        <f>IF(Clean_Data!$T375&gt;0,Clean_Data!$T375,Clean_Data!$S375)</f>
        <v>5</v>
      </c>
      <c r="X375" s="19" t="str">
        <f>IF(Clean_Data!$W375&lt;=10,"Close Match","Normal")</f>
        <v>Close Match</v>
      </c>
      <c r="Y375" s="19">
        <f>Clean_Data!$G375+Clean_Data!$J375</f>
        <v>313</v>
      </c>
      <c r="Z375" s="19" t="str">
        <f>IF(Clean_Data!$Y375&gt;=170,"170+ Match","Below 170")</f>
        <v>170+ Match</v>
      </c>
      <c r="AA375" s="19" t="s">
        <v>562</v>
      </c>
      <c r="AB375" s="21" t="s">
        <v>286</v>
      </c>
    </row>
    <row r="376" spans="1:28" x14ac:dyDescent="0.3">
      <c r="A376" s="16" t="s">
        <v>579</v>
      </c>
      <c r="B376" s="5" t="str">
        <f>LEFT(Clean_Data!$A376,4)</f>
        <v>2022</v>
      </c>
      <c r="C376" s="5" t="s">
        <v>330</v>
      </c>
      <c r="D376" s="5" t="str">
        <f>IF(ISNUMBER(SEARCH("Final",Clean_Data!$C376)),"Final",
IF(ISNUMBER(SEARCH("Semi",Clean_Data!$C376)),"Semi-Final",
IF(ISNUMBER(SEARCH("Elimination",Clean_Data!$C376)),"Eliminator",
"League")))</f>
        <v>League</v>
      </c>
      <c r="E376" s="6" t="s">
        <v>615</v>
      </c>
      <c r="F376" s="5" t="s">
        <v>277</v>
      </c>
      <c r="G376" s="5">
        <v>210</v>
      </c>
      <c r="H376" s="5">
        <v>2</v>
      </c>
      <c r="I376" s="5" t="s">
        <v>143</v>
      </c>
      <c r="J376" s="5">
        <v>213</v>
      </c>
      <c r="K376" s="5">
        <v>3</v>
      </c>
      <c r="L376" s="5" t="s">
        <v>231</v>
      </c>
      <c r="M376" s="5" t="s">
        <v>143</v>
      </c>
      <c r="N376" s="5" t="s">
        <v>26</v>
      </c>
      <c r="O376" s="5" t="s">
        <v>143</v>
      </c>
      <c r="P376" s="5" t="str">
        <f>IF(Clean_Data!$G376&gt;Clean_Data!$J376,Clean_Data!$F376,Clean_Data!$I376)</f>
        <v>Comilla Victorians</v>
      </c>
      <c r="Q376" s="5" t="s">
        <v>469</v>
      </c>
      <c r="R376" s="5" t="s">
        <v>470</v>
      </c>
      <c r="S376" s="5">
        <v>7</v>
      </c>
      <c r="T376" s="5">
        <v>0</v>
      </c>
      <c r="U376" s="5" t="s">
        <v>118</v>
      </c>
      <c r="V376" s="5" t="str">
        <f>IF(Clean_Data!$T376&gt;0,"Runs","Wickets")</f>
        <v>Wickets</v>
      </c>
      <c r="W376" s="5">
        <f>IF(Clean_Data!$T376&gt;0,Clean_Data!$T376,Clean_Data!$S376)</f>
        <v>7</v>
      </c>
      <c r="X376" s="5" t="str">
        <f>IF(Clean_Data!$W376&lt;=10,"Close Match","Normal")</f>
        <v>Close Match</v>
      </c>
      <c r="Y376" s="5">
        <f>Clean_Data!$G376+Clean_Data!$J376</f>
        <v>423</v>
      </c>
      <c r="Z376" s="5" t="str">
        <f>IF(Clean_Data!$Y376&gt;=170,"170+ Match","Below 170")</f>
        <v>170+ Match</v>
      </c>
      <c r="AA376" s="5" t="s">
        <v>278</v>
      </c>
      <c r="AB376" s="17" t="s">
        <v>233</v>
      </c>
    </row>
    <row r="377" spans="1:28" x14ac:dyDescent="0.3">
      <c r="A377" s="18" t="s">
        <v>579</v>
      </c>
      <c r="B377" s="19" t="str">
        <f>LEFT(Clean_Data!$A377,4)</f>
        <v>2022</v>
      </c>
      <c r="C377" s="19" t="s">
        <v>328</v>
      </c>
      <c r="D377" s="19" t="str">
        <f>IF(ISNUMBER(SEARCH("Final",Clean_Data!$C377)),"Final",
IF(ISNUMBER(SEARCH("Semi",Clean_Data!$C377)),"Semi-Final",
IF(ISNUMBER(SEARCH("Elimination",Clean_Data!$C377)),"Eliminator",
"League")))</f>
        <v>League</v>
      </c>
      <c r="E377" s="20" t="s">
        <v>616</v>
      </c>
      <c r="F377" s="19" t="s">
        <v>310</v>
      </c>
      <c r="G377" s="19">
        <v>194</v>
      </c>
      <c r="H377" s="19">
        <v>5</v>
      </c>
      <c r="I377" s="19" t="s">
        <v>277</v>
      </c>
      <c r="J377" s="19">
        <v>157</v>
      </c>
      <c r="K377" s="19">
        <v>8</v>
      </c>
      <c r="L377" s="19" t="s">
        <v>108</v>
      </c>
      <c r="M377" s="19" t="s">
        <v>277</v>
      </c>
      <c r="N377" s="19" t="s">
        <v>26</v>
      </c>
      <c r="O377" s="19" t="s">
        <v>310</v>
      </c>
      <c r="P377" s="19" t="str">
        <f>IF(Clean_Data!$G377&gt;Clean_Data!$J377,Clean_Data!$F377,Clean_Data!$I377)</f>
        <v>Fortune Barishal</v>
      </c>
      <c r="Q377" s="19" t="s">
        <v>28</v>
      </c>
      <c r="R377" s="19" t="s">
        <v>29</v>
      </c>
      <c r="S377" s="19">
        <v>0</v>
      </c>
      <c r="T377" s="19">
        <v>37</v>
      </c>
      <c r="U377" s="19" t="s">
        <v>617</v>
      </c>
      <c r="V377" s="19" t="str">
        <f>IF(Clean_Data!$T377&gt;0,"Runs","Wickets")</f>
        <v>Runs</v>
      </c>
      <c r="W377" s="19">
        <f>IF(Clean_Data!$T377&gt;0,Clean_Data!$T377,Clean_Data!$S377)</f>
        <v>37</v>
      </c>
      <c r="X377" s="19" t="str">
        <f>IF(Clean_Data!$W377&lt;=10,"Close Match","Normal")</f>
        <v>Normal</v>
      </c>
      <c r="Y377" s="19">
        <f>Clean_Data!$G377+Clean_Data!$J377</f>
        <v>351</v>
      </c>
      <c r="Z377" s="19" t="str">
        <f>IF(Clean_Data!$Y377&gt;=170,"170+ Match","Below 170")</f>
        <v>170+ Match</v>
      </c>
      <c r="AA377" s="19" t="s">
        <v>278</v>
      </c>
      <c r="AB377" s="21" t="s">
        <v>66</v>
      </c>
    </row>
    <row r="378" spans="1:28" x14ac:dyDescent="0.3">
      <c r="A378" s="16" t="s">
        <v>579</v>
      </c>
      <c r="B378" s="5" t="str">
        <f>LEFT(Clean_Data!$A378,4)</f>
        <v>2022</v>
      </c>
      <c r="C378" s="5" t="s">
        <v>326</v>
      </c>
      <c r="D378" s="5" t="str">
        <f>IF(ISNUMBER(SEARCH("Final",Clean_Data!$C378)),"Final",
IF(ISNUMBER(SEARCH("Semi",Clean_Data!$C378)),"Semi-Final",
IF(ISNUMBER(SEARCH("Elimination",Clean_Data!$C378)),"Eliminator",
"League")))</f>
        <v>League</v>
      </c>
      <c r="E378" s="6" t="s">
        <v>616</v>
      </c>
      <c r="F378" s="5" t="s">
        <v>585</v>
      </c>
      <c r="G378" s="5">
        <v>130</v>
      </c>
      <c r="H378" s="5">
        <v>8</v>
      </c>
      <c r="I378" s="5" t="s">
        <v>295</v>
      </c>
      <c r="J378" s="5">
        <v>133</v>
      </c>
      <c r="K378" s="5">
        <v>8</v>
      </c>
      <c r="L378" s="5" t="s">
        <v>618</v>
      </c>
      <c r="M378" s="5" t="s">
        <v>113</v>
      </c>
      <c r="N378" s="5" t="s">
        <v>26</v>
      </c>
      <c r="O378" s="5" t="s">
        <v>295</v>
      </c>
      <c r="P378" s="5" t="str">
        <f>IF(Clean_Data!$G378&gt;Clean_Data!$J378,Clean_Data!$F378,Clean_Data!$I378)</f>
        <v>Rangpur Rangers</v>
      </c>
      <c r="Q378" s="5" t="s">
        <v>28</v>
      </c>
      <c r="R378" s="5" t="s">
        <v>29</v>
      </c>
      <c r="S378" s="5">
        <v>2</v>
      </c>
      <c r="T378" s="5">
        <v>0</v>
      </c>
      <c r="U378" s="5" t="s">
        <v>281</v>
      </c>
      <c r="V378" s="5" t="str">
        <f>IF(Clean_Data!$T378&gt;0,"Runs","Wickets")</f>
        <v>Wickets</v>
      </c>
      <c r="W378" s="5">
        <f>IF(Clean_Data!$T378&gt;0,Clean_Data!$T378,Clean_Data!$S378)</f>
        <v>2</v>
      </c>
      <c r="X378" s="5" t="str">
        <f>IF(Clean_Data!$W378&lt;=10,"Close Match","Normal")</f>
        <v>Close Match</v>
      </c>
      <c r="Y378" s="5">
        <f>Clean_Data!$G378+Clean_Data!$J378</f>
        <v>263</v>
      </c>
      <c r="Z378" s="5" t="str">
        <f>IF(Clean_Data!$Y378&gt;=170,"170+ Match","Below 170")</f>
        <v>170+ Match</v>
      </c>
      <c r="AA378" s="5" t="s">
        <v>56</v>
      </c>
      <c r="AB378" s="17" t="s">
        <v>286</v>
      </c>
    </row>
    <row r="379" spans="1:28" x14ac:dyDescent="0.3">
      <c r="A379" s="18" t="s">
        <v>579</v>
      </c>
      <c r="B379" s="19" t="str">
        <f>LEFT(Clean_Data!$A379,4)</f>
        <v>2022</v>
      </c>
      <c r="C379" s="19" t="s">
        <v>324</v>
      </c>
      <c r="D379" s="19" t="str">
        <f>IF(ISNUMBER(SEARCH("Final",Clean_Data!$C379)),"Final",
IF(ISNUMBER(SEARCH("Semi",Clean_Data!$C379)),"Semi-Final",
IF(ISNUMBER(SEARCH("Elimination",Clean_Data!$C379)),"Eliminator",
"League")))</f>
        <v>League</v>
      </c>
      <c r="E379" s="20" t="s">
        <v>619</v>
      </c>
      <c r="F379" s="19" t="s">
        <v>280</v>
      </c>
      <c r="G379" s="19">
        <v>156</v>
      </c>
      <c r="H379" s="19">
        <v>7</v>
      </c>
      <c r="I379" s="19" t="s">
        <v>143</v>
      </c>
      <c r="J379" s="19">
        <v>157</v>
      </c>
      <c r="K379" s="19">
        <v>4</v>
      </c>
      <c r="L379" s="19" t="s">
        <v>612</v>
      </c>
      <c r="M379" s="19" t="s">
        <v>280</v>
      </c>
      <c r="N379" s="19" t="s">
        <v>37</v>
      </c>
      <c r="O379" s="19" t="s">
        <v>143</v>
      </c>
      <c r="P379" s="19" t="str">
        <f>IF(Clean_Data!$G379&gt;Clean_Data!$J379,Clean_Data!$F379,Clean_Data!$I379)</f>
        <v>Comilla Victorians</v>
      </c>
      <c r="Q379" s="19" t="s">
        <v>28</v>
      </c>
      <c r="R379" s="19" t="s">
        <v>29</v>
      </c>
      <c r="S379" s="19">
        <v>6</v>
      </c>
      <c r="T379" s="19">
        <v>0</v>
      </c>
      <c r="U379" s="19" t="s">
        <v>151</v>
      </c>
      <c r="V379" s="19" t="str">
        <f>IF(Clean_Data!$T379&gt;0,"Runs","Wickets")</f>
        <v>Wickets</v>
      </c>
      <c r="W379" s="19">
        <f>IF(Clean_Data!$T379&gt;0,Clean_Data!$T379,Clean_Data!$S379)</f>
        <v>6</v>
      </c>
      <c r="X379" s="19" t="str">
        <f>IF(Clean_Data!$W379&lt;=10,"Close Match","Normal")</f>
        <v>Close Match</v>
      </c>
      <c r="Y379" s="19">
        <f>Clean_Data!$G379+Clean_Data!$J379</f>
        <v>313</v>
      </c>
      <c r="Z379" s="19" t="str">
        <f>IF(Clean_Data!$Y379&gt;=170,"170+ Match","Below 170")</f>
        <v>170+ Match</v>
      </c>
      <c r="AA379" s="19" t="s">
        <v>56</v>
      </c>
      <c r="AB379" s="21" t="s">
        <v>233</v>
      </c>
    </row>
    <row r="380" spans="1:28" x14ac:dyDescent="0.3">
      <c r="A380" s="16" t="s">
        <v>579</v>
      </c>
      <c r="B380" s="5" t="str">
        <f>LEFT(Clean_Data!$A380,4)</f>
        <v>2022</v>
      </c>
      <c r="C380" s="5" t="s">
        <v>321</v>
      </c>
      <c r="D380" s="5" t="str">
        <f>IF(ISNUMBER(SEARCH("Final",Clean_Data!$C380)),"Final",
IF(ISNUMBER(SEARCH("Semi",Clean_Data!$C380)),"Semi-Final",
IF(ISNUMBER(SEARCH("Elimination",Clean_Data!$C380)),"Eliminator",
"League")))</f>
        <v>League</v>
      </c>
      <c r="E380" s="6" t="s">
        <v>619</v>
      </c>
      <c r="F380" s="5" t="s">
        <v>581</v>
      </c>
      <c r="G380" s="5">
        <v>170</v>
      </c>
      <c r="H380" s="5">
        <v>2</v>
      </c>
      <c r="I380" s="5" t="s">
        <v>295</v>
      </c>
      <c r="J380" s="5">
        <v>176</v>
      </c>
      <c r="K380" s="5">
        <v>2</v>
      </c>
      <c r="L380" s="5" t="s">
        <v>501</v>
      </c>
      <c r="M380" s="5" t="s">
        <v>113</v>
      </c>
      <c r="N380" s="5" t="s">
        <v>26</v>
      </c>
      <c r="O380" s="5" t="s">
        <v>295</v>
      </c>
      <c r="P380" s="5" t="str">
        <f>IF(Clean_Data!$G380&gt;Clean_Data!$J380,Clean_Data!$F380,Clean_Data!$I380)</f>
        <v>Rangpur Rangers</v>
      </c>
      <c r="Q380" s="5" t="s">
        <v>28</v>
      </c>
      <c r="R380" s="5" t="s">
        <v>29</v>
      </c>
      <c r="S380" s="5">
        <v>8</v>
      </c>
      <c r="T380" s="5">
        <v>0</v>
      </c>
      <c r="U380" s="5" t="s">
        <v>30</v>
      </c>
      <c r="V380" s="5" t="str">
        <f>IF(Clean_Data!$T380&gt;0,"Runs","Wickets")</f>
        <v>Wickets</v>
      </c>
      <c r="W380" s="5">
        <f>IF(Clean_Data!$T380&gt;0,Clean_Data!$T380,Clean_Data!$S380)</f>
        <v>8</v>
      </c>
      <c r="X380" s="5" t="str">
        <f>IF(Clean_Data!$W380&lt;=10,"Close Match","Normal")</f>
        <v>Close Match</v>
      </c>
      <c r="Y380" s="5">
        <f>Clean_Data!$G380+Clean_Data!$J380</f>
        <v>346</v>
      </c>
      <c r="Z380" s="5" t="str">
        <f>IF(Clean_Data!$Y380&gt;=170,"170+ Match","Below 170")</f>
        <v>170+ Match</v>
      </c>
      <c r="AA380" s="5" t="s">
        <v>66</v>
      </c>
      <c r="AB380" s="17" t="s">
        <v>286</v>
      </c>
    </row>
    <row r="381" spans="1:28" x14ac:dyDescent="0.3">
      <c r="A381" s="18" t="s">
        <v>579</v>
      </c>
      <c r="B381" s="19" t="str">
        <f>LEFT(Clean_Data!$A381,4)</f>
        <v>2022</v>
      </c>
      <c r="C381" s="19" t="s">
        <v>224</v>
      </c>
      <c r="D381" s="19" t="str">
        <f>IF(ISNUMBER(SEARCH("Final",Clean_Data!$C381)),"Final",
IF(ISNUMBER(SEARCH("Semi",Clean_Data!$C381)),"Semi-Final",
IF(ISNUMBER(SEARCH("Elimination",Clean_Data!$C381)),"Eliminator",
"League")))</f>
        <v>League</v>
      </c>
      <c r="E381" s="20" t="s">
        <v>620</v>
      </c>
      <c r="F381" s="19" t="s">
        <v>280</v>
      </c>
      <c r="G381" s="19">
        <v>118</v>
      </c>
      <c r="H381" s="19">
        <v>8</v>
      </c>
      <c r="I381" s="19" t="s">
        <v>585</v>
      </c>
      <c r="J381" s="19">
        <v>103</v>
      </c>
      <c r="K381" s="19">
        <v>9</v>
      </c>
      <c r="L381" s="19" t="s">
        <v>621</v>
      </c>
      <c r="M381" s="19" t="s">
        <v>280</v>
      </c>
      <c r="N381" s="19" t="s">
        <v>37</v>
      </c>
      <c r="O381" s="19" t="s">
        <v>280</v>
      </c>
      <c r="P381" s="19" t="str">
        <f>IF(Clean_Data!$G381&gt;Clean_Data!$J381,Clean_Data!$F381,Clean_Data!$I381)</f>
        <v>Chattogram Challengers</v>
      </c>
      <c r="Q381" s="19" t="s">
        <v>28</v>
      </c>
      <c r="R381" s="19" t="s">
        <v>29</v>
      </c>
      <c r="S381" s="19">
        <v>0</v>
      </c>
      <c r="T381" s="19">
        <v>15</v>
      </c>
      <c r="U381" s="19" t="s">
        <v>530</v>
      </c>
      <c r="V381" s="19" t="str">
        <f>IF(Clean_Data!$T381&gt;0,"Runs","Wickets")</f>
        <v>Runs</v>
      </c>
      <c r="W381" s="19">
        <f>IF(Clean_Data!$T381&gt;0,Clean_Data!$T381,Clean_Data!$S381)</f>
        <v>15</v>
      </c>
      <c r="X381" s="19" t="str">
        <f>IF(Clean_Data!$W381&lt;=10,"Close Match","Normal")</f>
        <v>Normal</v>
      </c>
      <c r="Y381" s="19">
        <f>Clean_Data!$G381+Clean_Data!$J381</f>
        <v>221</v>
      </c>
      <c r="Z381" s="19" t="str">
        <f>IF(Clean_Data!$Y381&gt;=170,"170+ Match","Below 170")</f>
        <v>170+ Match</v>
      </c>
      <c r="AA381" s="19" t="s">
        <v>278</v>
      </c>
      <c r="AB381" s="21" t="s">
        <v>562</v>
      </c>
    </row>
    <row r="382" spans="1:28" x14ac:dyDescent="0.3">
      <c r="A382" s="16" t="s">
        <v>579</v>
      </c>
      <c r="B382" s="5" t="str">
        <f>LEFT(Clean_Data!$A382,4)</f>
        <v>2022</v>
      </c>
      <c r="C382" s="5" t="s">
        <v>136</v>
      </c>
      <c r="D382" s="5" t="str">
        <f>IF(ISNUMBER(SEARCH("Final",Clean_Data!$C382)),"Final",
IF(ISNUMBER(SEARCH("Semi",Clean_Data!$C382)),"Semi-Final",
IF(ISNUMBER(SEARCH("Elimination",Clean_Data!$C382)),"Eliminator",
"League")))</f>
        <v>League</v>
      </c>
      <c r="E382" s="6" t="s">
        <v>620</v>
      </c>
      <c r="F382" s="5" t="s">
        <v>310</v>
      </c>
      <c r="G382" s="5">
        <v>121</v>
      </c>
      <c r="H382" s="5">
        <v>10</v>
      </c>
      <c r="I382" s="5" t="s">
        <v>143</v>
      </c>
      <c r="J382" s="5">
        <v>122</v>
      </c>
      <c r="K382" s="5">
        <v>5</v>
      </c>
      <c r="L382" s="5" t="s">
        <v>622</v>
      </c>
      <c r="M382" s="5" t="s">
        <v>143</v>
      </c>
      <c r="N382" s="5" t="s">
        <v>26</v>
      </c>
      <c r="O382" s="5" t="s">
        <v>143</v>
      </c>
      <c r="P382" s="5" t="str">
        <f>IF(Clean_Data!$G382&gt;Clean_Data!$J382,Clean_Data!$F382,Clean_Data!$I382)</f>
        <v>Comilla Victorians</v>
      </c>
      <c r="Q382" s="5" t="s">
        <v>28</v>
      </c>
      <c r="R382" s="5" t="s">
        <v>29</v>
      </c>
      <c r="S382" s="5">
        <v>5</v>
      </c>
      <c r="T382" s="5">
        <v>0</v>
      </c>
      <c r="U382" s="5" t="s">
        <v>623</v>
      </c>
      <c r="V382" s="5" t="str">
        <f>IF(Clean_Data!$T382&gt;0,"Runs","Wickets")</f>
        <v>Wickets</v>
      </c>
      <c r="W382" s="5">
        <f>IF(Clean_Data!$T382&gt;0,Clean_Data!$T382,Clean_Data!$S382)</f>
        <v>5</v>
      </c>
      <c r="X382" s="5" t="str">
        <f>IF(Clean_Data!$W382&lt;=10,"Close Match","Normal")</f>
        <v>Close Match</v>
      </c>
      <c r="Y382" s="5">
        <f>Clean_Data!$G382+Clean_Data!$J382</f>
        <v>243</v>
      </c>
      <c r="Z382" s="5" t="str">
        <f>IF(Clean_Data!$Y382&gt;=170,"170+ Match","Below 170")</f>
        <v>170+ Match</v>
      </c>
      <c r="AA382" s="5" t="s">
        <v>50</v>
      </c>
      <c r="AB382" s="17" t="s">
        <v>233</v>
      </c>
    </row>
    <row r="383" spans="1:28" x14ac:dyDescent="0.3">
      <c r="A383" s="18" t="s">
        <v>579</v>
      </c>
      <c r="B383" s="19" t="str">
        <f>LEFT(Clean_Data!$A383,4)</f>
        <v>2022</v>
      </c>
      <c r="C383" s="19" t="s">
        <v>129</v>
      </c>
      <c r="D383" s="19" t="str">
        <f>IF(ISNUMBER(SEARCH("Final",Clean_Data!$C383)),"Final",
IF(ISNUMBER(SEARCH("Semi",Clean_Data!$C383)),"Semi-Final",
IF(ISNUMBER(SEARCH("Elimination",Clean_Data!$C383)),"Eliminator",
"League")))</f>
        <v>League</v>
      </c>
      <c r="E383" s="20" t="s">
        <v>624</v>
      </c>
      <c r="F383" s="19" t="s">
        <v>277</v>
      </c>
      <c r="G383" s="19">
        <v>113</v>
      </c>
      <c r="H383" s="19">
        <v>8</v>
      </c>
      <c r="I383" s="19" t="s">
        <v>581</v>
      </c>
      <c r="J383" s="19">
        <v>114</v>
      </c>
      <c r="K383" s="19">
        <v>4</v>
      </c>
      <c r="L383" s="19" t="s">
        <v>597</v>
      </c>
      <c r="M383" s="19" t="s">
        <v>277</v>
      </c>
      <c r="N383" s="19" t="s">
        <v>37</v>
      </c>
      <c r="O383" s="19" t="s">
        <v>581</v>
      </c>
      <c r="P383" s="19" t="str">
        <f>IF(Clean_Data!$G383&gt;Clean_Data!$J383,Clean_Data!$F383,Clean_Data!$I383)</f>
        <v>Sylhet Strikers</v>
      </c>
      <c r="Q383" s="19" t="s">
        <v>28</v>
      </c>
      <c r="R383" s="19" t="s">
        <v>29</v>
      </c>
      <c r="S383" s="19">
        <v>6</v>
      </c>
      <c r="T383" s="19">
        <v>0</v>
      </c>
      <c r="U383" s="19" t="s">
        <v>151</v>
      </c>
      <c r="V383" s="19" t="str">
        <f>IF(Clean_Data!$T383&gt;0,"Runs","Wickets")</f>
        <v>Wickets</v>
      </c>
      <c r="W383" s="19">
        <f>IF(Clean_Data!$T383&gt;0,Clean_Data!$T383,Clean_Data!$S383)</f>
        <v>6</v>
      </c>
      <c r="X383" s="19" t="str">
        <f>IF(Clean_Data!$W383&lt;=10,"Close Match","Normal")</f>
        <v>Close Match</v>
      </c>
      <c r="Y383" s="19">
        <f>Clean_Data!$G383+Clean_Data!$J383</f>
        <v>227</v>
      </c>
      <c r="Z383" s="19" t="str">
        <f>IF(Clean_Data!$Y383&gt;=170,"170+ Match","Below 170")</f>
        <v>170+ Match</v>
      </c>
      <c r="AA383" s="19" t="s">
        <v>278</v>
      </c>
      <c r="AB383" s="21" t="s">
        <v>583</v>
      </c>
    </row>
    <row r="384" spans="1:28" x14ac:dyDescent="0.3">
      <c r="A384" s="16" t="s">
        <v>579</v>
      </c>
      <c r="B384" s="5" t="str">
        <f>LEFT(Clean_Data!$A384,4)</f>
        <v>2022</v>
      </c>
      <c r="C384" s="5" t="s">
        <v>119</v>
      </c>
      <c r="D384" s="5" t="str">
        <f>IF(ISNUMBER(SEARCH("Final",Clean_Data!$C384)),"Final",
IF(ISNUMBER(SEARCH("Semi",Clean_Data!$C384)),"Semi-Final",
IF(ISNUMBER(SEARCH("Elimination",Clean_Data!$C384)),"Eliminator",
"League")))</f>
        <v>League</v>
      </c>
      <c r="E384" s="6" t="s">
        <v>624</v>
      </c>
      <c r="F384" s="5" t="s">
        <v>280</v>
      </c>
      <c r="G384" s="5">
        <v>132</v>
      </c>
      <c r="H384" s="5">
        <v>8</v>
      </c>
      <c r="I384" s="5" t="s">
        <v>295</v>
      </c>
      <c r="J384" s="5">
        <v>135</v>
      </c>
      <c r="K384" s="5">
        <v>3</v>
      </c>
      <c r="L384" s="5" t="s">
        <v>625</v>
      </c>
      <c r="M384" s="5" t="s">
        <v>280</v>
      </c>
      <c r="N384" s="5" t="s">
        <v>37</v>
      </c>
      <c r="O384" s="5" t="s">
        <v>295</v>
      </c>
      <c r="P384" s="5" t="str">
        <f>IF(Clean_Data!$G384&gt;Clean_Data!$J384,Clean_Data!$F384,Clean_Data!$I384)</f>
        <v>Rangpur Rangers</v>
      </c>
      <c r="Q384" s="5" t="s">
        <v>28</v>
      </c>
      <c r="R384" s="5" t="s">
        <v>29</v>
      </c>
      <c r="S384" s="5">
        <v>7</v>
      </c>
      <c r="T384" s="5">
        <v>0</v>
      </c>
      <c r="U384" s="5" t="s">
        <v>118</v>
      </c>
      <c r="V384" s="5" t="str">
        <f>IF(Clean_Data!$T384&gt;0,"Runs","Wickets")</f>
        <v>Wickets</v>
      </c>
      <c r="W384" s="5">
        <f>IF(Clean_Data!$T384&gt;0,Clean_Data!$T384,Clean_Data!$S384)</f>
        <v>7</v>
      </c>
      <c r="X384" s="5" t="str">
        <f>IF(Clean_Data!$W384&lt;=10,"Close Match","Normal")</f>
        <v>Close Match</v>
      </c>
      <c r="Y384" s="5">
        <f>Clean_Data!$G384+Clean_Data!$J384</f>
        <v>267</v>
      </c>
      <c r="Z384" s="5" t="str">
        <f>IF(Clean_Data!$Y384&gt;=170,"170+ Match","Below 170")</f>
        <v>170+ Match</v>
      </c>
      <c r="AA384" s="5" t="s">
        <v>562</v>
      </c>
      <c r="AB384" s="17" t="s">
        <v>286</v>
      </c>
    </row>
    <row r="385" spans="1:28" x14ac:dyDescent="0.3">
      <c r="A385" s="18" t="s">
        <v>579</v>
      </c>
      <c r="B385" s="19" t="str">
        <f>LEFT(Clean_Data!$A385,4)</f>
        <v>2022</v>
      </c>
      <c r="C385" s="19" t="s">
        <v>112</v>
      </c>
      <c r="D385" s="19" t="str">
        <f>IF(ISNUMBER(SEARCH("Final",Clean_Data!$C385)),"Final",
IF(ISNUMBER(SEARCH("Semi",Clean_Data!$C385)),"Semi-Final",
IF(ISNUMBER(SEARCH("Elimination",Clean_Data!$C385)),"Eliminator",
"League")))</f>
        <v>League</v>
      </c>
      <c r="E385" s="20" t="s">
        <v>626</v>
      </c>
      <c r="F385" s="19" t="s">
        <v>143</v>
      </c>
      <c r="G385" s="19">
        <v>177</v>
      </c>
      <c r="H385" s="19">
        <v>5</v>
      </c>
      <c r="I385" s="19" t="s">
        <v>295</v>
      </c>
      <c r="J385" s="19">
        <v>107</v>
      </c>
      <c r="K385" s="19">
        <v>10</v>
      </c>
      <c r="L385" s="19" t="s">
        <v>627</v>
      </c>
      <c r="M385" s="19" t="s">
        <v>113</v>
      </c>
      <c r="N385" s="19" t="s">
        <v>26</v>
      </c>
      <c r="O385" s="19" t="s">
        <v>143</v>
      </c>
      <c r="P385" s="19" t="str">
        <f>IF(Clean_Data!$G385&gt;Clean_Data!$J385,Clean_Data!$F385,Clean_Data!$I385)</f>
        <v>Comilla Victorians</v>
      </c>
      <c r="Q385" s="19" t="s">
        <v>28</v>
      </c>
      <c r="R385" s="19" t="s">
        <v>29</v>
      </c>
      <c r="S385" s="19">
        <v>0</v>
      </c>
      <c r="T385" s="19">
        <v>70</v>
      </c>
      <c r="U385" s="19" t="s">
        <v>628</v>
      </c>
      <c r="V385" s="19" t="str">
        <f>IF(Clean_Data!$T385&gt;0,"Runs","Wickets")</f>
        <v>Runs</v>
      </c>
      <c r="W385" s="19">
        <f>IF(Clean_Data!$T385&gt;0,Clean_Data!$T385,Clean_Data!$S385)</f>
        <v>70</v>
      </c>
      <c r="X385" s="19" t="str">
        <f>IF(Clean_Data!$W385&lt;=10,"Close Match","Normal")</f>
        <v>Normal</v>
      </c>
      <c r="Y385" s="19">
        <f>Clean_Data!$G385+Clean_Data!$J385</f>
        <v>284</v>
      </c>
      <c r="Z385" s="19" t="str">
        <f>IF(Clean_Data!$Y385&gt;=170,"170+ Match","Below 170")</f>
        <v>170+ Match</v>
      </c>
      <c r="AA385" s="19" t="s">
        <v>50</v>
      </c>
      <c r="AB385" s="21" t="s">
        <v>286</v>
      </c>
    </row>
    <row r="386" spans="1:28" x14ac:dyDescent="0.3">
      <c r="A386" s="16" t="s">
        <v>579</v>
      </c>
      <c r="B386" s="5" t="str">
        <f>LEFT(Clean_Data!$A386,4)</f>
        <v>2022</v>
      </c>
      <c r="C386" s="5" t="s">
        <v>106</v>
      </c>
      <c r="D386" s="5" t="str">
        <f>IF(ISNUMBER(SEARCH("Final",Clean_Data!$C386)),"Final",
IF(ISNUMBER(SEARCH("Semi",Clean_Data!$C386)),"Semi-Final",
IF(ISNUMBER(SEARCH("Elimination",Clean_Data!$C386)),"Eliminator",
"League")))</f>
        <v>League</v>
      </c>
      <c r="E386" s="6" t="s">
        <v>626</v>
      </c>
      <c r="F386" s="5" t="s">
        <v>310</v>
      </c>
      <c r="G386" s="5">
        <v>169</v>
      </c>
      <c r="H386" s="5">
        <v>8</v>
      </c>
      <c r="I386" s="5" t="s">
        <v>277</v>
      </c>
      <c r="J386" s="5">
        <v>172</v>
      </c>
      <c r="K386" s="5">
        <v>4</v>
      </c>
      <c r="L386" s="5" t="s">
        <v>567</v>
      </c>
      <c r="M386" s="5" t="s">
        <v>310</v>
      </c>
      <c r="N386" s="5" t="s">
        <v>37</v>
      </c>
      <c r="O386" s="5" t="s">
        <v>277</v>
      </c>
      <c r="P386" s="5" t="str">
        <f>IF(Clean_Data!$G386&gt;Clean_Data!$J386,Clean_Data!$F386,Clean_Data!$I386)</f>
        <v>Khulna Tigers</v>
      </c>
      <c r="Q386" s="5" t="s">
        <v>28</v>
      </c>
      <c r="R386" s="5" t="s">
        <v>29</v>
      </c>
      <c r="S386" s="5">
        <v>6</v>
      </c>
      <c r="T386" s="5">
        <v>0</v>
      </c>
      <c r="U386" s="5" t="s">
        <v>151</v>
      </c>
      <c r="V386" s="5" t="str">
        <f>IF(Clean_Data!$T386&gt;0,"Runs","Wickets")</f>
        <v>Wickets</v>
      </c>
      <c r="W386" s="5">
        <f>IF(Clean_Data!$T386&gt;0,Clean_Data!$T386,Clean_Data!$S386)</f>
        <v>6</v>
      </c>
      <c r="X386" s="5" t="str">
        <f>IF(Clean_Data!$W386&lt;=10,"Close Match","Normal")</f>
        <v>Close Match</v>
      </c>
      <c r="Y386" s="5">
        <f>Clean_Data!$G386+Clean_Data!$J386</f>
        <v>341</v>
      </c>
      <c r="Z386" s="5" t="str">
        <f>IF(Clean_Data!$Y386&gt;=170,"170+ Match","Below 170")</f>
        <v>170+ Match</v>
      </c>
      <c r="AA386" s="5" t="s">
        <v>593</v>
      </c>
      <c r="AB386" s="17" t="s">
        <v>233</v>
      </c>
    </row>
    <row r="387" spans="1:28" x14ac:dyDescent="0.3">
      <c r="A387" s="18" t="s">
        <v>579</v>
      </c>
      <c r="B387" s="19" t="str">
        <f>LEFT(Clean_Data!$A387,4)</f>
        <v>2022</v>
      </c>
      <c r="C387" s="19" t="s">
        <v>158</v>
      </c>
      <c r="D387" s="19" t="str">
        <f>IF(ISNUMBER(SEARCH("Final",Clean_Data!$C387)),"Final",
IF(ISNUMBER(SEARCH("Semi",Clean_Data!$C387)),"Semi-Final",
IF(ISNUMBER(SEARCH("Elimination",Clean_Data!$C387)),"Eliminator",
"League")))</f>
        <v>League</v>
      </c>
      <c r="E387" s="20" t="s">
        <v>629</v>
      </c>
      <c r="F387" s="19" t="s">
        <v>310</v>
      </c>
      <c r="G387" s="19">
        <v>170</v>
      </c>
      <c r="H387" s="19">
        <v>3</v>
      </c>
      <c r="I387" s="19" t="s">
        <v>295</v>
      </c>
      <c r="J387" s="19">
        <v>172</v>
      </c>
      <c r="K387" s="19">
        <v>6</v>
      </c>
      <c r="L387" s="19" t="s">
        <v>565</v>
      </c>
      <c r="M387" s="19" t="s">
        <v>113</v>
      </c>
      <c r="N387" s="19" t="s">
        <v>26</v>
      </c>
      <c r="O387" s="19" t="s">
        <v>295</v>
      </c>
      <c r="P387" s="19" t="str">
        <f>IF(Clean_Data!$G387&gt;Clean_Data!$J387,Clean_Data!$F387,Clean_Data!$I387)</f>
        <v>Rangpur Rangers</v>
      </c>
      <c r="Q387" s="19" t="s">
        <v>28</v>
      </c>
      <c r="R387" s="19" t="s">
        <v>29</v>
      </c>
      <c r="S387" s="19">
        <v>4</v>
      </c>
      <c r="T387" s="19">
        <v>0</v>
      </c>
      <c r="U387" s="19" t="s">
        <v>90</v>
      </c>
      <c r="V387" s="19" t="str">
        <f>IF(Clean_Data!$T387&gt;0,"Runs","Wickets")</f>
        <v>Wickets</v>
      </c>
      <c r="W387" s="19">
        <f>IF(Clean_Data!$T387&gt;0,Clean_Data!$T387,Clean_Data!$S387)</f>
        <v>4</v>
      </c>
      <c r="X387" s="19" t="str">
        <f>IF(Clean_Data!$W387&lt;=10,"Close Match","Normal")</f>
        <v>Close Match</v>
      </c>
      <c r="Y387" s="19">
        <f>Clean_Data!$G387+Clean_Data!$J387</f>
        <v>342</v>
      </c>
      <c r="Z387" s="19" t="str">
        <f>IF(Clean_Data!$Y387&gt;=170,"170+ Match","Below 170")</f>
        <v>170+ Match</v>
      </c>
      <c r="AA387" s="19" t="s">
        <v>593</v>
      </c>
      <c r="AB387" s="21" t="s">
        <v>286</v>
      </c>
    </row>
    <row r="388" spans="1:28" x14ac:dyDescent="0.3">
      <c r="A388" s="16" t="s">
        <v>579</v>
      </c>
      <c r="B388" s="5" t="str">
        <f>LEFT(Clean_Data!$A388,4)</f>
        <v>2022</v>
      </c>
      <c r="C388" s="5" t="s">
        <v>573</v>
      </c>
      <c r="D388" s="5" t="str">
        <f>IF(ISNUMBER(SEARCH("Final",Clean_Data!$C388)),"Final",
IF(ISNUMBER(SEARCH("Semi",Clean_Data!$C388)),"Semi-Final",
IF(ISNUMBER(SEARCH("Elimination",Clean_Data!$C388)),"Eliminator",
"League")))</f>
        <v>League</v>
      </c>
      <c r="E388" s="6" t="s">
        <v>629</v>
      </c>
      <c r="F388" s="5" t="s">
        <v>581</v>
      </c>
      <c r="G388" s="5">
        <v>125</v>
      </c>
      <c r="H388" s="5">
        <v>10</v>
      </c>
      <c r="I388" s="5" t="s">
        <v>143</v>
      </c>
      <c r="J388" s="5">
        <v>130</v>
      </c>
      <c r="K388" s="5">
        <v>6</v>
      </c>
      <c r="L388" s="5" t="s">
        <v>627</v>
      </c>
      <c r="M388" s="5" t="s">
        <v>143</v>
      </c>
      <c r="N388" s="5" t="s">
        <v>26</v>
      </c>
      <c r="O388" s="5" t="s">
        <v>143</v>
      </c>
      <c r="P388" s="5" t="str">
        <f>IF(Clean_Data!$G388&gt;Clean_Data!$J388,Clean_Data!$F388,Clean_Data!$I388)</f>
        <v>Comilla Victorians</v>
      </c>
      <c r="Q388" s="5" t="s">
        <v>28</v>
      </c>
      <c r="R388" s="5" t="s">
        <v>29</v>
      </c>
      <c r="S388" s="5">
        <v>4</v>
      </c>
      <c r="T388" s="5">
        <v>0</v>
      </c>
      <c r="U388" s="5" t="s">
        <v>90</v>
      </c>
      <c r="V388" s="5" t="str">
        <f>IF(Clean_Data!$T388&gt;0,"Runs","Wickets")</f>
        <v>Wickets</v>
      </c>
      <c r="W388" s="5">
        <f>IF(Clean_Data!$T388&gt;0,Clean_Data!$T388,Clean_Data!$S388)</f>
        <v>4</v>
      </c>
      <c r="X388" s="5" t="str">
        <f>IF(Clean_Data!$W388&lt;=10,"Close Match","Normal")</f>
        <v>Close Match</v>
      </c>
      <c r="Y388" s="5">
        <f>Clean_Data!$G388+Clean_Data!$J388</f>
        <v>255</v>
      </c>
      <c r="Z388" s="5" t="str">
        <f>IF(Clean_Data!$Y388&gt;=170,"170+ Match","Below 170")</f>
        <v>170+ Match</v>
      </c>
      <c r="AA388" s="5" t="s">
        <v>278</v>
      </c>
      <c r="AB388" s="17" t="s">
        <v>233</v>
      </c>
    </row>
    <row r="389" spans="1:28" x14ac:dyDescent="0.3">
      <c r="A389" s="18" t="s">
        <v>579</v>
      </c>
      <c r="B389" s="19" t="str">
        <f>LEFT(Clean_Data!$A389,4)</f>
        <v>2022</v>
      </c>
      <c r="C389" s="19" t="s">
        <v>574</v>
      </c>
      <c r="D389" s="19" t="str">
        <f>IF(ISNUMBER(SEARCH("Final",Clean_Data!$C389)),"Final",
IF(ISNUMBER(SEARCH("Semi",Clean_Data!$C389)),"Semi-Final",
IF(ISNUMBER(SEARCH("Elimination",Clean_Data!$C389)),"Eliminator",
"League")))</f>
        <v>League</v>
      </c>
      <c r="E389" s="20" t="s">
        <v>630</v>
      </c>
      <c r="F389" s="19" t="s">
        <v>581</v>
      </c>
      <c r="G389" s="19">
        <v>182</v>
      </c>
      <c r="H389" s="19">
        <v>7</v>
      </c>
      <c r="I389" s="19" t="s">
        <v>295</v>
      </c>
      <c r="J389" s="19">
        <v>163</v>
      </c>
      <c r="K389" s="19">
        <v>8</v>
      </c>
      <c r="L389" s="19" t="s">
        <v>631</v>
      </c>
      <c r="M389" s="19" t="s">
        <v>113</v>
      </c>
      <c r="N389" s="19" t="s">
        <v>26</v>
      </c>
      <c r="O389" s="19" t="s">
        <v>581</v>
      </c>
      <c r="P389" s="19" t="str">
        <f>IF(Clean_Data!$G389&gt;Clean_Data!$J389,Clean_Data!$F389,Clean_Data!$I389)</f>
        <v>Sylhet Strikers</v>
      </c>
      <c r="Q389" s="19" t="s">
        <v>28</v>
      </c>
      <c r="R389" s="19" t="s">
        <v>29</v>
      </c>
      <c r="S389" s="19">
        <v>0</v>
      </c>
      <c r="T389" s="19">
        <v>19</v>
      </c>
      <c r="U389" s="19" t="s">
        <v>196</v>
      </c>
      <c r="V389" s="19" t="str">
        <f>IF(Clean_Data!$T389&gt;0,"Runs","Wickets")</f>
        <v>Runs</v>
      </c>
      <c r="W389" s="19">
        <f>IF(Clean_Data!$T389&gt;0,Clean_Data!$T389,Clean_Data!$S389)</f>
        <v>19</v>
      </c>
      <c r="X389" s="19" t="str">
        <f>IF(Clean_Data!$W389&lt;=10,"Close Match","Normal")</f>
        <v>Normal</v>
      </c>
      <c r="Y389" s="19">
        <f>Clean_Data!$G389+Clean_Data!$J389</f>
        <v>345</v>
      </c>
      <c r="Z389" s="19" t="str">
        <f>IF(Clean_Data!$Y389&gt;=170,"170+ Match","Below 170")</f>
        <v>170+ Match</v>
      </c>
      <c r="AA389" s="19" t="s">
        <v>286</v>
      </c>
      <c r="AB389" s="21" t="s">
        <v>233</v>
      </c>
    </row>
    <row r="390" spans="1:28" x14ac:dyDescent="0.3">
      <c r="A390" s="16" t="s">
        <v>579</v>
      </c>
      <c r="B390" s="5" t="str">
        <f>LEFT(Clean_Data!$A390,4)</f>
        <v>2022</v>
      </c>
      <c r="C390" s="5" t="s">
        <v>21</v>
      </c>
      <c r="D390" s="5" t="str">
        <f>IF(ISNUMBER(SEARCH("Final",Clean_Data!$C390)),"Final",
IF(ISNUMBER(SEARCH("Semi",Clean_Data!$C390)),"Semi-Final",
IF(ISNUMBER(SEARCH("Elimination",Clean_Data!$C390)),"Eliminator",
"League")))</f>
        <v>Final</v>
      </c>
      <c r="E390" s="6" t="s">
        <v>632</v>
      </c>
      <c r="F390" s="5" t="s">
        <v>581</v>
      </c>
      <c r="G390" s="5">
        <v>175</v>
      </c>
      <c r="H390" s="5">
        <v>7</v>
      </c>
      <c r="I390" s="5" t="s">
        <v>143</v>
      </c>
      <c r="J390" s="5">
        <v>176</v>
      </c>
      <c r="K390" s="5">
        <v>3</v>
      </c>
      <c r="L390" s="5" t="s">
        <v>231</v>
      </c>
      <c r="M390" s="5" t="s">
        <v>143</v>
      </c>
      <c r="N390" s="5" t="s">
        <v>26</v>
      </c>
      <c r="O390" s="5" t="s">
        <v>143</v>
      </c>
      <c r="P390" s="5" t="str">
        <f>IF(Clean_Data!$G390&gt;Clean_Data!$J390,Clean_Data!$F390,Clean_Data!$I390)</f>
        <v>Comilla Victorians</v>
      </c>
      <c r="Q390" s="5" t="s">
        <v>28</v>
      </c>
      <c r="R390" s="5" t="s">
        <v>29</v>
      </c>
      <c r="S390" s="5">
        <v>7</v>
      </c>
      <c r="T390" s="5">
        <v>0</v>
      </c>
      <c r="U390" s="5" t="s">
        <v>118</v>
      </c>
      <c r="V390" s="5" t="str">
        <f>IF(Clean_Data!$T390&gt;0,"Runs","Wickets")</f>
        <v>Wickets</v>
      </c>
      <c r="W390" s="5">
        <f>IF(Clean_Data!$T390&gt;0,Clean_Data!$T390,Clean_Data!$S390)</f>
        <v>7</v>
      </c>
      <c r="X390" s="5" t="str">
        <f>IF(Clean_Data!$W390&lt;=10,"Close Match","Normal")</f>
        <v>Close Match</v>
      </c>
      <c r="Y390" s="5">
        <f>Clean_Data!$G390+Clean_Data!$J390</f>
        <v>351</v>
      </c>
      <c r="Z390" s="5" t="str">
        <f>IF(Clean_Data!$Y390&gt;=170,"170+ Match","Below 170")</f>
        <v>170+ Match</v>
      </c>
      <c r="AA390" s="5" t="s">
        <v>278</v>
      </c>
      <c r="AB390" s="17" t="s">
        <v>558</v>
      </c>
    </row>
    <row r="391" spans="1:28" x14ac:dyDescent="0.3">
      <c r="A391" s="18" t="s">
        <v>633</v>
      </c>
      <c r="B391" s="19" t="str">
        <f>LEFT(Clean_Data!$A391,4)</f>
        <v>2023</v>
      </c>
      <c r="C391" s="19" t="s">
        <v>40</v>
      </c>
      <c r="D391" s="19" t="str">
        <f>IF(ISNUMBER(SEARCH("Final",Clean_Data!$C391)),"Final",
IF(ISNUMBER(SEARCH("Semi",Clean_Data!$C391)),"Semi-Final",
IF(ISNUMBER(SEARCH("Elimination",Clean_Data!$C391)),"Eliminator",
"League")))</f>
        <v>League</v>
      </c>
      <c r="E391" s="20" t="s">
        <v>634</v>
      </c>
      <c r="F391" s="19" t="s">
        <v>635</v>
      </c>
      <c r="G391" s="19">
        <v>143</v>
      </c>
      <c r="H391" s="19">
        <v>6</v>
      </c>
      <c r="I391" s="19" t="s">
        <v>636</v>
      </c>
      <c r="J391" s="19">
        <v>147</v>
      </c>
      <c r="K391" s="19">
        <v>5</v>
      </c>
      <c r="L391" s="19" t="s">
        <v>637</v>
      </c>
      <c r="M391" s="19" t="s">
        <v>636</v>
      </c>
      <c r="N391" s="19" t="s">
        <v>26</v>
      </c>
      <c r="O391" s="19" t="s">
        <v>636</v>
      </c>
      <c r="P391" s="19" t="str">
        <f>IF(Clean_Data!$G391&gt;Clean_Data!$J391,Clean_Data!$F391,Clean_Data!$I391)</f>
        <v>Durdanto Dhaka</v>
      </c>
      <c r="Q391" s="19" t="s">
        <v>28</v>
      </c>
      <c r="R391" s="19" t="s">
        <v>29</v>
      </c>
      <c r="S391" s="19">
        <v>5</v>
      </c>
      <c r="T391" s="19">
        <v>0</v>
      </c>
      <c r="U391" s="19" t="s">
        <v>55</v>
      </c>
      <c r="V391" s="19" t="str">
        <f>IF(Clean_Data!$T391&gt;0,"Runs","Wickets")</f>
        <v>Wickets</v>
      </c>
      <c r="W391" s="19">
        <f>IF(Clean_Data!$T391&gt;0,Clean_Data!$T391,Clean_Data!$S391)</f>
        <v>5</v>
      </c>
      <c r="X391" s="19" t="str">
        <f>IF(Clean_Data!$W391&lt;=10,"Close Match","Normal")</f>
        <v>Close Match</v>
      </c>
      <c r="Y391" s="19">
        <f>Clean_Data!$G391+Clean_Data!$J391</f>
        <v>290</v>
      </c>
      <c r="Z391" s="19" t="str">
        <f>IF(Clean_Data!$Y391&gt;=170,"170+ Match","Below 170")</f>
        <v>170+ Match</v>
      </c>
      <c r="AA391" s="19" t="s">
        <v>278</v>
      </c>
      <c r="AB391" s="21" t="s">
        <v>583</v>
      </c>
    </row>
    <row r="392" spans="1:28" x14ac:dyDescent="0.3">
      <c r="A392" s="16" t="s">
        <v>633</v>
      </c>
      <c r="B392" s="5" t="str">
        <f>LEFT(Clean_Data!$A392,4)</f>
        <v>2023</v>
      </c>
      <c r="C392" s="5" t="s">
        <v>33</v>
      </c>
      <c r="D392" s="5" t="str">
        <f>IF(ISNUMBER(SEARCH("Final",Clean_Data!$C392)),"Final",
IF(ISNUMBER(SEARCH("Semi",Clean_Data!$C392)),"Semi-Final",
IF(ISNUMBER(SEARCH("Elimination",Clean_Data!$C392)),"Eliminator",
"League")))</f>
        <v>League</v>
      </c>
      <c r="E392" s="6" t="s">
        <v>634</v>
      </c>
      <c r="F392" s="5" t="s">
        <v>581</v>
      </c>
      <c r="G392" s="5">
        <v>177</v>
      </c>
      <c r="H392" s="5">
        <v>2</v>
      </c>
      <c r="I392" s="5" t="s">
        <v>280</v>
      </c>
      <c r="J392" s="5">
        <v>180</v>
      </c>
      <c r="K392" s="5">
        <v>3</v>
      </c>
      <c r="L392" s="5" t="s">
        <v>638</v>
      </c>
      <c r="M392" s="5" t="s">
        <v>280</v>
      </c>
      <c r="N392" s="5" t="s">
        <v>26</v>
      </c>
      <c r="O392" s="5" t="s">
        <v>280</v>
      </c>
      <c r="P392" s="5" t="str">
        <f>IF(Clean_Data!$G392&gt;Clean_Data!$J392,Clean_Data!$F392,Clean_Data!$I392)</f>
        <v>Chattogram Challengers</v>
      </c>
      <c r="Q392" s="5" t="s">
        <v>28</v>
      </c>
      <c r="R392" s="5" t="s">
        <v>29</v>
      </c>
      <c r="S392" s="5">
        <v>7</v>
      </c>
      <c r="T392" s="5">
        <v>0</v>
      </c>
      <c r="U392" s="5" t="s">
        <v>118</v>
      </c>
      <c r="V392" s="5" t="str">
        <f>IF(Clean_Data!$T392&gt;0,"Runs","Wickets")</f>
        <v>Wickets</v>
      </c>
      <c r="W392" s="5">
        <f>IF(Clean_Data!$T392&gt;0,Clean_Data!$T392,Clean_Data!$S392)</f>
        <v>7</v>
      </c>
      <c r="X392" s="5" t="str">
        <f>IF(Clean_Data!$W392&lt;=10,"Close Match","Normal")</f>
        <v>Close Match</v>
      </c>
      <c r="Y392" s="5">
        <f>Clean_Data!$G392+Clean_Data!$J392</f>
        <v>357</v>
      </c>
      <c r="Z392" s="5" t="str">
        <f>IF(Clean_Data!$Y392&gt;=170,"170+ Match","Below 170")</f>
        <v>170+ Match</v>
      </c>
      <c r="AA392" s="5" t="s">
        <v>639</v>
      </c>
      <c r="AB392" s="17" t="s">
        <v>557</v>
      </c>
    </row>
    <row r="393" spans="1:28" x14ac:dyDescent="0.3">
      <c r="A393" s="18" t="s">
        <v>633</v>
      </c>
      <c r="B393" s="19" t="str">
        <f>LEFT(Clean_Data!$A393,4)</f>
        <v>2023</v>
      </c>
      <c r="C393" s="19" t="s">
        <v>195</v>
      </c>
      <c r="D393" s="19" t="str">
        <f>IF(ISNUMBER(SEARCH("Final",Clean_Data!$C393)),"Final",
IF(ISNUMBER(SEARCH("Semi",Clean_Data!$C393)),"Semi-Final",
IF(ISNUMBER(SEARCH("Elimination",Clean_Data!$C393)),"Eliminator",
"League")))</f>
        <v>League</v>
      </c>
      <c r="E393" s="20" t="s">
        <v>640</v>
      </c>
      <c r="F393" s="19" t="s">
        <v>113</v>
      </c>
      <c r="G393" s="19">
        <v>134</v>
      </c>
      <c r="H393" s="19">
        <v>9</v>
      </c>
      <c r="I393" s="19" t="s">
        <v>641</v>
      </c>
      <c r="J393" s="19">
        <v>138</v>
      </c>
      <c r="K393" s="19">
        <v>5</v>
      </c>
      <c r="L393" s="19" t="s">
        <v>642</v>
      </c>
      <c r="M393" s="19" t="s">
        <v>310</v>
      </c>
      <c r="N393" s="19" t="s">
        <v>26</v>
      </c>
      <c r="O393" s="19" t="s">
        <v>641</v>
      </c>
      <c r="P393" s="19" t="str">
        <f>IF(Clean_Data!$G393&gt;Clean_Data!$J393,Clean_Data!$F393,Clean_Data!$I393)</f>
        <v xml:space="preserve">Fortune Barishal </v>
      </c>
      <c r="Q393" s="19" t="s">
        <v>28</v>
      </c>
      <c r="R393" s="19" t="s">
        <v>29</v>
      </c>
      <c r="S393" s="19">
        <v>5</v>
      </c>
      <c r="T393" s="19">
        <v>0</v>
      </c>
      <c r="U393" s="19" t="s">
        <v>55</v>
      </c>
      <c r="V393" s="19" t="str">
        <f>IF(Clean_Data!$T393&gt;0,"Runs","Wickets")</f>
        <v>Wickets</v>
      </c>
      <c r="W393" s="19">
        <f>IF(Clean_Data!$T393&gt;0,Clean_Data!$T393,Clean_Data!$S393)</f>
        <v>5</v>
      </c>
      <c r="X393" s="19" t="str">
        <f>IF(Clean_Data!$W393&lt;=10,"Close Match","Normal")</f>
        <v>Close Match</v>
      </c>
      <c r="Y393" s="19">
        <f>Clean_Data!$G393+Clean_Data!$J393</f>
        <v>272</v>
      </c>
      <c r="Z393" s="19" t="str">
        <f>IF(Clean_Data!$Y393&gt;=170,"170+ Match","Below 170")</f>
        <v>170+ Match</v>
      </c>
      <c r="AA393" s="19" t="s">
        <v>593</v>
      </c>
      <c r="AB393" s="21" t="s">
        <v>639</v>
      </c>
    </row>
    <row r="394" spans="1:28" x14ac:dyDescent="0.3">
      <c r="A394" s="16" t="s">
        <v>633</v>
      </c>
      <c r="B394" s="5" t="str">
        <f>LEFT(Clean_Data!$A394,4)</f>
        <v>2023</v>
      </c>
      <c r="C394" s="5" t="s">
        <v>190</v>
      </c>
      <c r="D394" s="5" t="str">
        <f>IF(ISNUMBER(SEARCH("Final",Clean_Data!$C394)),"Final",
IF(ISNUMBER(SEARCH("Semi",Clean_Data!$C394)),"Semi-Final",
IF(ISNUMBER(SEARCH("Elimination",Clean_Data!$C394)),"Eliminator",
"League")))</f>
        <v>League</v>
      </c>
      <c r="E394" s="6" t="s">
        <v>640</v>
      </c>
      <c r="F394" s="5" t="s">
        <v>280</v>
      </c>
      <c r="G394" s="5">
        <v>121</v>
      </c>
      <c r="H394" s="5">
        <v>10</v>
      </c>
      <c r="I394" s="5" t="s">
        <v>277</v>
      </c>
      <c r="J394" s="5">
        <v>122</v>
      </c>
      <c r="K394" s="5">
        <v>6</v>
      </c>
      <c r="L394" s="5" t="s">
        <v>440</v>
      </c>
      <c r="M394" s="5" t="s">
        <v>277</v>
      </c>
      <c r="N394" s="5" t="s">
        <v>26</v>
      </c>
      <c r="O394" s="5" t="s">
        <v>277</v>
      </c>
      <c r="P394" s="5" t="str">
        <f>IF(Clean_Data!$G394&gt;Clean_Data!$J394,Clean_Data!$F394,Clean_Data!$I394)</f>
        <v>Khulna Tigers</v>
      </c>
      <c r="Q394" s="5" t="s">
        <v>28</v>
      </c>
      <c r="R394" s="5" t="s">
        <v>29</v>
      </c>
      <c r="S394" s="5">
        <v>4</v>
      </c>
      <c r="T394" s="5">
        <v>0</v>
      </c>
      <c r="U394" s="5" t="s">
        <v>90</v>
      </c>
      <c r="V394" s="5" t="str">
        <f>IF(Clean_Data!$T394&gt;0,"Runs","Wickets")</f>
        <v>Wickets</v>
      </c>
      <c r="W394" s="5">
        <f>IF(Clean_Data!$T394&gt;0,Clean_Data!$T394,Clean_Data!$S394)</f>
        <v>4</v>
      </c>
      <c r="X394" s="5" t="str">
        <f>IF(Clean_Data!$W394&lt;=10,"Close Match","Normal")</f>
        <v>Close Match</v>
      </c>
      <c r="Y394" s="5">
        <f>Clean_Data!$G394+Clean_Data!$J394</f>
        <v>243</v>
      </c>
      <c r="Z394" s="5" t="str">
        <f>IF(Clean_Data!$Y394&gt;=170,"170+ Match","Below 170")</f>
        <v>170+ Match</v>
      </c>
      <c r="AA394" s="5" t="s">
        <v>278</v>
      </c>
      <c r="AB394" s="17" t="s">
        <v>557</v>
      </c>
    </row>
    <row r="395" spans="1:28" x14ac:dyDescent="0.3">
      <c r="A395" s="18" t="s">
        <v>633</v>
      </c>
      <c r="B395" s="19" t="str">
        <f>LEFT(Clean_Data!$A395,4)</f>
        <v>2023</v>
      </c>
      <c r="C395" s="19" t="s">
        <v>186</v>
      </c>
      <c r="D395" s="19" t="str">
        <f>IF(ISNUMBER(SEARCH("Final",Clean_Data!$C395)),"Final",
IF(ISNUMBER(SEARCH("Semi",Clean_Data!$C395)),"Semi-Final",
IF(ISNUMBER(SEARCH("Elimination",Clean_Data!$C395)),"Eliminator",
"League")))</f>
        <v>League</v>
      </c>
      <c r="E395" s="20" t="s">
        <v>643</v>
      </c>
      <c r="F395" s="19" t="s">
        <v>636</v>
      </c>
      <c r="G395" s="19">
        <v>136</v>
      </c>
      <c r="H395" s="19">
        <v>8</v>
      </c>
      <c r="I395" s="19" t="s">
        <v>280</v>
      </c>
      <c r="J395" s="19">
        <v>137</v>
      </c>
      <c r="K395" s="19">
        <v>4</v>
      </c>
      <c r="L395" s="19" t="s">
        <v>644</v>
      </c>
      <c r="M395" s="19" t="s">
        <v>280</v>
      </c>
      <c r="N395" s="19" t="s">
        <v>26</v>
      </c>
      <c r="O395" s="19" t="s">
        <v>280</v>
      </c>
      <c r="P395" s="19" t="str">
        <f>IF(Clean_Data!$G395&gt;Clean_Data!$J395,Clean_Data!$F395,Clean_Data!$I395)</f>
        <v>Chattogram Challengers</v>
      </c>
      <c r="Q395" s="19" t="s">
        <v>28</v>
      </c>
      <c r="R395" s="19" t="s">
        <v>29</v>
      </c>
      <c r="S395" s="19">
        <v>6</v>
      </c>
      <c r="T395" s="19">
        <v>0</v>
      </c>
      <c r="U395" s="19" t="s">
        <v>151</v>
      </c>
      <c r="V395" s="19" t="str">
        <f>IF(Clean_Data!$T395&gt;0,"Runs","Wickets")</f>
        <v>Wickets</v>
      </c>
      <c r="W395" s="19">
        <f>IF(Clean_Data!$T395&gt;0,Clean_Data!$T395,Clean_Data!$S395)</f>
        <v>6</v>
      </c>
      <c r="X395" s="19" t="str">
        <f>IF(Clean_Data!$W395&lt;=10,"Close Match","Normal")</f>
        <v>Close Match</v>
      </c>
      <c r="Y395" s="19">
        <f>Clean_Data!$G395+Clean_Data!$J395</f>
        <v>273</v>
      </c>
      <c r="Z395" s="19" t="str">
        <f>IF(Clean_Data!$Y395&gt;=170,"170+ Match","Below 170")</f>
        <v>170+ Match</v>
      </c>
      <c r="AA395" s="19" t="s">
        <v>639</v>
      </c>
      <c r="AB395" s="21" t="s">
        <v>606</v>
      </c>
    </row>
    <row r="396" spans="1:28" x14ac:dyDescent="0.3">
      <c r="A396" s="16" t="s">
        <v>633</v>
      </c>
      <c r="B396" s="5" t="str">
        <f>LEFT(Clean_Data!$A396,4)</f>
        <v>2023</v>
      </c>
      <c r="C396" s="5" t="s">
        <v>180</v>
      </c>
      <c r="D396" s="5" t="str">
        <f>IF(ISNUMBER(SEARCH("Final",Clean_Data!$C396)),"Final",
IF(ISNUMBER(SEARCH("Semi",Clean_Data!$C396)),"Semi-Final",
IF(ISNUMBER(SEARCH("Elimination",Clean_Data!$C396)),"Eliminator",
"League")))</f>
        <v>League</v>
      </c>
      <c r="E396" s="6" t="s">
        <v>643</v>
      </c>
      <c r="F396" s="5" t="s">
        <v>641</v>
      </c>
      <c r="G396" s="5">
        <v>187</v>
      </c>
      <c r="H396" s="5">
        <v>4</v>
      </c>
      <c r="I396" s="5" t="s">
        <v>277</v>
      </c>
      <c r="J396" s="5">
        <v>188</v>
      </c>
      <c r="K396" s="5">
        <v>2</v>
      </c>
      <c r="L396" s="5" t="s">
        <v>182</v>
      </c>
      <c r="M396" s="5" t="s">
        <v>277</v>
      </c>
      <c r="N396" s="5" t="s">
        <v>26</v>
      </c>
      <c r="O396" s="5" t="s">
        <v>277</v>
      </c>
      <c r="P396" s="5" t="str">
        <f>IF(Clean_Data!$G396&gt;Clean_Data!$J396,Clean_Data!$F396,Clean_Data!$I396)</f>
        <v>Khulna Tigers</v>
      </c>
      <c r="Q396" s="5" t="s">
        <v>28</v>
      </c>
      <c r="R396" s="5" t="s">
        <v>29</v>
      </c>
      <c r="S396" s="5">
        <v>8</v>
      </c>
      <c r="T396" s="5">
        <v>0</v>
      </c>
      <c r="U396" s="5" t="s">
        <v>30</v>
      </c>
      <c r="V396" s="5" t="str">
        <f>IF(Clean_Data!$T396&gt;0,"Runs","Wickets")</f>
        <v>Wickets</v>
      </c>
      <c r="W396" s="5">
        <f>IF(Clean_Data!$T396&gt;0,Clean_Data!$T396,Clean_Data!$S396)</f>
        <v>8</v>
      </c>
      <c r="X396" s="5" t="str">
        <f>IF(Clean_Data!$W396&lt;=10,"Close Match","Normal")</f>
        <v>Close Match</v>
      </c>
      <c r="Y396" s="5">
        <f>Clean_Data!$G396+Clean_Data!$J396</f>
        <v>375</v>
      </c>
      <c r="Z396" s="5" t="str">
        <f>IF(Clean_Data!$Y396&gt;=170,"170+ Match","Below 170")</f>
        <v>170+ Match</v>
      </c>
      <c r="AA396" s="5" t="s">
        <v>278</v>
      </c>
      <c r="AB396" s="17" t="s">
        <v>558</v>
      </c>
    </row>
    <row r="397" spans="1:28" x14ac:dyDescent="0.3">
      <c r="A397" s="18" t="s">
        <v>633</v>
      </c>
      <c r="B397" s="19" t="str">
        <f>LEFT(Clean_Data!$A397,4)</f>
        <v>2023</v>
      </c>
      <c r="C397" s="19" t="s">
        <v>176</v>
      </c>
      <c r="D397" s="19" t="str">
        <f>IF(ISNUMBER(SEARCH("Final",Clean_Data!$C397)),"Final",
IF(ISNUMBER(SEARCH("Semi",Clean_Data!$C397)),"Semi-Final",
IF(ISNUMBER(SEARCH("Elimination",Clean_Data!$C397)),"Eliminator",
"League")))</f>
        <v>League</v>
      </c>
      <c r="E397" s="20" t="s">
        <v>645</v>
      </c>
      <c r="F397" s="19" t="s">
        <v>581</v>
      </c>
      <c r="G397" s="19">
        <v>120</v>
      </c>
      <c r="H397" s="19">
        <v>8</v>
      </c>
      <c r="I397" s="19" t="s">
        <v>113</v>
      </c>
      <c r="J397" s="19">
        <v>125</v>
      </c>
      <c r="K397" s="19">
        <v>6</v>
      </c>
      <c r="L397" s="19" t="s">
        <v>610</v>
      </c>
      <c r="M397" s="19" t="s">
        <v>113</v>
      </c>
      <c r="N397" s="19" t="s">
        <v>26</v>
      </c>
      <c r="O397" s="19" t="s">
        <v>113</v>
      </c>
      <c r="P397" s="19" t="str">
        <f>IF(Clean_Data!$G397&gt;Clean_Data!$J397,Clean_Data!$F397,Clean_Data!$I397)</f>
        <v>Rangpur Riders</v>
      </c>
      <c r="Q397" s="19" t="s">
        <v>28</v>
      </c>
      <c r="R397" s="19" t="s">
        <v>29</v>
      </c>
      <c r="S397" s="19">
        <v>4</v>
      </c>
      <c r="T397" s="19">
        <v>0</v>
      </c>
      <c r="U397" s="19" t="s">
        <v>90</v>
      </c>
      <c r="V397" s="19" t="str">
        <f>IF(Clean_Data!$T397&gt;0,"Runs","Wickets")</f>
        <v>Wickets</v>
      </c>
      <c r="W397" s="19">
        <f>IF(Clean_Data!$T397&gt;0,Clean_Data!$T397,Clean_Data!$S397)</f>
        <v>4</v>
      </c>
      <c r="X397" s="19" t="str">
        <f>IF(Clean_Data!$W397&lt;=10,"Close Match","Normal")</f>
        <v>Close Match</v>
      </c>
      <c r="Y397" s="19">
        <f>Clean_Data!$G397+Clean_Data!$J397</f>
        <v>245</v>
      </c>
      <c r="Z397" s="19" t="str">
        <f>IF(Clean_Data!$Y397&gt;=170,"170+ Match","Below 170")</f>
        <v>170+ Match</v>
      </c>
      <c r="AA397" s="19" t="s">
        <v>278</v>
      </c>
      <c r="AB397" s="21" t="s">
        <v>583</v>
      </c>
    </row>
    <row r="398" spans="1:28" x14ac:dyDescent="0.3">
      <c r="A398" s="16" t="s">
        <v>633</v>
      </c>
      <c r="B398" s="5" t="str">
        <f>LEFT(Clean_Data!$A398,4)</f>
        <v>2023</v>
      </c>
      <c r="C398" s="5" t="s">
        <v>170</v>
      </c>
      <c r="D398" s="5" t="str">
        <f>IF(ISNUMBER(SEARCH("Final",Clean_Data!$C398)),"Final",
IF(ISNUMBER(SEARCH("Semi",Clean_Data!$C398)),"Semi-Final",
IF(ISNUMBER(SEARCH("Elimination",Clean_Data!$C398)),"Eliminator",
"League")))</f>
        <v>League</v>
      </c>
      <c r="E398" s="6" t="s">
        <v>645</v>
      </c>
      <c r="F398" s="5" t="s">
        <v>641</v>
      </c>
      <c r="G398" s="5">
        <v>161</v>
      </c>
      <c r="H398" s="5">
        <v>9</v>
      </c>
      <c r="I398" s="5" t="s">
        <v>143</v>
      </c>
      <c r="J398" s="5">
        <v>162</v>
      </c>
      <c r="K398" s="5">
        <v>6</v>
      </c>
      <c r="L398" s="5" t="s">
        <v>646</v>
      </c>
      <c r="M398" s="5" t="s">
        <v>143</v>
      </c>
      <c r="N398" s="5" t="s">
        <v>26</v>
      </c>
      <c r="O398" s="5" t="s">
        <v>143</v>
      </c>
      <c r="P398" s="5" t="str">
        <f>IF(Clean_Data!$G398&gt;Clean_Data!$J398,Clean_Data!$F398,Clean_Data!$I398)</f>
        <v>Comilla Victorians</v>
      </c>
      <c r="Q398" s="5" t="s">
        <v>28</v>
      </c>
      <c r="R398" s="5" t="s">
        <v>29</v>
      </c>
      <c r="S398" s="5">
        <v>4</v>
      </c>
      <c r="T398" s="5">
        <v>0</v>
      </c>
      <c r="U398" s="5" t="s">
        <v>90</v>
      </c>
      <c r="V398" s="5" t="str">
        <f>IF(Clean_Data!$T398&gt;0,"Runs","Wickets")</f>
        <v>Wickets</v>
      </c>
      <c r="W398" s="5">
        <f>IF(Clean_Data!$T398&gt;0,Clean_Data!$T398,Clean_Data!$S398)</f>
        <v>4</v>
      </c>
      <c r="X398" s="5" t="str">
        <f>IF(Clean_Data!$W398&lt;=10,"Close Match","Normal")</f>
        <v>Close Match</v>
      </c>
      <c r="Y398" s="5">
        <f>Clean_Data!$G398+Clean_Data!$J398</f>
        <v>323</v>
      </c>
      <c r="Z398" s="5" t="str">
        <f>IF(Clean_Data!$Y398&gt;=170,"170+ Match","Below 170")</f>
        <v>170+ Match</v>
      </c>
      <c r="AA398" s="5" t="s">
        <v>639</v>
      </c>
      <c r="AB398" s="17" t="s">
        <v>242</v>
      </c>
    </row>
    <row r="399" spans="1:28" x14ac:dyDescent="0.3">
      <c r="A399" s="18" t="s">
        <v>633</v>
      </c>
      <c r="B399" s="19" t="str">
        <f>LEFT(Clean_Data!$A399,4)</f>
        <v>2023</v>
      </c>
      <c r="C399" s="19" t="s">
        <v>168</v>
      </c>
      <c r="D399" s="19" t="str">
        <f>IF(ISNUMBER(SEARCH("Final",Clean_Data!$C399)),"Final",
IF(ISNUMBER(SEARCH("Semi",Clean_Data!$C399)),"Semi-Final",
IF(ISNUMBER(SEARCH("Elimination",Clean_Data!$C399)),"Eliminator",
"League")))</f>
        <v>League</v>
      </c>
      <c r="E399" s="20" t="s">
        <v>647</v>
      </c>
      <c r="F399" s="19" t="s">
        <v>277</v>
      </c>
      <c r="G399" s="19">
        <v>160</v>
      </c>
      <c r="H399" s="19">
        <v>6</v>
      </c>
      <c r="I399" s="19" t="s">
        <v>113</v>
      </c>
      <c r="J399" s="19">
        <v>132</v>
      </c>
      <c r="K399" s="19">
        <v>10</v>
      </c>
      <c r="L399" s="19" t="s">
        <v>546</v>
      </c>
      <c r="M399" s="19" t="s">
        <v>113</v>
      </c>
      <c r="N399" s="19" t="s">
        <v>26</v>
      </c>
      <c r="O399" s="19" t="s">
        <v>277</v>
      </c>
      <c r="P399" s="19" t="str">
        <f>IF(Clean_Data!$G399&gt;Clean_Data!$J399,Clean_Data!$F399,Clean_Data!$I399)</f>
        <v>Khulna Tigers</v>
      </c>
      <c r="Q399" s="19" t="s">
        <v>469</v>
      </c>
      <c r="R399" s="19" t="s">
        <v>470</v>
      </c>
      <c r="S399" s="19">
        <v>0</v>
      </c>
      <c r="T399" s="19">
        <v>28</v>
      </c>
      <c r="U399" s="19" t="s">
        <v>648</v>
      </c>
      <c r="V399" s="19" t="str">
        <f>IF(Clean_Data!$T399&gt;0,"Runs","Wickets")</f>
        <v>Runs</v>
      </c>
      <c r="W399" s="19">
        <f>IF(Clean_Data!$T399&gt;0,Clean_Data!$T399,Clean_Data!$S399)</f>
        <v>28</v>
      </c>
      <c r="X399" s="19" t="str">
        <f>IF(Clean_Data!$W399&lt;=10,"Close Match","Normal")</f>
        <v>Normal</v>
      </c>
      <c r="Y399" s="19">
        <f>Clean_Data!$G399+Clean_Data!$J399</f>
        <v>292</v>
      </c>
      <c r="Z399" s="19" t="str">
        <f>IF(Clean_Data!$Y399&gt;=170,"170+ Match","Below 170")</f>
        <v>170+ Match</v>
      </c>
      <c r="AA399" s="19" t="s">
        <v>639</v>
      </c>
      <c r="AB399" s="21" t="s">
        <v>606</v>
      </c>
    </row>
    <row r="400" spans="1:28" x14ac:dyDescent="0.3">
      <c r="A400" s="16" t="s">
        <v>633</v>
      </c>
      <c r="B400" s="5" t="str">
        <f>LEFT(Clean_Data!$A400,4)</f>
        <v>2023</v>
      </c>
      <c r="C400" s="5" t="s">
        <v>163</v>
      </c>
      <c r="D400" s="5" t="str">
        <f>IF(ISNUMBER(SEARCH("Final",Clean_Data!$C400)),"Final",
IF(ISNUMBER(SEARCH("Semi",Clean_Data!$C400)),"Semi-Final",
IF(ISNUMBER(SEARCH("Elimination",Clean_Data!$C400)),"Eliminator",
"League")))</f>
        <v>League</v>
      </c>
      <c r="E400" s="6" t="s">
        <v>647</v>
      </c>
      <c r="F400" s="5" t="s">
        <v>635</v>
      </c>
      <c r="G400" s="5">
        <v>130</v>
      </c>
      <c r="H400" s="5">
        <v>8</v>
      </c>
      <c r="I400" s="5" t="s">
        <v>581</v>
      </c>
      <c r="J400" s="5">
        <v>78</v>
      </c>
      <c r="K400" s="5">
        <v>10</v>
      </c>
      <c r="L400" s="5" t="s">
        <v>505</v>
      </c>
      <c r="M400" s="5" t="s">
        <v>581</v>
      </c>
      <c r="N400" s="5" t="s">
        <v>26</v>
      </c>
      <c r="O400" s="5" t="s">
        <v>143</v>
      </c>
      <c r="P400" s="5" t="str">
        <f>IF(Clean_Data!$G400&gt;Clean_Data!$J400,Clean_Data!$F400,Clean_Data!$I400)</f>
        <v xml:space="preserve">Comilla Victorians </v>
      </c>
      <c r="Q400" s="5" t="s">
        <v>469</v>
      </c>
      <c r="R400" s="5" t="s">
        <v>470</v>
      </c>
      <c r="S400" s="5">
        <v>0</v>
      </c>
      <c r="T400" s="5">
        <v>52</v>
      </c>
      <c r="U400" s="5" t="s">
        <v>317</v>
      </c>
      <c r="V400" s="5" t="str">
        <f>IF(Clean_Data!$T400&gt;0,"Runs","Wickets")</f>
        <v>Runs</v>
      </c>
      <c r="W400" s="5">
        <f>IF(Clean_Data!$T400&gt;0,Clean_Data!$T400,Clean_Data!$S400)</f>
        <v>52</v>
      </c>
      <c r="X400" s="5" t="str">
        <f>IF(Clean_Data!$W400&lt;=10,"Close Match","Normal")</f>
        <v>Normal</v>
      </c>
      <c r="Y400" s="5">
        <f>Clean_Data!$G400+Clean_Data!$J400</f>
        <v>208</v>
      </c>
      <c r="Z400" s="5" t="str">
        <f>IF(Clean_Data!$Y400&gt;=170,"170+ Match","Below 170")</f>
        <v>170+ Match</v>
      </c>
      <c r="AA400" s="5" t="s">
        <v>278</v>
      </c>
      <c r="AB400" s="17" t="s">
        <v>583</v>
      </c>
    </row>
    <row r="401" spans="1:28" x14ac:dyDescent="0.3">
      <c r="A401" s="18" t="s">
        <v>633</v>
      </c>
      <c r="B401" s="19" t="str">
        <f>LEFT(Clean_Data!$A401,4)</f>
        <v>2023</v>
      </c>
      <c r="C401" s="19" t="s">
        <v>156</v>
      </c>
      <c r="D401" s="19" t="str">
        <f>IF(ISNUMBER(SEARCH("Final",Clean_Data!$C401)),"Final",
IF(ISNUMBER(SEARCH("Semi",Clean_Data!$C401)),"Semi-Final",
IF(ISNUMBER(SEARCH("Elimination",Clean_Data!$C401)),"Eliminator",
"League")))</f>
        <v>League</v>
      </c>
      <c r="E401" s="20" t="s">
        <v>649</v>
      </c>
      <c r="F401" s="19" t="s">
        <v>280</v>
      </c>
      <c r="G401" s="19">
        <v>193</v>
      </c>
      <c r="H401" s="19">
        <v>4</v>
      </c>
      <c r="I401" s="19" t="s">
        <v>641</v>
      </c>
      <c r="J401" s="19">
        <v>183</v>
      </c>
      <c r="K401" s="19">
        <v>7</v>
      </c>
      <c r="L401" s="19" t="s">
        <v>650</v>
      </c>
      <c r="M401" s="19" t="s">
        <v>310</v>
      </c>
      <c r="N401" s="19" t="s">
        <v>26</v>
      </c>
      <c r="O401" s="19" t="s">
        <v>280</v>
      </c>
      <c r="P401" s="19" t="str">
        <f>IF(Clean_Data!$G401&gt;Clean_Data!$J401,Clean_Data!$F401,Clean_Data!$I401)</f>
        <v>Chattogram Challengers</v>
      </c>
      <c r="Q401" s="19" t="s">
        <v>469</v>
      </c>
      <c r="R401" s="19" t="s">
        <v>470</v>
      </c>
      <c r="S401" s="19">
        <v>0</v>
      </c>
      <c r="T401" s="19">
        <v>10</v>
      </c>
      <c r="U401" s="19" t="s">
        <v>384</v>
      </c>
      <c r="V401" s="19" t="str">
        <f>IF(Clean_Data!$T401&gt;0,"Runs","Wickets")</f>
        <v>Runs</v>
      </c>
      <c r="W401" s="19">
        <f>IF(Clean_Data!$T401&gt;0,Clean_Data!$T401,Clean_Data!$S401)</f>
        <v>10</v>
      </c>
      <c r="X401" s="19" t="str">
        <f>IF(Clean_Data!$W401&lt;=10,"Close Match","Normal")</f>
        <v>Close Match</v>
      </c>
      <c r="Y401" s="19">
        <f>Clean_Data!$G401+Clean_Data!$J401</f>
        <v>376</v>
      </c>
      <c r="Z401" s="19" t="str">
        <f>IF(Clean_Data!$Y401&gt;=170,"170+ Match","Below 170")</f>
        <v>170+ Match</v>
      </c>
      <c r="AA401" s="19" t="s">
        <v>278</v>
      </c>
      <c r="AB401" s="21" t="s">
        <v>651</v>
      </c>
    </row>
    <row r="402" spans="1:28" x14ac:dyDescent="0.3">
      <c r="A402" s="16" t="s">
        <v>633</v>
      </c>
      <c r="B402" s="5" t="str">
        <f>LEFT(Clean_Data!$A402,4)</f>
        <v>2023</v>
      </c>
      <c r="C402" s="5" t="s">
        <v>148</v>
      </c>
      <c r="D402" s="5" t="str">
        <f>IF(ISNUMBER(SEARCH("Final",Clean_Data!$C402)),"Final",
IF(ISNUMBER(SEARCH("Semi",Clean_Data!$C402)),"Semi-Final",
IF(ISNUMBER(SEARCH("Elimination",Clean_Data!$C402)),"Eliminator",
"League")))</f>
        <v>League</v>
      </c>
      <c r="E402" s="6" t="s">
        <v>649</v>
      </c>
      <c r="F402" s="5" t="s">
        <v>113</v>
      </c>
      <c r="G402" s="5">
        <v>183</v>
      </c>
      <c r="H402" s="5">
        <v>8</v>
      </c>
      <c r="I402" s="5" t="s">
        <v>636</v>
      </c>
      <c r="J402" s="5">
        <v>104</v>
      </c>
      <c r="K402" s="5">
        <v>10</v>
      </c>
      <c r="L402" s="5" t="s">
        <v>652</v>
      </c>
      <c r="M402" s="5" t="s">
        <v>636</v>
      </c>
      <c r="N402" s="5" t="s">
        <v>26</v>
      </c>
      <c r="O402" s="5" t="s">
        <v>113</v>
      </c>
      <c r="P402" s="5" t="str">
        <f>IF(Clean_Data!$G402&gt;Clean_Data!$J402,Clean_Data!$F402,Clean_Data!$I402)</f>
        <v>Rangpur Riders</v>
      </c>
      <c r="Q402" s="5" t="s">
        <v>469</v>
      </c>
      <c r="R402" s="5" t="s">
        <v>470</v>
      </c>
      <c r="S402" s="5">
        <v>0</v>
      </c>
      <c r="T402" s="5">
        <v>79</v>
      </c>
      <c r="U402" s="5" t="s">
        <v>653</v>
      </c>
      <c r="V402" s="5" t="str">
        <f>IF(Clean_Data!$T402&gt;0,"Runs","Wickets")</f>
        <v>Runs</v>
      </c>
      <c r="W402" s="5">
        <f>IF(Clean_Data!$T402&gt;0,Clean_Data!$T402,Clean_Data!$S402)</f>
        <v>79</v>
      </c>
      <c r="X402" s="5" t="str">
        <f>IF(Clean_Data!$W402&lt;=10,"Close Match","Normal")</f>
        <v>Normal</v>
      </c>
      <c r="Y402" s="5">
        <f>Clean_Data!$G402+Clean_Data!$J402</f>
        <v>287</v>
      </c>
      <c r="Z402" s="5" t="str">
        <f>IF(Clean_Data!$Y402&gt;=170,"170+ Match","Below 170")</f>
        <v>170+ Match</v>
      </c>
      <c r="AA402" s="5" t="s">
        <v>639</v>
      </c>
      <c r="AB402" s="17" t="s">
        <v>558</v>
      </c>
    </row>
    <row r="403" spans="1:28" x14ac:dyDescent="0.3">
      <c r="A403" s="18" t="s">
        <v>633</v>
      </c>
      <c r="B403" s="19" t="str">
        <f>LEFT(Clean_Data!$A403,4)</f>
        <v>2023</v>
      </c>
      <c r="C403" s="19" t="s">
        <v>138</v>
      </c>
      <c r="D403" s="19" t="str">
        <f>IF(ISNUMBER(SEARCH("Final",Clean_Data!$C403)),"Final",
IF(ISNUMBER(SEARCH("Semi",Clean_Data!$C403)),"Semi-Final",
IF(ISNUMBER(SEARCH("Elimination",Clean_Data!$C403)),"Eliminator",
"League")))</f>
        <v>League</v>
      </c>
      <c r="E403" s="20" t="s">
        <v>654</v>
      </c>
      <c r="F403" s="19" t="s">
        <v>581</v>
      </c>
      <c r="G403" s="19">
        <v>137</v>
      </c>
      <c r="H403" s="19">
        <v>4</v>
      </c>
      <c r="I403" s="19" t="s">
        <v>280</v>
      </c>
      <c r="J403" s="19">
        <v>138</v>
      </c>
      <c r="K403" s="19">
        <v>2</v>
      </c>
      <c r="L403" s="19" t="s">
        <v>655</v>
      </c>
      <c r="M403" s="19" t="s">
        <v>581</v>
      </c>
      <c r="N403" s="19" t="s">
        <v>37</v>
      </c>
      <c r="O403" s="19" t="s">
        <v>280</v>
      </c>
      <c r="P403" s="19" t="str">
        <f>IF(Clean_Data!$G403&gt;Clean_Data!$J403,Clean_Data!$F403,Clean_Data!$I403)</f>
        <v>Chattogram Challengers</v>
      </c>
      <c r="Q403" s="19" t="s">
        <v>469</v>
      </c>
      <c r="R403" s="19" t="s">
        <v>470</v>
      </c>
      <c r="S403" s="19">
        <v>8</v>
      </c>
      <c r="T403" s="19">
        <v>0</v>
      </c>
      <c r="U403" s="19" t="s">
        <v>30</v>
      </c>
      <c r="V403" s="19" t="str">
        <f>IF(Clean_Data!$T403&gt;0,"Runs","Wickets")</f>
        <v>Wickets</v>
      </c>
      <c r="W403" s="19">
        <f>IF(Clean_Data!$T403&gt;0,Clean_Data!$T403,Clean_Data!$S403)</f>
        <v>8</v>
      </c>
      <c r="X403" s="19" t="str">
        <f>IF(Clean_Data!$W403&lt;=10,"Close Match","Normal")</f>
        <v>Close Match</v>
      </c>
      <c r="Y403" s="19">
        <f>Clean_Data!$G403+Clean_Data!$J403</f>
        <v>275</v>
      </c>
      <c r="Z403" s="19" t="str">
        <f>IF(Clean_Data!$Y403&gt;=170,"170+ Match","Below 170")</f>
        <v>170+ Match</v>
      </c>
      <c r="AA403" s="19" t="s">
        <v>278</v>
      </c>
      <c r="AB403" s="21" t="s">
        <v>242</v>
      </c>
    </row>
    <row r="404" spans="1:28" x14ac:dyDescent="0.3">
      <c r="A404" s="16" t="s">
        <v>633</v>
      </c>
      <c r="B404" s="5" t="str">
        <f>LEFT(Clean_Data!$A404,4)</f>
        <v>2023</v>
      </c>
      <c r="C404" s="5" t="s">
        <v>132</v>
      </c>
      <c r="D404" s="5" t="str">
        <f>IF(ISNUMBER(SEARCH("Final",Clean_Data!$C404)),"Final",
IF(ISNUMBER(SEARCH("Semi",Clean_Data!$C404)),"Semi-Final",
IF(ISNUMBER(SEARCH("Elimination",Clean_Data!$C404)),"Eliminator",
"League")))</f>
        <v>League</v>
      </c>
      <c r="E404" s="6" t="s">
        <v>654</v>
      </c>
      <c r="F404" s="5" t="s">
        <v>636</v>
      </c>
      <c r="G404" s="5">
        <v>130</v>
      </c>
      <c r="H404" s="5">
        <v>9</v>
      </c>
      <c r="I404" s="5" t="s">
        <v>277</v>
      </c>
      <c r="J404" s="5">
        <v>131</v>
      </c>
      <c r="K404" s="5">
        <v>0</v>
      </c>
      <c r="L404" s="5" t="s">
        <v>482</v>
      </c>
      <c r="M404" s="5" t="s">
        <v>636</v>
      </c>
      <c r="N404" s="5" t="s">
        <v>37</v>
      </c>
      <c r="O404" s="5" t="s">
        <v>277</v>
      </c>
      <c r="P404" s="5" t="str">
        <f>IF(Clean_Data!$G404&gt;Clean_Data!$J404,Clean_Data!$F404,Clean_Data!$I404)</f>
        <v>Khulna Tigers</v>
      </c>
      <c r="Q404" s="5" t="s">
        <v>469</v>
      </c>
      <c r="R404" s="5" t="s">
        <v>470</v>
      </c>
      <c r="S404" s="5">
        <v>10</v>
      </c>
      <c r="T404" s="5">
        <v>0</v>
      </c>
      <c r="U404" s="5" t="s">
        <v>656</v>
      </c>
      <c r="V404" s="5" t="str">
        <f>IF(Clean_Data!$T404&gt;0,"Runs","Wickets")</f>
        <v>Wickets</v>
      </c>
      <c r="W404" s="5">
        <f>IF(Clean_Data!$T404&gt;0,Clean_Data!$T404,Clean_Data!$S404)</f>
        <v>10</v>
      </c>
      <c r="X404" s="5" t="str">
        <f>IF(Clean_Data!$W404&lt;=10,"Close Match","Normal")</f>
        <v>Close Match</v>
      </c>
      <c r="Y404" s="5">
        <f>Clean_Data!$G404+Clean_Data!$J404</f>
        <v>261</v>
      </c>
      <c r="Z404" s="5" t="str">
        <f>IF(Clean_Data!$Y404&gt;=170,"170+ Match","Below 170")</f>
        <v>170+ Match</v>
      </c>
      <c r="AA404" s="5" t="s">
        <v>593</v>
      </c>
      <c r="AB404" s="17" t="s">
        <v>639</v>
      </c>
    </row>
    <row r="405" spans="1:28" x14ac:dyDescent="0.3">
      <c r="A405" s="18" t="s">
        <v>633</v>
      </c>
      <c r="B405" s="19" t="str">
        <f>LEFT(Clean_Data!$A405,4)</f>
        <v>2023</v>
      </c>
      <c r="C405" s="19" t="s">
        <v>126</v>
      </c>
      <c r="D405" s="19" t="str">
        <f>IF(ISNUMBER(SEARCH("Final",Clean_Data!$C405)),"Final",
IF(ISNUMBER(SEARCH("Semi",Clean_Data!$C405)),"Semi-Final",
IF(ISNUMBER(SEARCH("Elimination",Clean_Data!$C405)),"Eliminator",
"League")))</f>
        <v>League</v>
      </c>
      <c r="E405" s="20" t="s">
        <v>657</v>
      </c>
      <c r="F405" s="19" t="s">
        <v>113</v>
      </c>
      <c r="G405" s="19">
        <v>165</v>
      </c>
      <c r="H405" s="19">
        <v>5</v>
      </c>
      <c r="I405" s="19" t="s">
        <v>143</v>
      </c>
      <c r="J405" s="19">
        <v>157</v>
      </c>
      <c r="K405" s="19">
        <v>6</v>
      </c>
      <c r="L405" s="19" t="s">
        <v>610</v>
      </c>
      <c r="M405" s="19" t="s">
        <v>113</v>
      </c>
      <c r="N405" s="19" t="s">
        <v>37</v>
      </c>
      <c r="O405" s="19" t="s">
        <v>113</v>
      </c>
      <c r="P405" s="19" t="str">
        <f>IF(Clean_Data!$G405&gt;Clean_Data!$J405,Clean_Data!$F405,Clean_Data!$I405)</f>
        <v>Rangpur Riders</v>
      </c>
      <c r="Q405" s="19" t="s">
        <v>469</v>
      </c>
      <c r="R405" s="19" t="s">
        <v>470</v>
      </c>
      <c r="S405" s="19">
        <v>0</v>
      </c>
      <c r="T405" s="19">
        <v>8</v>
      </c>
      <c r="U405" s="19" t="s">
        <v>218</v>
      </c>
      <c r="V405" s="19" t="str">
        <f>IF(Clean_Data!$T405&gt;0,"Runs","Wickets")</f>
        <v>Runs</v>
      </c>
      <c r="W405" s="19">
        <f>IF(Clean_Data!$T405&gt;0,Clean_Data!$T405,Clean_Data!$S405)</f>
        <v>8</v>
      </c>
      <c r="X405" s="19" t="str">
        <f>IF(Clean_Data!$W405&lt;=10,"Close Match","Normal")</f>
        <v>Close Match</v>
      </c>
      <c r="Y405" s="19">
        <f>Clean_Data!$G405+Clean_Data!$J405</f>
        <v>322</v>
      </c>
      <c r="Z405" s="19" t="str">
        <f>IF(Clean_Data!$Y405&gt;=170,"170+ Match","Below 170")</f>
        <v>170+ Match</v>
      </c>
      <c r="AA405" s="19" t="s">
        <v>639</v>
      </c>
      <c r="AB405" s="21" t="s">
        <v>606</v>
      </c>
    </row>
    <row r="406" spans="1:28" x14ac:dyDescent="0.3">
      <c r="A406" s="16" t="s">
        <v>633</v>
      </c>
      <c r="B406" s="5" t="str">
        <f>LEFT(Clean_Data!$A406,4)</f>
        <v>2023</v>
      </c>
      <c r="C406" s="5" t="s">
        <v>123</v>
      </c>
      <c r="D406" s="5" t="str">
        <f>IF(ISNUMBER(SEARCH("Final",Clean_Data!$C406)),"Final",
IF(ISNUMBER(SEARCH("Semi",Clean_Data!$C406)),"Semi-Final",
IF(ISNUMBER(SEARCH("Elimination",Clean_Data!$C406)),"Eliminator",
"League")))</f>
        <v>League</v>
      </c>
      <c r="E406" s="6" t="s">
        <v>657</v>
      </c>
      <c r="F406" s="5" t="s">
        <v>641</v>
      </c>
      <c r="G406" s="5">
        <v>186</v>
      </c>
      <c r="H406" s="5">
        <v>5</v>
      </c>
      <c r="I406" s="5" t="s">
        <v>581</v>
      </c>
      <c r="J406" s="5">
        <v>137</v>
      </c>
      <c r="K406" s="5">
        <v>10</v>
      </c>
      <c r="L406" s="5" t="s">
        <v>157</v>
      </c>
      <c r="M406" s="5" t="s">
        <v>581</v>
      </c>
      <c r="N406" s="5" t="s">
        <v>26</v>
      </c>
      <c r="O406" s="5" t="s">
        <v>641</v>
      </c>
      <c r="P406" s="5" t="str">
        <f>IF(Clean_Data!$G406&gt;Clean_Data!$J406,Clean_Data!$F406,Clean_Data!$I406)</f>
        <v xml:space="preserve">Fortune Barishal </v>
      </c>
      <c r="Q406" s="5" t="s">
        <v>469</v>
      </c>
      <c r="R406" s="5" t="s">
        <v>470</v>
      </c>
      <c r="S406" s="5">
        <v>0</v>
      </c>
      <c r="T406" s="5">
        <v>49</v>
      </c>
      <c r="U406" s="5" t="s">
        <v>411</v>
      </c>
      <c r="V406" s="5" t="str">
        <f>IF(Clean_Data!$T406&gt;0,"Runs","Wickets")</f>
        <v>Runs</v>
      </c>
      <c r="W406" s="5">
        <f>IF(Clean_Data!$T406&gt;0,Clean_Data!$T406,Clean_Data!$S406)</f>
        <v>49</v>
      </c>
      <c r="X406" s="5" t="str">
        <f>IF(Clean_Data!$W406&lt;=10,"Close Match","Normal")</f>
        <v>Normal</v>
      </c>
      <c r="Y406" s="5">
        <f>Clean_Data!$G406+Clean_Data!$J406</f>
        <v>323</v>
      </c>
      <c r="Z406" s="5" t="str">
        <f>IF(Clean_Data!$Y406&gt;=170,"170+ Match","Below 170")</f>
        <v>170+ Match</v>
      </c>
      <c r="AA406" s="5" t="s">
        <v>278</v>
      </c>
      <c r="AB406" s="17" t="s">
        <v>583</v>
      </c>
    </row>
    <row r="407" spans="1:28" x14ac:dyDescent="0.3">
      <c r="A407" s="18" t="s">
        <v>633</v>
      </c>
      <c r="B407" s="19" t="str">
        <f>LEFT(Clean_Data!$A407,4)</f>
        <v>2023</v>
      </c>
      <c r="C407" s="19" t="s">
        <v>116</v>
      </c>
      <c r="D407" s="19" t="str">
        <f>IF(ISNUMBER(SEARCH("Final",Clean_Data!$C407)),"Final",
IF(ISNUMBER(SEARCH("Semi",Clean_Data!$C407)),"Semi-Final",
IF(ISNUMBER(SEARCH("Elimination",Clean_Data!$C407)),"Eliminator",
"League")))</f>
        <v>League</v>
      </c>
      <c r="E407" s="20" t="s">
        <v>658</v>
      </c>
      <c r="F407" s="19" t="s">
        <v>581</v>
      </c>
      <c r="G407" s="19">
        <v>142</v>
      </c>
      <c r="H407" s="19">
        <v>8</v>
      </c>
      <c r="I407" s="19" t="s">
        <v>636</v>
      </c>
      <c r="J407" s="19">
        <v>127</v>
      </c>
      <c r="K407" s="19">
        <v>9</v>
      </c>
      <c r="L407" s="19" t="s">
        <v>659</v>
      </c>
      <c r="M407" s="19" t="s">
        <v>636</v>
      </c>
      <c r="N407" s="19" t="s">
        <v>26</v>
      </c>
      <c r="O407" s="19" t="s">
        <v>581</v>
      </c>
      <c r="P407" s="19" t="str">
        <f>IF(Clean_Data!$G407&gt;Clean_Data!$J407,Clean_Data!$F407,Clean_Data!$I407)</f>
        <v>Sylhet Strikers</v>
      </c>
      <c r="Q407" s="19" t="s">
        <v>469</v>
      </c>
      <c r="R407" s="19" t="s">
        <v>470</v>
      </c>
      <c r="S407" s="19">
        <v>0</v>
      </c>
      <c r="T407" s="19">
        <v>15</v>
      </c>
      <c r="U407" s="19" t="s">
        <v>530</v>
      </c>
      <c r="V407" s="19" t="str">
        <f>IF(Clean_Data!$T407&gt;0,"Runs","Wickets")</f>
        <v>Runs</v>
      </c>
      <c r="W407" s="19">
        <f>IF(Clean_Data!$T407&gt;0,Clean_Data!$T407,Clean_Data!$S407)</f>
        <v>15</v>
      </c>
      <c r="X407" s="19" t="str">
        <f>IF(Clean_Data!$W407&lt;=10,"Close Match","Normal")</f>
        <v>Normal</v>
      </c>
      <c r="Y407" s="19">
        <f>Clean_Data!$G407+Clean_Data!$J407</f>
        <v>269</v>
      </c>
      <c r="Z407" s="19" t="str">
        <f>IF(Clean_Data!$Y407&gt;=170,"170+ Match","Below 170")</f>
        <v>170+ Match</v>
      </c>
      <c r="AA407" s="19" t="s">
        <v>593</v>
      </c>
      <c r="AB407" s="21" t="s">
        <v>639</v>
      </c>
    </row>
    <row r="408" spans="1:28" x14ac:dyDescent="0.3">
      <c r="A408" s="16" t="s">
        <v>633</v>
      </c>
      <c r="B408" s="5" t="str">
        <f>LEFT(Clean_Data!$A408,4)</f>
        <v>2023</v>
      </c>
      <c r="C408" s="5" t="s">
        <v>110</v>
      </c>
      <c r="D408" s="5" t="str">
        <f>IF(ISNUMBER(SEARCH("Final",Clean_Data!$C408)),"Final",
IF(ISNUMBER(SEARCH("Semi",Clean_Data!$C408)),"Semi-Final",
IF(ISNUMBER(SEARCH("Elimination",Clean_Data!$C408)),"Eliminator",
"League")))</f>
        <v>League</v>
      </c>
      <c r="E408" s="6" t="s">
        <v>658</v>
      </c>
      <c r="F408" s="5" t="s">
        <v>280</v>
      </c>
      <c r="G408" s="5">
        <v>72</v>
      </c>
      <c r="H408" s="5">
        <v>10</v>
      </c>
      <c r="I408" s="5" t="s">
        <v>143</v>
      </c>
      <c r="J408" s="5">
        <v>73</v>
      </c>
      <c r="K408" s="5">
        <v>3</v>
      </c>
      <c r="L408" s="5" t="s">
        <v>627</v>
      </c>
      <c r="M408" s="5" t="s">
        <v>143</v>
      </c>
      <c r="N408" s="5" t="s">
        <v>26</v>
      </c>
      <c r="O408" s="5" t="s">
        <v>143</v>
      </c>
      <c r="P408" s="5" t="str">
        <f>IF(Clean_Data!$G408&gt;Clean_Data!$J408,Clean_Data!$F408,Clean_Data!$I408)</f>
        <v>Comilla Victorians</v>
      </c>
      <c r="Q408" s="5" t="s">
        <v>469</v>
      </c>
      <c r="R408" s="5" t="s">
        <v>470</v>
      </c>
      <c r="S408" s="5">
        <v>7</v>
      </c>
      <c r="T408" s="5">
        <v>0</v>
      </c>
      <c r="U408" s="5" t="s">
        <v>118</v>
      </c>
      <c r="V408" s="5" t="str">
        <f>IF(Clean_Data!$T408&gt;0,"Runs","Wickets")</f>
        <v>Wickets</v>
      </c>
      <c r="W408" s="5">
        <f>IF(Clean_Data!$T408&gt;0,Clean_Data!$T408,Clean_Data!$S408)</f>
        <v>7</v>
      </c>
      <c r="X408" s="5" t="str">
        <f>IF(Clean_Data!$W408&lt;=10,"Close Match","Normal")</f>
        <v>Close Match</v>
      </c>
      <c r="Y408" s="5">
        <f>Clean_Data!$G408+Clean_Data!$J408</f>
        <v>145</v>
      </c>
      <c r="Z408" s="5" t="str">
        <f>IF(Clean_Data!$Y408&gt;=170,"170+ Match","Below 170")</f>
        <v>Below 170</v>
      </c>
      <c r="AA408" s="5" t="s">
        <v>278</v>
      </c>
      <c r="AB408" s="17" t="s">
        <v>558</v>
      </c>
    </row>
    <row r="409" spans="1:28" x14ac:dyDescent="0.3">
      <c r="A409" s="18" t="s">
        <v>633</v>
      </c>
      <c r="B409" s="19" t="str">
        <f>LEFT(Clean_Data!$A409,4)</f>
        <v>2023</v>
      </c>
      <c r="C409" s="19" t="s">
        <v>104</v>
      </c>
      <c r="D409" s="19" t="str">
        <f>IF(ISNUMBER(SEARCH("Final",Clean_Data!$C409)),"Final",
IF(ISNUMBER(SEARCH("Semi",Clean_Data!$C409)),"Semi-Final",
IF(ISNUMBER(SEARCH("Elimination",Clean_Data!$C409)),"Eliminator",
"League")))</f>
        <v>League</v>
      </c>
      <c r="E409" s="20" t="s">
        <v>660</v>
      </c>
      <c r="F409" s="19" t="s">
        <v>277</v>
      </c>
      <c r="G409" s="19">
        <v>155</v>
      </c>
      <c r="H409" s="19">
        <v>8</v>
      </c>
      <c r="I409" s="19" t="s">
        <v>641</v>
      </c>
      <c r="J409" s="19">
        <v>156</v>
      </c>
      <c r="K409" s="19">
        <v>5</v>
      </c>
      <c r="L409" s="19" t="s">
        <v>381</v>
      </c>
      <c r="M409" s="19" t="s">
        <v>310</v>
      </c>
      <c r="N409" s="19" t="s">
        <v>26</v>
      </c>
      <c r="O409" s="19" t="s">
        <v>641</v>
      </c>
      <c r="P409" s="19" t="str">
        <f>IF(Clean_Data!$G409&gt;Clean_Data!$J409,Clean_Data!$F409,Clean_Data!$I409)</f>
        <v xml:space="preserve">Fortune Barishal </v>
      </c>
      <c r="Q409" s="19" t="s">
        <v>469</v>
      </c>
      <c r="R409" s="19" t="s">
        <v>470</v>
      </c>
      <c r="S409" s="19">
        <v>5</v>
      </c>
      <c r="T409" s="19">
        <v>0</v>
      </c>
      <c r="U409" s="19" t="s">
        <v>55</v>
      </c>
      <c r="V409" s="19" t="str">
        <f>IF(Clean_Data!$T409&gt;0,"Runs","Wickets")</f>
        <v>Wickets</v>
      </c>
      <c r="W409" s="19">
        <f>IF(Clean_Data!$T409&gt;0,Clean_Data!$T409,Clean_Data!$S409)</f>
        <v>5</v>
      </c>
      <c r="X409" s="19" t="str">
        <f>IF(Clean_Data!$W409&lt;=10,"Close Match","Normal")</f>
        <v>Close Match</v>
      </c>
      <c r="Y409" s="19">
        <f>Clean_Data!$G409+Clean_Data!$J409</f>
        <v>311</v>
      </c>
      <c r="Z409" s="19" t="str">
        <f>IF(Clean_Data!$Y409&gt;=170,"170+ Match","Below 170")</f>
        <v>170+ Match</v>
      </c>
      <c r="AA409" s="19" t="s">
        <v>278</v>
      </c>
      <c r="AB409" s="21" t="s">
        <v>557</v>
      </c>
    </row>
    <row r="410" spans="1:28" x14ac:dyDescent="0.3">
      <c r="A410" s="16" t="s">
        <v>633</v>
      </c>
      <c r="B410" s="5" t="str">
        <f>LEFT(Clean_Data!$A410,4)</f>
        <v>2023</v>
      </c>
      <c r="C410" s="5" t="s">
        <v>95</v>
      </c>
      <c r="D410" s="5" t="str">
        <f>IF(ISNUMBER(SEARCH("Final",Clean_Data!$C410)),"Final",
IF(ISNUMBER(SEARCH("Semi",Clean_Data!$C410)),"Semi-Final",
IF(ISNUMBER(SEARCH("Elimination",Clean_Data!$C410)),"Eliminator",
"League")))</f>
        <v>League</v>
      </c>
      <c r="E410" s="6" t="s">
        <v>660</v>
      </c>
      <c r="F410" s="5" t="s">
        <v>113</v>
      </c>
      <c r="G410" s="5">
        <v>162</v>
      </c>
      <c r="H410" s="5">
        <v>7</v>
      </c>
      <c r="I410" s="5" t="s">
        <v>581</v>
      </c>
      <c r="J410" s="5">
        <v>85</v>
      </c>
      <c r="K410" s="5">
        <v>10</v>
      </c>
      <c r="L410" s="5" t="s">
        <v>618</v>
      </c>
      <c r="M410" s="5" t="s">
        <v>581</v>
      </c>
      <c r="N410" s="5" t="s">
        <v>26</v>
      </c>
      <c r="O410" s="5" t="s">
        <v>113</v>
      </c>
      <c r="P410" s="5" t="str">
        <f>IF(Clean_Data!$G410&gt;Clean_Data!$J410,Clean_Data!$F410,Clean_Data!$I410)</f>
        <v>Rangpur Riders</v>
      </c>
      <c r="Q410" s="5" t="s">
        <v>469</v>
      </c>
      <c r="R410" s="5" t="s">
        <v>470</v>
      </c>
      <c r="S410" s="5">
        <v>0</v>
      </c>
      <c r="T410" s="5">
        <v>77</v>
      </c>
      <c r="U410" s="5" t="s">
        <v>661</v>
      </c>
      <c r="V410" s="5" t="str">
        <f>IF(Clean_Data!$T410&gt;0,"Runs","Wickets")</f>
        <v>Runs</v>
      </c>
      <c r="W410" s="5">
        <f>IF(Clean_Data!$T410&gt;0,Clean_Data!$T410,Clean_Data!$S410)</f>
        <v>77</v>
      </c>
      <c r="X410" s="5" t="str">
        <f>IF(Clean_Data!$W410&lt;=10,"Close Match","Normal")</f>
        <v>Normal</v>
      </c>
      <c r="Y410" s="5">
        <f>Clean_Data!$G410+Clean_Data!$J410</f>
        <v>247</v>
      </c>
      <c r="Z410" s="5" t="str">
        <f>IF(Clean_Data!$Y410&gt;=170,"170+ Match","Below 170")</f>
        <v>170+ Match</v>
      </c>
      <c r="AA410" s="5" t="s">
        <v>639</v>
      </c>
      <c r="AB410" s="17" t="s">
        <v>242</v>
      </c>
    </row>
    <row r="411" spans="1:28" x14ac:dyDescent="0.3">
      <c r="A411" s="18" t="s">
        <v>633</v>
      </c>
      <c r="B411" s="19" t="str">
        <f>LEFT(Clean_Data!$A411,4)</f>
        <v>2023</v>
      </c>
      <c r="C411" s="19" t="s">
        <v>91</v>
      </c>
      <c r="D411" s="19" t="str">
        <f>IF(ISNUMBER(SEARCH("Final",Clean_Data!$C411)),"Final",
IF(ISNUMBER(SEARCH("Semi",Clean_Data!$C411)),"Semi-Final",
IF(ISNUMBER(SEARCH("Elimination",Clean_Data!$C411)),"Eliminator",
"League")))</f>
        <v>League</v>
      </c>
      <c r="E411" s="20" t="s">
        <v>662</v>
      </c>
      <c r="F411" s="19" t="s">
        <v>113</v>
      </c>
      <c r="G411" s="19">
        <v>175</v>
      </c>
      <c r="H411" s="19">
        <v>4</v>
      </c>
      <c r="I411" s="19" t="s">
        <v>636</v>
      </c>
      <c r="J411" s="19">
        <v>115</v>
      </c>
      <c r="K411" s="19">
        <v>10</v>
      </c>
      <c r="L411" s="19" t="s">
        <v>108</v>
      </c>
      <c r="M411" s="19" t="s">
        <v>636</v>
      </c>
      <c r="N411" s="19" t="s">
        <v>26</v>
      </c>
      <c r="O411" s="19" t="s">
        <v>113</v>
      </c>
      <c r="P411" s="19" t="str">
        <f>IF(Clean_Data!$G411&gt;Clean_Data!$J411,Clean_Data!$F411,Clean_Data!$I411)</f>
        <v>Rangpur Riders</v>
      </c>
      <c r="Q411" s="19" t="s">
        <v>28</v>
      </c>
      <c r="R411" s="19" t="s">
        <v>29</v>
      </c>
      <c r="S411" s="19">
        <v>0</v>
      </c>
      <c r="T411" s="19">
        <v>60</v>
      </c>
      <c r="U411" s="19" t="s">
        <v>607</v>
      </c>
      <c r="V411" s="19" t="str">
        <f>IF(Clean_Data!$T411&gt;0,"Runs","Wickets")</f>
        <v>Runs</v>
      </c>
      <c r="W411" s="19">
        <f>IF(Clean_Data!$T411&gt;0,Clean_Data!$T411,Clean_Data!$S411)</f>
        <v>60</v>
      </c>
      <c r="X411" s="19" t="str">
        <f>IF(Clean_Data!$W411&lt;=10,"Close Match","Normal")</f>
        <v>Normal</v>
      </c>
      <c r="Y411" s="19">
        <f>Clean_Data!$G411+Clean_Data!$J411</f>
        <v>290</v>
      </c>
      <c r="Z411" s="19" t="str">
        <f>IF(Clean_Data!$Y411&gt;=170,"170+ Match","Below 170")</f>
        <v>170+ Match</v>
      </c>
      <c r="AA411" s="19" t="s">
        <v>639</v>
      </c>
      <c r="AB411" s="21" t="s">
        <v>583</v>
      </c>
    </row>
    <row r="412" spans="1:28" x14ac:dyDescent="0.3">
      <c r="A412" s="16" t="s">
        <v>633</v>
      </c>
      <c r="B412" s="5" t="str">
        <f>LEFT(Clean_Data!$A412,4)</f>
        <v>2023</v>
      </c>
      <c r="C412" s="5" t="s">
        <v>85</v>
      </c>
      <c r="D412" s="5" t="str">
        <f>IF(ISNUMBER(SEARCH("Final",Clean_Data!$C412)),"Final",
IF(ISNUMBER(SEARCH("Semi",Clean_Data!$C412)),"Semi-Final",
IF(ISNUMBER(SEARCH("Elimination",Clean_Data!$C412)),"Eliminator",
"League")))</f>
        <v>League</v>
      </c>
      <c r="E412" s="6" t="s">
        <v>662</v>
      </c>
      <c r="F412" s="5" t="s">
        <v>280</v>
      </c>
      <c r="G412" s="5">
        <v>145</v>
      </c>
      <c r="H412" s="5">
        <v>5</v>
      </c>
      <c r="I412" s="5" t="s">
        <v>641</v>
      </c>
      <c r="J412" s="5">
        <v>129</v>
      </c>
      <c r="K412" s="5">
        <v>8</v>
      </c>
      <c r="L412" s="5" t="s">
        <v>422</v>
      </c>
      <c r="M412" s="5" t="s">
        <v>310</v>
      </c>
      <c r="N412" s="5" t="s">
        <v>26</v>
      </c>
      <c r="O412" s="5" t="s">
        <v>280</v>
      </c>
      <c r="P412" s="5" t="str">
        <f>IF(Clean_Data!$G412&gt;Clean_Data!$J412,Clean_Data!$F412,Clean_Data!$I412)</f>
        <v>Chattogram Challengers</v>
      </c>
      <c r="Q412" s="5" t="s">
        <v>28</v>
      </c>
      <c r="R412" s="5" t="s">
        <v>29</v>
      </c>
      <c r="S412" s="5">
        <v>0</v>
      </c>
      <c r="T412" s="5">
        <v>16</v>
      </c>
      <c r="U412" s="5" t="s">
        <v>169</v>
      </c>
      <c r="V412" s="5" t="str">
        <f>IF(Clean_Data!$T412&gt;0,"Runs","Wickets")</f>
        <v>Runs</v>
      </c>
      <c r="W412" s="5">
        <f>IF(Clean_Data!$T412&gt;0,Clean_Data!$T412,Clean_Data!$S412)</f>
        <v>16</v>
      </c>
      <c r="X412" s="5" t="str">
        <f>IF(Clean_Data!$W412&lt;=10,"Close Match","Normal")</f>
        <v>Normal</v>
      </c>
      <c r="Y412" s="5">
        <f>Clean_Data!$G412+Clean_Data!$J412</f>
        <v>274</v>
      </c>
      <c r="Z412" s="5" t="str">
        <f>IF(Clean_Data!$Y412&gt;=170,"170+ Match","Below 170")</f>
        <v>170+ Match</v>
      </c>
      <c r="AA412" s="5" t="s">
        <v>278</v>
      </c>
      <c r="AB412" s="17" t="s">
        <v>557</v>
      </c>
    </row>
    <row r="413" spans="1:28" x14ac:dyDescent="0.3">
      <c r="A413" s="18" t="s">
        <v>633</v>
      </c>
      <c r="B413" s="19" t="str">
        <f>LEFT(Clean_Data!$A413,4)</f>
        <v>2023</v>
      </c>
      <c r="C413" s="19" t="s">
        <v>78</v>
      </c>
      <c r="D413" s="19" t="str">
        <f>IF(ISNUMBER(SEARCH("Final",Clean_Data!$C413)),"Final",
IF(ISNUMBER(SEARCH("Semi",Clean_Data!$C413)),"Semi-Final",
IF(ISNUMBER(SEARCH("Elimination",Clean_Data!$C413)),"Eliminator",
"League")))</f>
        <v>League</v>
      </c>
      <c r="E413" s="20" t="s">
        <v>663</v>
      </c>
      <c r="F413" s="19" t="s">
        <v>635</v>
      </c>
      <c r="G413" s="19">
        <v>149</v>
      </c>
      <c r="H413" s="19">
        <v>7</v>
      </c>
      <c r="I413" s="19" t="s">
        <v>277</v>
      </c>
      <c r="J413" s="19">
        <v>115</v>
      </c>
      <c r="K413" s="19">
        <v>10</v>
      </c>
      <c r="L413" s="19" t="s">
        <v>664</v>
      </c>
      <c r="M413" s="19" t="s">
        <v>143</v>
      </c>
      <c r="N413" s="19" t="s">
        <v>37</v>
      </c>
      <c r="O413" s="19" t="s">
        <v>143</v>
      </c>
      <c r="P413" s="19" t="str">
        <f>IF(Clean_Data!$G413&gt;Clean_Data!$J413,Clean_Data!$F413,Clean_Data!$I413)</f>
        <v xml:space="preserve">Comilla Victorians </v>
      </c>
      <c r="Q413" s="19" t="s">
        <v>28</v>
      </c>
      <c r="R413" s="19" t="s">
        <v>29</v>
      </c>
      <c r="S413" s="19">
        <v>0</v>
      </c>
      <c r="T413" s="19">
        <v>34</v>
      </c>
      <c r="U413" s="19" t="s">
        <v>303</v>
      </c>
      <c r="V413" s="19" t="str">
        <f>IF(Clean_Data!$T413&gt;0,"Runs","Wickets")</f>
        <v>Runs</v>
      </c>
      <c r="W413" s="19">
        <f>IF(Clean_Data!$T413&gt;0,Clean_Data!$T413,Clean_Data!$S413)</f>
        <v>34</v>
      </c>
      <c r="X413" s="19" t="str">
        <f>IF(Clean_Data!$W413&lt;=10,"Close Match","Normal")</f>
        <v>Normal</v>
      </c>
      <c r="Y413" s="19">
        <f>Clean_Data!$G413+Clean_Data!$J413</f>
        <v>264</v>
      </c>
      <c r="Z413" s="19" t="str">
        <f>IF(Clean_Data!$Y413&gt;=170,"170+ Match","Below 170")</f>
        <v>170+ Match</v>
      </c>
      <c r="AA413" s="19" t="s">
        <v>278</v>
      </c>
      <c r="AB413" s="21" t="s">
        <v>242</v>
      </c>
    </row>
    <row r="414" spans="1:28" x14ac:dyDescent="0.3">
      <c r="A414" s="16" t="s">
        <v>633</v>
      </c>
      <c r="B414" s="5" t="str">
        <f>LEFT(Clean_Data!$A414,4)</f>
        <v>2023</v>
      </c>
      <c r="C414" s="5" t="s">
        <v>68</v>
      </c>
      <c r="D414" s="5" t="str">
        <f>IF(ISNUMBER(SEARCH("Final",Clean_Data!$C414)),"Final",
IF(ISNUMBER(SEARCH("Semi",Clean_Data!$C414)),"Semi-Final",
IF(ISNUMBER(SEARCH("Elimination",Clean_Data!$C414)),"Eliminator",
"League")))</f>
        <v>League</v>
      </c>
      <c r="E414" s="6" t="s">
        <v>663</v>
      </c>
      <c r="F414" s="5" t="s">
        <v>636</v>
      </c>
      <c r="G414" s="5">
        <v>124</v>
      </c>
      <c r="H414" s="5">
        <v>8</v>
      </c>
      <c r="I414" s="5" t="s">
        <v>581</v>
      </c>
      <c r="J414" s="5">
        <v>129</v>
      </c>
      <c r="K414" s="5">
        <v>5</v>
      </c>
      <c r="L414" s="5" t="s">
        <v>552</v>
      </c>
      <c r="M414" s="5" t="s">
        <v>581</v>
      </c>
      <c r="N414" s="5" t="s">
        <v>26</v>
      </c>
      <c r="O414" s="5" t="s">
        <v>581</v>
      </c>
      <c r="P414" s="5" t="str">
        <f>IF(Clean_Data!$G414&gt;Clean_Data!$J414,Clean_Data!$F414,Clean_Data!$I414)</f>
        <v>Sylhet Strikers</v>
      </c>
      <c r="Q414" s="5" t="s">
        <v>28</v>
      </c>
      <c r="R414" s="5" t="s">
        <v>29</v>
      </c>
      <c r="S414" s="5">
        <v>5</v>
      </c>
      <c r="T414" s="5">
        <v>0</v>
      </c>
      <c r="U414" s="5" t="s">
        <v>55</v>
      </c>
      <c r="V414" s="5" t="str">
        <f>IF(Clean_Data!$T414&gt;0,"Runs","Wickets")</f>
        <v>Wickets</v>
      </c>
      <c r="W414" s="5">
        <f>IF(Clean_Data!$T414&gt;0,Clean_Data!$T414,Clean_Data!$S414)</f>
        <v>5</v>
      </c>
      <c r="X414" s="5" t="str">
        <f>IF(Clean_Data!$W414&lt;=10,"Close Match","Normal")</f>
        <v>Close Match</v>
      </c>
      <c r="Y414" s="5">
        <f>Clean_Data!$G414+Clean_Data!$J414</f>
        <v>253</v>
      </c>
      <c r="Z414" s="5" t="str">
        <f>IF(Clean_Data!$Y414&gt;=170,"170+ Match","Below 170")</f>
        <v>170+ Match</v>
      </c>
      <c r="AA414" s="5" t="s">
        <v>50</v>
      </c>
      <c r="AB414" s="17" t="s">
        <v>558</v>
      </c>
    </row>
    <row r="415" spans="1:28" x14ac:dyDescent="0.3">
      <c r="A415" s="18" t="s">
        <v>633</v>
      </c>
      <c r="B415" s="19" t="str">
        <f>LEFT(Clean_Data!$A415,4)</f>
        <v>2023</v>
      </c>
      <c r="C415" s="19" t="s">
        <v>67</v>
      </c>
      <c r="D415" s="19" t="str">
        <f>IF(ISNUMBER(SEARCH("Final",Clean_Data!$C415)),"Final",
IF(ISNUMBER(SEARCH("Semi",Clean_Data!$C415)),"Semi-Final",
IF(ISNUMBER(SEARCH("Elimination",Clean_Data!$C415)),"Eliminator",
"League")))</f>
        <v>League</v>
      </c>
      <c r="E415" s="20" t="s">
        <v>665</v>
      </c>
      <c r="F415" s="19" t="s">
        <v>277</v>
      </c>
      <c r="G415" s="19">
        <v>153</v>
      </c>
      <c r="H415" s="19">
        <v>3</v>
      </c>
      <c r="I415" s="19" t="s">
        <v>581</v>
      </c>
      <c r="J415" s="19">
        <v>159</v>
      </c>
      <c r="K415" s="19">
        <v>5</v>
      </c>
      <c r="L415" s="19" t="s">
        <v>666</v>
      </c>
      <c r="M415" s="19" t="s">
        <v>277</v>
      </c>
      <c r="N415" s="19" t="s">
        <v>37</v>
      </c>
      <c r="O415" s="19" t="s">
        <v>581</v>
      </c>
      <c r="P415" s="19" t="str">
        <f>IF(Clean_Data!$G415&gt;Clean_Data!$J415,Clean_Data!$F415,Clean_Data!$I415)</f>
        <v>Sylhet Strikers</v>
      </c>
      <c r="Q415" s="19" t="s">
        <v>28</v>
      </c>
      <c r="R415" s="19" t="s">
        <v>29</v>
      </c>
      <c r="S415" s="19">
        <v>5</v>
      </c>
      <c r="T415" s="19">
        <v>0</v>
      </c>
      <c r="U415" s="19" t="s">
        <v>55</v>
      </c>
      <c r="V415" s="19" t="str">
        <f>IF(Clean_Data!$T415&gt;0,"Runs","Wickets")</f>
        <v>Wickets</v>
      </c>
      <c r="W415" s="19">
        <f>IF(Clean_Data!$T415&gt;0,Clean_Data!$T415,Clean_Data!$S415)</f>
        <v>5</v>
      </c>
      <c r="X415" s="19" t="str">
        <f>IF(Clean_Data!$W415&lt;=10,"Close Match","Normal")</f>
        <v>Close Match</v>
      </c>
      <c r="Y415" s="19">
        <f>Clean_Data!$G415+Clean_Data!$J415</f>
        <v>312</v>
      </c>
      <c r="Z415" s="19" t="str">
        <f>IF(Clean_Data!$Y415&gt;=170,"170+ Match","Below 170")</f>
        <v>170+ Match</v>
      </c>
      <c r="AA415" s="19" t="s">
        <v>639</v>
      </c>
      <c r="AB415" s="21" t="s">
        <v>583</v>
      </c>
    </row>
    <row r="416" spans="1:28" x14ac:dyDescent="0.3">
      <c r="A416" s="16" t="s">
        <v>633</v>
      </c>
      <c r="B416" s="5" t="str">
        <f>LEFT(Clean_Data!$A416,4)</f>
        <v>2023</v>
      </c>
      <c r="C416" s="5" t="s">
        <v>60</v>
      </c>
      <c r="D416" s="5" t="str">
        <f>IF(ISNUMBER(SEARCH("Final",Clean_Data!$C416)),"Final",
IF(ISNUMBER(SEARCH("Semi",Clean_Data!$C416)),"Semi-Final",
IF(ISNUMBER(SEARCH("Elimination",Clean_Data!$C416)),"Eliminator",
"League")))</f>
        <v>League</v>
      </c>
      <c r="E416" s="6" t="s">
        <v>665</v>
      </c>
      <c r="F416" s="5" t="s">
        <v>636</v>
      </c>
      <c r="G416" s="5">
        <v>175</v>
      </c>
      <c r="H416" s="5">
        <v>4</v>
      </c>
      <c r="I416" s="5" t="s">
        <v>143</v>
      </c>
      <c r="J416" s="5">
        <v>176</v>
      </c>
      <c r="K416" s="5">
        <v>6</v>
      </c>
      <c r="L416" s="5" t="s">
        <v>586</v>
      </c>
      <c r="M416" s="5" t="s">
        <v>636</v>
      </c>
      <c r="N416" s="5" t="s">
        <v>37</v>
      </c>
      <c r="O416" s="5" t="s">
        <v>143</v>
      </c>
      <c r="P416" s="5" t="str">
        <f>IF(Clean_Data!$G416&gt;Clean_Data!$J416,Clean_Data!$F416,Clean_Data!$I416)</f>
        <v>Comilla Victorians</v>
      </c>
      <c r="Q416" s="5" t="s">
        <v>28</v>
      </c>
      <c r="R416" s="5" t="s">
        <v>29</v>
      </c>
      <c r="S416" s="5">
        <v>4</v>
      </c>
      <c r="T416" s="5">
        <v>0</v>
      </c>
      <c r="U416" s="5" t="s">
        <v>90</v>
      </c>
      <c r="V416" s="5" t="str">
        <f>IF(Clean_Data!$T416&gt;0,"Runs","Wickets")</f>
        <v>Wickets</v>
      </c>
      <c r="W416" s="5">
        <f>IF(Clean_Data!$T416&gt;0,Clean_Data!$T416,Clean_Data!$S416)</f>
        <v>4</v>
      </c>
      <c r="X416" s="5" t="str">
        <f>IF(Clean_Data!$W416&lt;=10,"Close Match","Normal")</f>
        <v>Close Match</v>
      </c>
      <c r="Y416" s="5">
        <f>Clean_Data!$G416+Clean_Data!$J416</f>
        <v>351</v>
      </c>
      <c r="Z416" s="5" t="str">
        <f>IF(Clean_Data!$Y416&gt;=170,"170+ Match","Below 170")</f>
        <v>170+ Match</v>
      </c>
      <c r="AA416" s="5" t="s">
        <v>278</v>
      </c>
      <c r="AB416" s="17" t="s">
        <v>558</v>
      </c>
    </row>
    <row r="417" spans="1:28" x14ac:dyDescent="0.3">
      <c r="A417" s="18" t="s">
        <v>633</v>
      </c>
      <c r="B417" s="19" t="str">
        <f>LEFT(Clean_Data!$A417,4)</f>
        <v>2023</v>
      </c>
      <c r="C417" s="19" t="s">
        <v>58</v>
      </c>
      <c r="D417" s="19" t="str">
        <f>IF(ISNUMBER(SEARCH("Final",Clean_Data!$C417)),"Final",
IF(ISNUMBER(SEARCH("Semi",Clean_Data!$C417)),"Semi-Final",
IF(ISNUMBER(SEARCH("Elimination",Clean_Data!$C417)),"Eliminator",
"League")))</f>
        <v>League</v>
      </c>
      <c r="E417" s="20" t="s">
        <v>667</v>
      </c>
      <c r="F417" s="19" t="s">
        <v>113</v>
      </c>
      <c r="G417" s="19">
        <v>211</v>
      </c>
      <c r="H417" s="19">
        <v>3</v>
      </c>
      <c r="I417" s="19" t="s">
        <v>280</v>
      </c>
      <c r="J417" s="19">
        <v>158</v>
      </c>
      <c r="K417" s="19">
        <v>6</v>
      </c>
      <c r="L417" s="19" t="s">
        <v>668</v>
      </c>
      <c r="M417" s="19" t="s">
        <v>113</v>
      </c>
      <c r="N417" s="19" t="s">
        <v>37</v>
      </c>
      <c r="O417" s="19" t="s">
        <v>113</v>
      </c>
      <c r="P417" s="19" t="str">
        <f>IF(Clean_Data!$G417&gt;Clean_Data!$J417,Clean_Data!$F417,Clean_Data!$I417)</f>
        <v>Rangpur Riders</v>
      </c>
      <c r="Q417" s="19" t="s">
        <v>28</v>
      </c>
      <c r="R417" s="19" t="s">
        <v>29</v>
      </c>
      <c r="S417" s="19">
        <v>0</v>
      </c>
      <c r="T417" s="19">
        <v>53</v>
      </c>
      <c r="U417" s="19" t="s">
        <v>204</v>
      </c>
      <c r="V417" s="19" t="str">
        <f>IF(Clean_Data!$T417&gt;0,"Runs","Wickets")</f>
        <v>Runs</v>
      </c>
      <c r="W417" s="19">
        <f>IF(Clean_Data!$T417&gt;0,Clean_Data!$T417,Clean_Data!$S417)</f>
        <v>53</v>
      </c>
      <c r="X417" s="19" t="str">
        <f>IF(Clean_Data!$W417&lt;=10,"Close Match","Normal")</f>
        <v>Normal</v>
      </c>
      <c r="Y417" s="19">
        <f>Clean_Data!$G417+Clean_Data!$J417</f>
        <v>369</v>
      </c>
      <c r="Z417" s="19" t="str">
        <f>IF(Clean_Data!$Y417&gt;=170,"170+ Match","Below 170")</f>
        <v>170+ Match</v>
      </c>
      <c r="AA417" s="19" t="s">
        <v>639</v>
      </c>
      <c r="AB417" s="21" t="s">
        <v>242</v>
      </c>
    </row>
    <row r="418" spans="1:28" x14ac:dyDescent="0.3">
      <c r="A418" s="16" t="s">
        <v>633</v>
      </c>
      <c r="B418" s="5" t="str">
        <f>LEFT(Clean_Data!$A418,4)</f>
        <v>2023</v>
      </c>
      <c r="C418" s="5" t="s">
        <v>51</v>
      </c>
      <c r="D418" s="5" t="str">
        <f>IF(ISNUMBER(SEARCH("Final",Clean_Data!$C418)),"Final",
IF(ISNUMBER(SEARCH("Semi",Clean_Data!$C418)),"Semi-Final",
IF(ISNUMBER(SEARCH("Elimination",Clean_Data!$C418)),"Eliminator",
"League")))</f>
        <v>League</v>
      </c>
      <c r="E418" s="6" t="s">
        <v>667</v>
      </c>
      <c r="F418" s="5" t="s">
        <v>641</v>
      </c>
      <c r="G418" s="5">
        <v>189</v>
      </c>
      <c r="H418" s="5">
        <v>4</v>
      </c>
      <c r="I418" s="5" t="s">
        <v>636</v>
      </c>
      <c r="J418" s="5">
        <v>149</v>
      </c>
      <c r="K418" s="5">
        <v>10</v>
      </c>
      <c r="L418" s="5" t="s">
        <v>386</v>
      </c>
      <c r="M418" s="5" t="s">
        <v>310</v>
      </c>
      <c r="N418" s="5" t="s">
        <v>37</v>
      </c>
      <c r="O418" s="5" t="s">
        <v>641</v>
      </c>
      <c r="P418" s="5" t="str">
        <f>IF(Clean_Data!$G418&gt;Clean_Data!$J418,Clean_Data!$F418,Clean_Data!$I418)</f>
        <v xml:space="preserve">Fortune Barishal </v>
      </c>
      <c r="Q418" s="5" t="s">
        <v>28</v>
      </c>
      <c r="R418" s="5" t="s">
        <v>29</v>
      </c>
      <c r="S418" s="5">
        <v>0</v>
      </c>
      <c r="T418" s="5">
        <v>40</v>
      </c>
      <c r="U418" s="5" t="s">
        <v>455</v>
      </c>
      <c r="V418" s="5" t="str">
        <f>IF(Clean_Data!$T418&gt;0,"Runs","Wickets")</f>
        <v>Runs</v>
      </c>
      <c r="W418" s="5">
        <f>IF(Clean_Data!$T418&gt;0,Clean_Data!$T418,Clean_Data!$S418)</f>
        <v>40</v>
      </c>
      <c r="X418" s="5" t="str">
        <f>IF(Clean_Data!$W418&lt;=10,"Close Match","Normal")</f>
        <v>Normal</v>
      </c>
      <c r="Y418" s="5">
        <f>Clean_Data!$G418+Clean_Data!$J418</f>
        <v>338</v>
      </c>
      <c r="Z418" s="5" t="str">
        <f>IF(Clean_Data!$Y418&gt;=170,"170+ Match","Below 170")</f>
        <v>170+ Match</v>
      </c>
      <c r="AA418" s="5" t="s">
        <v>278</v>
      </c>
      <c r="AB418" s="17" t="s">
        <v>583</v>
      </c>
    </row>
    <row r="419" spans="1:28" x14ac:dyDescent="0.3">
      <c r="A419" s="18" t="s">
        <v>633</v>
      </c>
      <c r="B419" s="19" t="str">
        <f>LEFT(Clean_Data!$A419,4)</f>
        <v>2023</v>
      </c>
      <c r="C419" s="19" t="s">
        <v>45</v>
      </c>
      <c r="D419" s="19" t="str">
        <f>IF(ISNUMBER(SEARCH("Final",Clean_Data!$C419)),"Final",
IF(ISNUMBER(SEARCH("Semi",Clean_Data!$C419)),"Semi-Final",
IF(ISNUMBER(SEARCH("Elimination",Clean_Data!$C419)),"Eliminator",
"League")))</f>
        <v>League</v>
      </c>
      <c r="E419" s="20" t="s">
        <v>669</v>
      </c>
      <c r="F419" s="19" t="s">
        <v>635</v>
      </c>
      <c r="G419" s="19">
        <v>239</v>
      </c>
      <c r="H419" s="19">
        <v>3</v>
      </c>
      <c r="I419" s="19" t="s">
        <v>280</v>
      </c>
      <c r="J419" s="19">
        <v>166</v>
      </c>
      <c r="K419" s="19">
        <v>10</v>
      </c>
      <c r="L419" s="19" t="s">
        <v>571</v>
      </c>
      <c r="M419" s="19" t="s">
        <v>280</v>
      </c>
      <c r="N419" s="19" t="s">
        <v>26</v>
      </c>
      <c r="O419" s="19" t="s">
        <v>143</v>
      </c>
      <c r="P419" s="19" t="str">
        <f>IF(Clean_Data!$G419&gt;Clean_Data!$J419,Clean_Data!$F419,Clean_Data!$I419)</f>
        <v xml:space="preserve">Comilla Victorians </v>
      </c>
      <c r="Q419" s="19" t="s">
        <v>88</v>
      </c>
      <c r="R419" s="19" t="s">
        <v>89</v>
      </c>
      <c r="S419" s="19">
        <v>0</v>
      </c>
      <c r="T419" s="19">
        <v>73</v>
      </c>
      <c r="U419" s="19" t="s">
        <v>670</v>
      </c>
      <c r="V419" s="19" t="str">
        <f>IF(Clean_Data!$T419&gt;0,"Runs","Wickets")</f>
        <v>Runs</v>
      </c>
      <c r="W419" s="19">
        <f>IF(Clean_Data!$T419&gt;0,Clean_Data!$T419,Clean_Data!$S419)</f>
        <v>73</v>
      </c>
      <c r="X419" s="19" t="str">
        <f>IF(Clean_Data!$W419&lt;=10,"Close Match","Normal")</f>
        <v>Normal</v>
      </c>
      <c r="Y419" s="19">
        <f>Clean_Data!$G419+Clean_Data!$J419</f>
        <v>405</v>
      </c>
      <c r="Z419" s="19" t="str">
        <f>IF(Clean_Data!$Y419&gt;=170,"170+ Match","Below 170")</f>
        <v>170+ Match</v>
      </c>
      <c r="AA419" s="19" t="s">
        <v>671</v>
      </c>
      <c r="AB419" s="21" t="s">
        <v>588</v>
      </c>
    </row>
    <row r="420" spans="1:28" x14ac:dyDescent="0.3">
      <c r="A420" s="16" t="s">
        <v>633</v>
      </c>
      <c r="B420" s="5" t="str">
        <f>LEFT(Clean_Data!$A420,4)</f>
        <v>2023</v>
      </c>
      <c r="C420" s="5" t="s">
        <v>336</v>
      </c>
      <c r="D420" s="5" t="str">
        <f>IF(ISNUMBER(SEARCH("Final",Clean_Data!$C420)),"Final",
IF(ISNUMBER(SEARCH("Semi",Clean_Data!$C420)),"Semi-Final",
IF(ISNUMBER(SEARCH("Elimination",Clean_Data!$C420)),"Eliminator",
"League")))</f>
        <v>League</v>
      </c>
      <c r="E420" s="6" t="s">
        <v>669</v>
      </c>
      <c r="F420" s="5" t="s">
        <v>113</v>
      </c>
      <c r="G420" s="5">
        <v>219</v>
      </c>
      <c r="H420" s="5">
        <v>5</v>
      </c>
      <c r="I420" s="5" t="s">
        <v>277</v>
      </c>
      <c r="J420" s="5">
        <v>141</v>
      </c>
      <c r="K420" s="5">
        <v>10</v>
      </c>
      <c r="L420" s="5" t="s">
        <v>672</v>
      </c>
      <c r="M420" s="5" t="s">
        <v>113</v>
      </c>
      <c r="N420" s="5" t="s">
        <v>37</v>
      </c>
      <c r="O420" s="5" t="s">
        <v>113</v>
      </c>
      <c r="P420" s="5" t="str">
        <f>IF(Clean_Data!$G420&gt;Clean_Data!$J420,Clean_Data!$F420,Clean_Data!$I420)</f>
        <v>Rangpur Riders</v>
      </c>
      <c r="Q420" s="5" t="s">
        <v>88</v>
      </c>
      <c r="R420" s="5" t="s">
        <v>89</v>
      </c>
      <c r="S420" s="5">
        <v>0</v>
      </c>
      <c r="T420" s="5">
        <v>78</v>
      </c>
      <c r="U420" s="5" t="s">
        <v>419</v>
      </c>
      <c r="V420" s="5" t="str">
        <f>IF(Clean_Data!$T420&gt;0,"Runs","Wickets")</f>
        <v>Runs</v>
      </c>
      <c r="W420" s="5">
        <f>IF(Clean_Data!$T420&gt;0,Clean_Data!$T420,Clean_Data!$S420)</f>
        <v>78</v>
      </c>
      <c r="X420" s="5" t="str">
        <f>IF(Clean_Data!$W420&lt;=10,"Close Match","Normal")</f>
        <v>Normal</v>
      </c>
      <c r="Y420" s="5">
        <f>Clean_Data!$G420+Clean_Data!$J420</f>
        <v>360</v>
      </c>
      <c r="Z420" s="5" t="str">
        <f>IF(Clean_Data!$Y420&gt;=170,"170+ Match","Below 170")</f>
        <v>170+ Match</v>
      </c>
      <c r="AA420" s="5" t="s">
        <v>278</v>
      </c>
      <c r="AB420" s="17" t="s">
        <v>583</v>
      </c>
    </row>
    <row r="421" spans="1:28" x14ac:dyDescent="0.3">
      <c r="A421" s="18" t="s">
        <v>633</v>
      </c>
      <c r="B421" s="19" t="str">
        <f>LEFT(Clean_Data!$A421,4)</f>
        <v>2023</v>
      </c>
      <c r="C421" s="19" t="s">
        <v>673</v>
      </c>
      <c r="D421" s="19" t="str">
        <f>IF(ISNUMBER(SEARCH("Final",Clean_Data!$C421)),"Final",
IF(ISNUMBER(SEARCH("Semi",Clean_Data!$C421)),"Semi-Final",
IF(ISNUMBER(SEARCH("Elimination",Clean_Data!$C421)),"Eliminator",
"League")))</f>
        <v>League</v>
      </c>
      <c r="E421" s="20" t="s">
        <v>674</v>
      </c>
      <c r="F421" s="19" t="s">
        <v>641</v>
      </c>
      <c r="G421" s="19">
        <v>186</v>
      </c>
      <c r="H421" s="19">
        <v>6</v>
      </c>
      <c r="I421" s="19" t="s">
        <v>636</v>
      </c>
      <c r="J421" s="19">
        <v>159</v>
      </c>
      <c r="K421" s="19">
        <v>8</v>
      </c>
      <c r="L421" s="19" t="s">
        <v>253</v>
      </c>
      <c r="M421" s="19" t="s">
        <v>641</v>
      </c>
      <c r="N421" s="19" t="s">
        <v>37</v>
      </c>
      <c r="O421" s="19" t="s">
        <v>641</v>
      </c>
      <c r="P421" s="19" t="str">
        <f>IF(Clean_Data!$G421&gt;Clean_Data!$J421,Clean_Data!$F421,Clean_Data!$I421)</f>
        <v xml:space="preserve">Fortune Barishal </v>
      </c>
      <c r="Q421" s="19" t="s">
        <v>88</v>
      </c>
      <c r="R421" s="19" t="s">
        <v>89</v>
      </c>
      <c r="S421" s="19">
        <v>0</v>
      </c>
      <c r="T421" s="19">
        <v>27</v>
      </c>
      <c r="U421" s="19" t="s">
        <v>285</v>
      </c>
      <c r="V421" s="19" t="str">
        <f>IF(Clean_Data!$T421&gt;0,"Runs","Wickets")</f>
        <v>Runs</v>
      </c>
      <c r="W421" s="19">
        <f>IF(Clean_Data!$T421&gt;0,Clean_Data!$T421,Clean_Data!$S421)</f>
        <v>27</v>
      </c>
      <c r="X421" s="19" t="str">
        <f>IF(Clean_Data!$W421&lt;=10,"Close Match","Normal")</f>
        <v>Normal</v>
      </c>
      <c r="Y421" s="19">
        <f>Clean_Data!$G421+Clean_Data!$J421</f>
        <v>345</v>
      </c>
      <c r="Z421" s="19" t="str">
        <f>IF(Clean_Data!$Y421&gt;=170,"170+ Match","Below 170")</f>
        <v>170+ Match</v>
      </c>
      <c r="AA421" s="19" t="s">
        <v>278</v>
      </c>
      <c r="AB421" s="21" t="s">
        <v>56</v>
      </c>
    </row>
    <row r="422" spans="1:28" x14ac:dyDescent="0.3">
      <c r="A422" s="16" t="s">
        <v>633</v>
      </c>
      <c r="B422" s="5" t="str">
        <f>LEFT(Clean_Data!$A422,4)</f>
        <v>2023</v>
      </c>
      <c r="C422" s="5" t="s">
        <v>330</v>
      </c>
      <c r="D422" s="5" t="str">
        <f>IF(ISNUMBER(SEARCH("Final",Clean_Data!$C422)),"Final",
IF(ISNUMBER(SEARCH("Semi",Clean_Data!$C422)),"Semi-Final",
IF(ISNUMBER(SEARCH("Elimination",Clean_Data!$C422)),"Eliminator",
"League")))</f>
        <v>League</v>
      </c>
      <c r="E422" s="6" t="s">
        <v>674</v>
      </c>
      <c r="F422" s="5" t="s">
        <v>277</v>
      </c>
      <c r="G422" s="5">
        <v>164</v>
      </c>
      <c r="H422" s="5">
        <v>8</v>
      </c>
      <c r="I422" s="5" t="s">
        <v>635</v>
      </c>
      <c r="J422" s="5">
        <v>168</v>
      </c>
      <c r="K422" s="5">
        <v>3</v>
      </c>
      <c r="L422" s="5" t="s">
        <v>586</v>
      </c>
      <c r="M422" s="5" t="s">
        <v>277</v>
      </c>
      <c r="N422" s="5" t="s">
        <v>37</v>
      </c>
      <c r="O422" s="5" t="s">
        <v>635</v>
      </c>
      <c r="P422" s="5" t="str">
        <f>IF(Clean_Data!$G422&gt;Clean_Data!$J422,Clean_Data!$F422,Clean_Data!$I422)</f>
        <v xml:space="preserve">Comilla Victorians </v>
      </c>
      <c r="Q422" s="5" t="s">
        <v>88</v>
      </c>
      <c r="R422" s="5" t="s">
        <v>89</v>
      </c>
      <c r="S422" s="5">
        <v>7</v>
      </c>
      <c r="T422" s="5">
        <v>0</v>
      </c>
      <c r="U422" s="5" t="s">
        <v>118</v>
      </c>
      <c r="V422" s="5" t="str">
        <f>IF(Clean_Data!$T422&gt;0,"Runs","Wickets")</f>
        <v>Wickets</v>
      </c>
      <c r="W422" s="5">
        <f>IF(Clean_Data!$T422&gt;0,Clean_Data!$T422,Clean_Data!$S422)</f>
        <v>7</v>
      </c>
      <c r="X422" s="5" t="str">
        <f>IF(Clean_Data!$W422&lt;=10,"Close Match","Normal")</f>
        <v>Close Match</v>
      </c>
      <c r="Y422" s="5">
        <f>Clean_Data!$G422+Clean_Data!$J422</f>
        <v>332</v>
      </c>
      <c r="Z422" s="5" t="str">
        <f>IF(Clean_Data!$Y422&gt;=170,"170+ Match","Below 170")</f>
        <v>170+ Match</v>
      </c>
      <c r="AA422" s="5" t="s">
        <v>671</v>
      </c>
      <c r="AB422" s="17" t="s">
        <v>225</v>
      </c>
    </row>
    <row r="423" spans="1:28" x14ac:dyDescent="0.3">
      <c r="A423" s="18" t="s">
        <v>633</v>
      </c>
      <c r="B423" s="19" t="str">
        <f>LEFT(Clean_Data!$A423,4)</f>
        <v>2023</v>
      </c>
      <c r="C423" s="19" t="s">
        <v>328</v>
      </c>
      <c r="D423" s="19" t="str">
        <f>IF(ISNUMBER(SEARCH("Final",Clean_Data!$C423)),"Final",
IF(ISNUMBER(SEARCH("Semi",Clean_Data!$C423)),"Semi-Final",
IF(ISNUMBER(SEARCH("Elimination",Clean_Data!$C423)),"Eliminator",
"League")))</f>
        <v>League</v>
      </c>
      <c r="E423" s="20" t="s">
        <v>675</v>
      </c>
      <c r="F423" s="19" t="s">
        <v>636</v>
      </c>
      <c r="G423" s="19">
        <v>128</v>
      </c>
      <c r="H423" s="19">
        <v>7</v>
      </c>
      <c r="I423" s="19" t="s">
        <v>277</v>
      </c>
      <c r="J423" s="19">
        <v>131</v>
      </c>
      <c r="K423" s="19">
        <v>5</v>
      </c>
      <c r="L423" s="19" t="s">
        <v>676</v>
      </c>
      <c r="M423" s="19" t="s">
        <v>636</v>
      </c>
      <c r="N423" s="19" t="s">
        <v>37</v>
      </c>
      <c r="O423" s="19" t="s">
        <v>277</v>
      </c>
      <c r="P423" s="19" t="str">
        <f>IF(Clean_Data!$G423&gt;Clean_Data!$J423,Clean_Data!$F423,Clean_Data!$I423)</f>
        <v>Khulna Tigers</v>
      </c>
      <c r="Q423" s="19" t="s">
        <v>88</v>
      </c>
      <c r="R423" s="19" t="s">
        <v>89</v>
      </c>
      <c r="S423" s="19">
        <v>5</v>
      </c>
      <c r="T423" s="19">
        <v>0</v>
      </c>
      <c r="U423" s="19" t="s">
        <v>55</v>
      </c>
      <c r="V423" s="19" t="str">
        <f>IF(Clean_Data!$T423&gt;0,"Runs","Wickets")</f>
        <v>Wickets</v>
      </c>
      <c r="W423" s="19">
        <f>IF(Clean_Data!$T423&gt;0,Clean_Data!$T423,Clean_Data!$S423)</f>
        <v>5</v>
      </c>
      <c r="X423" s="19" t="str">
        <f>IF(Clean_Data!$W423&lt;=10,"Close Match","Normal")</f>
        <v>Close Match</v>
      </c>
      <c r="Y423" s="19">
        <f>Clean_Data!$G423+Clean_Data!$J423</f>
        <v>259</v>
      </c>
      <c r="Z423" s="19" t="str">
        <f>IF(Clean_Data!$Y423&gt;=170,"170+ Match","Below 170")</f>
        <v>170+ Match</v>
      </c>
      <c r="AA423" s="19" t="s">
        <v>278</v>
      </c>
      <c r="AB423" s="21" t="s">
        <v>66</v>
      </c>
    </row>
    <row r="424" spans="1:28" x14ac:dyDescent="0.3">
      <c r="A424" s="16" t="s">
        <v>633</v>
      </c>
      <c r="B424" s="5" t="str">
        <f>LEFT(Clean_Data!$A424,4)</f>
        <v>2023</v>
      </c>
      <c r="C424" s="5" t="s">
        <v>326</v>
      </c>
      <c r="D424" s="5" t="str">
        <f>IF(ISNUMBER(SEARCH("Final",Clean_Data!$C424)),"Final",
IF(ISNUMBER(SEARCH("Semi",Clean_Data!$C424)),"Semi-Final",
IF(ISNUMBER(SEARCH("Elimination",Clean_Data!$C424)),"Eliminator",
"League")))</f>
        <v>League</v>
      </c>
      <c r="E424" s="6" t="s">
        <v>675</v>
      </c>
      <c r="F424" s="5" t="s">
        <v>113</v>
      </c>
      <c r="G424" s="5">
        <v>187</v>
      </c>
      <c r="H424" s="5">
        <v>8</v>
      </c>
      <c r="I424" s="5" t="s">
        <v>280</v>
      </c>
      <c r="J424" s="5">
        <v>169</v>
      </c>
      <c r="K424" s="5">
        <v>6</v>
      </c>
      <c r="L424" s="5" t="s">
        <v>443</v>
      </c>
      <c r="M424" s="5" t="s">
        <v>113</v>
      </c>
      <c r="N424" s="5" t="s">
        <v>37</v>
      </c>
      <c r="O424" s="5" t="s">
        <v>113</v>
      </c>
      <c r="P424" s="5" t="str">
        <f>IF(Clean_Data!$G424&gt;Clean_Data!$J424,Clean_Data!$F424,Clean_Data!$I424)</f>
        <v>Rangpur Riders</v>
      </c>
      <c r="Q424" s="5" t="s">
        <v>88</v>
      </c>
      <c r="R424" s="5" t="s">
        <v>89</v>
      </c>
      <c r="S424" s="5">
        <v>0</v>
      </c>
      <c r="T424" s="5">
        <v>18</v>
      </c>
      <c r="U424" s="5" t="s">
        <v>162</v>
      </c>
      <c r="V424" s="5" t="str">
        <f>IF(Clean_Data!$T424&gt;0,"Runs","Wickets")</f>
        <v>Runs</v>
      </c>
      <c r="W424" s="5">
        <f>IF(Clean_Data!$T424&gt;0,Clean_Data!$T424,Clean_Data!$S424)</f>
        <v>18</v>
      </c>
      <c r="X424" s="5" t="str">
        <f>IF(Clean_Data!$W424&lt;=10,"Close Match","Normal")</f>
        <v>Normal</v>
      </c>
      <c r="Y424" s="5">
        <f>Clean_Data!$G424+Clean_Data!$J424</f>
        <v>356</v>
      </c>
      <c r="Z424" s="5" t="str">
        <f>IF(Clean_Data!$Y424&gt;=170,"170+ Match","Below 170")</f>
        <v>170+ Match</v>
      </c>
      <c r="AA424" s="5" t="s">
        <v>671</v>
      </c>
      <c r="AB424" s="17" t="s">
        <v>56</v>
      </c>
    </row>
    <row r="425" spans="1:28" x14ac:dyDescent="0.3">
      <c r="A425" s="18" t="s">
        <v>633</v>
      </c>
      <c r="B425" s="19" t="str">
        <f>LEFT(Clean_Data!$A425,4)</f>
        <v>2023</v>
      </c>
      <c r="C425" s="19" t="s">
        <v>324</v>
      </c>
      <c r="D425" s="19" t="str">
        <f>IF(ISNUMBER(SEARCH("Final",Clean_Data!$C425)),"Final",
IF(ISNUMBER(SEARCH("Semi",Clean_Data!$C425)),"Semi-Final",
IF(ISNUMBER(SEARCH("Elimination",Clean_Data!$C425)),"Eliminator",
"League")))</f>
        <v>League</v>
      </c>
      <c r="E425" s="20" t="s">
        <v>677</v>
      </c>
      <c r="F425" s="19" t="s">
        <v>310</v>
      </c>
      <c r="G425" s="19">
        <v>183</v>
      </c>
      <c r="H425" s="19">
        <v>6</v>
      </c>
      <c r="I425" s="19" t="s">
        <v>581</v>
      </c>
      <c r="J425" s="19">
        <v>165</v>
      </c>
      <c r="K425" s="19">
        <v>8</v>
      </c>
      <c r="L425" s="19" t="s">
        <v>678</v>
      </c>
      <c r="M425" s="19" t="s">
        <v>641</v>
      </c>
      <c r="N425" s="19" t="s">
        <v>37</v>
      </c>
      <c r="O425" s="19" t="s">
        <v>641</v>
      </c>
      <c r="P425" s="19" t="str">
        <f>IF(Clean_Data!$G425&gt;Clean_Data!$J425,Clean_Data!$F425,Clean_Data!$I425)</f>
        <v>Fortune Barishal</v>
      </c>
      <c r="Q425" s="19" t="s">
        <v>88</v>
      </c>
      <c r="R425" s="19" t="s">
        <v>89</v>
      </c>
      <c r="S425" s="19">
        <v>0</v>
      </c>
      <c r="T425" s="19">
        <v>18</v>
      </c>
      <c r="U425" s="19" t="s">
        <v>162</v>
      </c>
      <c r="V425" s="19" t="str">
        <f>IF(Clean_Data!$T425&gt;0,"Runs","Wickets")</f>
        <v>Runs</v>
      </c>
      <c r="W425" s="19">
        <f>IF(Clean_Data!$T425&gt;0,Clean_Data!$T425,Clean_Data!$S425)</f>
        <v>18</v>
      </c>
      <c r="X425" s="19" t="str">
        <f>IF(Clean_Data!$W425&lt;=10,"Close Match","Normal")</f>
        <v>Normal</v>
      </c>
      <c r="Y425" s="19">
        <f>Clean_Data!$G425+Clean_Data!$J425</f>
        <v>348</v>
      </c>
      <c r="Z425" s="19" t="str">
        <f>IF(Clean_Data!$Y425&gt;=170,"170+ Match","Below 170")</f>
        <v>170+ Match</v>
      </c>
      <c r="AA425" s="19" t="s">
        <v>671</v>
      </c>
      <c r="AB425" s="21" t="s">
        <v>225</v>
      </c>
    </row>
    <row r="426" spans="1:28" x14ac:dyDescent="0.3">
      <c r="A426" s="16" t="s">
        <v>633</v>
      </c>
      <c r="B426" s="5" t="str">
        <f>LEFT(Clean_Data!$A426,4)</f>
        <v>2023</v>
      </c>
      <c r="C426" s="5" t="s">
        <v>321</v>
      </c>
      <c r="D426" s="5" t="str">
        <f>IF(ISNUMBER(SEARCH("Final",Clean_Data!$C426)),"Final",
IF(ISNUMBER(SEARCH("Semi",Clean_Data!$C426)),"Semi-Final",
IF(ISNUMBER(SEARCH("Elimination",Clean_Data!$C426)),"Eliminator",
"League")))</f>
        <v>League</v>
      </c>
      <c r="E426" s="6" t="s">
        <v>677</v>
      </c>
      <c r="F426" s="5" t="s">
        <v>280</v>
      </c>
      <c r="G426" s="5">
        <v>159</v>
      </c>
      <c r="H426" s="5">
        <v>6</v>
      </c>
      <c r="I426" s="5" t="s">
        <v>636</v>
      </c>
      <c r="J426" s="5">
        <v>149</v>
      </c>
      <c r="K426" s="5">
        <v>5</v>
      </c>
      <c r="L426" s="5" t="s">
        <v>679</v>
      </c>
      <c r="M426" s="5" t="s">
        <v>280</v>
      </c>
      <c r="N426" s="5" t="s">
        <v>37</v>
      </c>
      <c r="O426" s="5" t="s">
        <v>280</v>
      </c>
      <c r="P426" s="5" t="str">
        <f>IF(Clean_Data!$G426&gt;Clean_Data!$J426,Clean_Data!$F426,Clean_Data!$I426)</f>
        <v>Chattogram Challengers</v>
      </c>
      <c r="Q426" s="5" t="s">
        <v>88</v>
      </c>
      <c r="R426" s="5" t="s">
        <v>89</v>
      </c>
      <c r="S426" s="5">
        <v>0</v>
      </c>
      <c r="T426" s="5">
        <v>10</v>
      </c>
      <c r="U426" s="5" t="s">
        <v>384</v>
      </c>
      <c r="V426" s="5" t="str">
        <f>IF(Clean_Data!$T426&gt;0,"Runs","Wickets")</f>
        <v>Runs</v>
      </c>
      <c r="W426" s="5">
        <f>IF(Clean_Data!$T426&gt;0,Clean_Data!$T426,Clean_Data!$S426)</f>
        <v>10</v>
      </c>
      <c r="X426" s="5" t="str">
        <f>IF(Clean_Data!$W426&lt;=10,"Close Match","Normal")</f>
        <v>Close Match</v>
      </c>
      <c r="Y426" s="5">
        <f>Clean_Data!$G426+Clean_Data!$J426</f>
        <v>308</v>
      </c>
      <c r="Z426" s="5" t="str">
        <f>IF(Clean_Data!$Y426&gt;=170,"170+ Match","Below 170")</f>
        <v>170+ Match</v>
      </c>
      <c r="AA426" s="5" t="s">
        <v>278</v>
      </c>
      <c r="AB426" s="17" t="s">
        <v>583</v>
      </c>
    </row>
    <row r="427" spans="1:28" x14ac:dyDescent="0.3">
      <c r="A427" s="18" t="s">
        <v>633</v>
      </c>
      <c r="B427" s="19" t="str">
        <f>LEFT(Clean_Data!$A427,4)</f>
        <v>2023</v>
      </c>
      <c r="C427" s="19" t="s">
        <v>224</v>
      </c>
      <c r="D427" s="19" t="str">
        <f>IF(ISNUMBER(SEARCH("Final",Clean_Data!$C427)),"Final",
IF(ISNUMBER(SEARCH("Semi",Clean_Data!$C427)),"Semi-Final",
IF(ISNUMBER(SEARCH("Elimination",Clean_Data!$C427)),"Eliminator",
"League")))</f>
        <v>League</v>
      </c>
      <c r="E427" s="20" t="s">
        <v>680</v>
      </c>
      <c r="F427" s="19" t="s">
        <v>581</v>
      </c>
      <c r="G427" s="19">
        <v>177</v>
      </c>
      <c r="H427" s="19">
        <v>5</v>
      </c>
      <c r="I427" s="19" t="s">
        <v>635</v>
      </c>
      <c r="J427" s="19">
        <v>165</v>
      </c>
      <c r="K427" s="19">
        <v>6</v>
      </c>
      <c r="L427" s="19" t="s">
        <v>552</v>
      </c>
      <c r="M427" s="19" t="s">
        <v>581</v>
      </c>
      <c r="N427" s="19" t="s">
        <v>37</v>
      </c>
      <c r="O427" s="19" t="s">
        <v>581</v>
      </c>
      <c r="P427" s="19" t="str">
        <f>IF(Clean_Data!$G427&gt;Clean_Data!$J427,Clean_Data!$F427,Clean_Data!$I427)</f>
        <v>Sylhet Strikers</v>
      </c>
      <c r="Q427" s="19" t="s">
        <v>88</v>
      </c>
      <c r="R427" s="19" t="s">
        <v>89</v>
      </c>
      <c r="S427" s="19">
        <v>0</v>
      </c>
      <c r="T427" s="19">
        <v>12</v>
      </c>
      <c r="U427" s="19" t="s">
        <v>417</v>
      </c>
      <c r="V427" s="19" t="str">
        <f>IF(Clean_Data!$T427&gt;0,"Runs","Wickets")</f>
        <v>Runs</v>
      </c>
      <c r="W427" s="19">
        <f>IF(Clean_Data!$T427&gt;0,Clean_Data!$T427,Clean_Data!$S427)</f>
        <v>12</v>
      </c>
      <c r="X427" s="19" t="str">
        <f>IF(Clean_Data!$W427&lt;=10,"Close Match","Normal")</f>
        <v>Normal</v>
      </c>
      <c r="Y427" s="19">
        <f>Clean_Data!$G427+Clean_Data!$J427</f>
        <v>342</v>
      </c>
      <c r="Z427" s="19" t="str">
        <f>IF(Clean_Data!$Y427&gt;=170,"170+ Match","Below 170")</f>
        <v>170+ Match</v>
      </c>
      <c r="AA427" s="19" t="s">
        <v>671</v>
      </c>
      <c r="AB427" s="21" t="s">
        <v>56</v>
      </c>
    </row>
    <row r="428" spans="1:28" x14ac:dyDescent="0.3">
      <c r="A428" s="16" t="s">
        <v>633</v>
      </c>
      <c r="B428" s="5" t="str">
        <f>LEFT(Clean_Data!$A428,4)</f>
        <v>2023</v>
      </c>
      <c r="C428" s="5" t="s">
        <v>136</v>
      </c>
      <c r="D428" s="5" t="str">
        <f>IF(ISNUMBER(SEARCH("Final",Clean_Data!$C428)),"Final",
IF(ISNUMBER(SEARCH("Semi",Clean_Data!$C428)),"Semi-Final",
IF(ISNUMBER(SEARCH("Elimination",Clean_Data!$C428)),"Eliminator",
"League")))</f>
        <v>League</v>
      </c>
      <c r="E428" s="6" t="s">
        <v>680</v>
      </c>
      <c r="F428" s="5" t="s">
        <v>641</v>
      </c>
      <c r="G428" s="5">
        <v>151</v>
      </c>
      <c r="H428" s="5">
        <v>9</v>
      </c>
      <c r="I428" s="5" t="s">
        <v>113</v>
      </c>
      <c r="J428" s="5">
        <v>155</v>
      </c>
      <c r="K428" s="5">
        <v>9</v>
      </c>
      <c r="L428" s="5" t="s">
        <v>681</v>
      </c>
      <c r="M428" s="5" t="s">
        <v>641</v>
      </c>
      <c r="N428" s="5" t="s">
        <v>37</v>
      </c>
      <c r="O428" s="5" t="s">
        <v>113</v>
      </c>
      <c r="P428" s="5" t="str">
        <f>IF(Clean_Data!$G428&gt;Clean_Data!$J428,Clean_Data!$F428,Clean_Data!$I428)</f>
        <v>Rangpur Riders</v>
      </c>
      <c r="Q428" s="5" t="s">
        <v>88</v>
      </c>
      <c r="R428" s="5" t="s">
        <v>89</v>
      </c>
      <c r="S428" s="5">
        <v>1</v>
      </c>
      <c r="T428" s="5">
        <v>0</v>
      </c>
      <c r="U428" s="5" t="s">
        <v>682</v>
      </c>
      <c r="V428" s="5" t="str">
        <f>IF(Clean_Data!$T428&gt;0,"Runs","Wickets")</f>
        <v>Wickets</v>
      </c>
      <c r="W428" s="5">
        <f>IF(Clean_Data!$T428&gt;0,Clean_Data!$T428,Clean_Data!$S428)</f>
        <v>1</v>
      </c>
      <c r="X428" s="5" t="str">
        <f>IF(Clean_Data!$W428&lt;=10,"Close Match","Normal")</f>
        <v>Close Match</v>
      </c>
      <c r="Y428" s="5">
        <f>Clean_Data!$G428+Clean_Data!$J428</f>
        <v>306</v>
      </c>
      <c r="Z428" s="5" t="str">
        <f>IF(Clean_Data!$Y428&gt;=170,"170+ Match","Below 170")</f>
        <v>170+ Match</v>
      </c>
      <c r="AA428" s="5" t="s">
        <v>278</v>
      </c>
      <c r="AB428" s="17" t="s">
        <v>225</v>
      </c>
    </row>
    <row r="429" spans="1:28" x14ac:dyDescent="0.3">
      <c r="A429" s="18" t="s">
        <v>633</v>
      </c>
      <c r="B429" s="19" t="str">
        <f>LEFT(Clean_Data!$A429,4)</f>
        <v>2023</v>
      </c>
      <c r="C429" s="19" t="s">
        <v>129</v>
      </c>
      <c r="D429" s="19" t="str">
        <f>IF(ISNUMBER(SEARCH("Final",Clean_Data!$C429)),"Final",
IF(ISNUMBER(SEARCH("Semi",Clean_Data!$C429)),"Semi-Final",
IF(ISNUMBER(SEARCH("Elimination",Clean_Data!$C429)),"Eliminator",
"League")))</f>
        <v>League</v>
      </c>
      <c r="E429" s="20" t="s">
        <v>683</v>
      </c>
      <c r="F429" s="19" t="s">
        <v>280</v>
      </c>
      <c r="G429" s="19">
        <v>192</v>
      </c>
      <c r="H429" s="19">
        <v>4</v>
      </c>
      <c r="I429" s="19" t="s">
        <v>277</v>
      </c>
      <c r="J429" s="19">
        <v>127</v>
      </c>
      <c r="K429" s="19">
        <v>10</v>
      </c>
      <c r="L429" s="19" t="s">
        <v>679</v>
      </c>
      <c r="M429" s="19" t="s">
        <v>280</v>
      </c>
      <c r="N429" s="19" t="s">
        <v>37</v>
      </c>
      <c r="O429" s="19" t="s">
        <v>280</v>
      </c>
      <c r="P429" s="19" t="str">
        <f>IF(Clean_Data!$G429&gt;Clean_Data!$J429,Clean_Data!$F429,Clean_Data!$I429)</f>
        <v>Chattogram Challengers</v>
      </c>
      <c r="Q429" s="19" t="s">
        <v>88</v>
      </c>
      <c r="R429" s="19" t="s">
        <v>89</v>
      </c>
      <c r="S429" s="19">
        <v>0</v>
      </c>
      <c r="T429" s="19">
        <v>65</v>
      </c>
      <c r="U429" s="19" t="s">
        <v>474</v>
      </c>
      <c r="V429" s="19" t="str">
        <f>IF(Clean_Data!$T429&gt;0,"Runs","Wickets")</f>
        <v>Runs</v>
      </c>
      <c r="W429" s="19">
        <f>IF(Clean_Data!$T429&gt;0,Clean_Data!$T429,Clean_Data!$S429)</f>
        <v>65</v>
      </c>
      <c r="X429" s="19" t="str">
        <f>IF(Clean_Data!$W429&lt;=10,"Close Match","Normal")</f>
        <v>Normal</v>
      </c>
      <c r="Y429" s="19">
        <f>Clean_Data!$G429+Clean_Data!$J429</f>
        <v>319</v>
      </c>
      <c r="Z429" s="19" t="str">
        <f>IF(Clean_Data!$Y429&gt;=170,"170+ Match","Below 170")</f>
        <v>170+ Match</v>
      </c>
      <c r="AA429" s="19" t="s">
        <v>278</v>
      </c>
      <c r="AB429" s="21" t="s">
        <v>216</v>
      </c>
    </row>
    <row r="430" spans="1:28" x14ac:dyDescent="0.3">
      <c r="A430" s="16" t="s">
        <v>633</v>
      </c>
      <c r="B430" s="5" t="str">
        <f>LEFT(Clean_Data!$A430,4)</f>
        <v>2023</v>
      </c>
      <c r="C430" s="5" t="s">
        <v>119</v>
      </c>
      <c r="D430" s="5" t="str">
        <f>IF(ISNUMBER(SEARCH("Final",Clean_Data!$C430)),"Final",
IF(ISNUMBER(SEARCH("Semi",Clean_Data!$C430)),"Semi-Final",
IF(ISNUMBER(SEARCH("Elimination",Clean_Data!$C430)),"Eliminator",
"League")))</f>
        <v>League</v>
      </c>
      <c r="E430" s="6" t="s">
        <v>683</v>
      </c>
      <c r="F430" s="5" t="s">
        <v>113</v>
      </c>
      <c r="G430" s="5">
        <v>150</v>
      </c>
      <c r="H430" s="5">
        <v>10</v>
      </c>
      <c r="I430" s="5" t="s">
        <v>635</v>
      </c>
      <c r="J430" s="5">
        <v>151</v>
      </c>
      <c r="K430" s="5">
        <v>4</v>
      </c>
      <c r="L430" s="5" t="s">
        <v>127</v>
      </c>
      <c r="M430" s="5" t="s">
        <v>635</v>
      </c>
      <c r="N430" s="5" t="s">
        <v>26</v>
      </c>
      <c r="O430" s="5" t="s">
        <v>143</v>
      </c>
      <c r="P430" s="5" t="str">
        <f>IF(Clean_Data!$G430&gt;Clean_Data!$J430,Clean_Data!$F430,Clean_Data!$I430)</f>
        <v xml:space="preserve">Comilla Victorians </v>
      </c>
      <c r="Q430" s="5" t="s">
        <v>88</v>
      </c>
      <c r="R430" s="5" t="s">
        <v>89</v>
      </c>
      <c r="S430" s="5">
        <v>6</v>
      </c>
      <c r="T430" s="5">
        <v>0</v>
      </c>
      <c r="U430" s="5" t="s">
        <v>151</v>
      </c>
      <c r="V430" s="5" t="str">
        <f>IF(Clean_Data!$T430&gt;0,"Runs","Wickets")</f>
        <v>Wickets</v>
      </c>
      <c r="W430" s="5">
        <f>IF(Clean_Data!$T430&gt;0,Clean_Data!$T430,Clean_Data!$S430)</f>
        <v>6</v>
      </c>
      <c r="X430" s="5" t="str">
        <f>IF(Clean_Data!$W430&lt;=10,"Close Match","Normal")</f>
        <v>Close Match</v>
      </c>
      <c r="Y430" s="5">
        <f>Clean_Data!$G430+Clean_Data!$J430</f>
        <v>301</v>
      </c>
      <c r="Z430" s="5" t="str">
        <f>IF(Clean_Data!$Y430&gt;=170,"170+ Match","Below 170")</f>
        <v>170+ Match</v>
      </c>
      <c r="AA430" s="5" t="s">
        <v>671</v>
      </c>
      <c r="AB430" s="17" t="s">
        <v>66</v>
      </c>
    </row>
    <row r="431" spans="1:28" x14ac:dyDescent="0.3">
      <c r="A431" s="18" t="s">
        <v>633</v>
      </c>
      <c r="B431" s="19" t="str">
        <f>LEFT(Clean_Data!$A431,4)</f>
        <v>2023</v>
      </c>
      <c r="C431" s="19" t="s">
        <v>112</v>
      </c>
      <c r="D431" s="19" t="str">
        <f>IF(ISNUMBER(SEARCH("Final",Clean_Data!$C431)),"Final",
IF(ISNUMBER(SEARCH("Semi",Clean_Data!$C431)),"Semi-Final",
IF(ISNUMBER(SEARCH("Elimination",Clean_Data!$C431)),"Eliminator",
"League")))</f>
        <v>League</v>
      </c>
      <c r="E431" s="20" t="s">
        <v>684</v>
      </c>
      <c r="F431" s="19" t="s">
        <v>143</v>
      </c>
      <c r="G431" s="19">
        <v>140</v>
      </c>
      <c r="H431" s="19">
        <v>8</v>
      </c>
      <c r="I431" s="19" t="s">
        <v>641</v>
      </c>
      <c r="J431" s="19">
        <v>141</v>
      </c>
      <c r="K431" s="19">
        <v>4</v>
      </c>
      <c r="L431" s="19" t="s">
        <v>253</v>
      </c>
      <c r="M431" s="19" t="s">
        <v>641</v>
      </c>
      <c r="N431" s="19" t="s">
        <v>26</v>
      </c>
      <c r="O431" s="19" t="s">
        <v>641</v>
      </c>
      <c r="P431" s="19" t="str">
        <f>IF(Clean_Data!$G431&gt;Clean_Data!$J431,Clean_Data!$F431,Clean_Data!$I431)</f>
        <v xml:space="preserve">Fortune Barishal </v>
      </c>
      <c r="Q431" s="19" t="s">
        <v>28</v>
      </c>
      <c r="R431" s="19" t="s">
        <v>29</v>
      </c>
      <c r="S431" s="19">
        <v>6</v>
      </c>
      <c r="T431" s="19">
        <v>0</v>
      </c>
      <c r="U431" s="19" t="s">
        <v>151</v>
      </c>
      <c r="V431" s="19" t="str">
        <f>IF(Clean_Data!$T431&gt;0,"Runs","Wickets")</f>
        <v>Wickets</v>
      </c>
      <c r="W431" s="19">
        <f>IF(Clean_Data!$T431&gt;0,Clean_Data!$T431,Clean_Data!$S431)</f>
        <v>6</v>
      </c>
      <c r="X431" s="19" t="str">
        <f>IF(Clean_Data!$W431&lt;=10,"Close Match","Normal")</f>
        <v>Close Match</v>
      </c>
      <c r="Y431" s="19">
        <f>Clean_Data!$G431+Clean_Data!$J431</f>
        <v>281</v>
      </c>
      <c r="Z431" s="19" t="str">
        <f>IF(Clean_Data!$Y431&gt;=170,"170+ Match","Below 170")</f>
        <v>170+ Match</v>
      </c>
      <c r="AA431" s="19" t="s">
        <v>671</v>
      </c>
      <c r="AB431" s="21" t="s">
        <v>56</v>
      </c>
    </row>
    <row r="432" spans="1:28" x14ac:dyDescent="0.3">
      <c r="A432" s="16" t="s">
        <v>633</v>
      </c>
      <c r="B432" s="5" t="str">
        <f>LEFT(Clean_Data!$A432,4)</f>
        <v>2023</v>
      </c>
      <c r="C432" s="5" t="s">
        <v>106</v>
      </c>
      <c r="D432" s="5" t="str">
        <f>IF(ISNUMBER(SEARCH("Final",Clean_Data!$C432)),"Final",
IF(ISNUMBER(SEARCH("Semi",Clean_Data!$C432)),"Semi-Final",
IF(ISNUMBER(SEARCH("Elimination",Clean_Data!$C432)),"Eliminator",
"League")))</f>
        <v>League</v>
      </c>
      <c r="E432" s="6" t="s">
        <v>684</v>
      </c>
      <c r="F432" s="5" t="s">
        <v>277</v>
      </c>
      <c r="G432" s="5">
        <v>128</v>
      </c>
      <c r="H432" s="5">
        <v>8</v>
      </c>
      <c r="I432" s="5" t="s">
        <v>581</v>
      </c>
      <c r="J432" s="5">
        <v>130</v>
      </c>
      <c r="K432" s="5">
        <v>4</v>
      </c>
      <c r="L432" s="5" t="s">
        <v>552</v>
      </c>
      <c r="M432" s="5" t="s">
        <v>581</v>
      </c>
      <c r="N432" s="5" t="s">
        <v>26</v>
      </c>
      <c r="O432" s="5" t="s">
        <v>581</v>
      </c>
      <c r="P432" s="5" t="str">
        <f>IF(Clean_Data!$G432&gt;Clean_Data!$J432,Clean_Data!$F432,Clean_Data!$I432)</f>
        <v>Sylhet Strikers</v>
      </c>
      <c r="Q432" s="5" t="s">
        <v>28</v>
      </c>
      <c r="R432" s="5" t="s">
        <v>29</v>
      </c>
      <c r="S432" s="5">
        <v>6</v>
      </c>
      <c r="T432" s="5">
        <v>0</v>
      </c>
      <c r="U432" s="5" t="s">
        <v>151</v>
      </c>
      <c r="V432" s="5" t="str">
        <f>IF(Clean_Data!$T432&gt;0,"Runs","Wickets")</f>
        <v>Wickets</v>
      </c>
      <c r="W432" s="5">
        <f>IF(Clean_Data!$T432&gt;0,Clean_Data!$T432,Clean_Data!$S432)</f>
        <v>6</v>
      </c>
      <c r="X432" s="5" t="str">
        <f>IF(Clean_Data!$W432&lt;=10,"Close Match","Normal")</f>
        <v>Close Match</v>
      </c>
      <c r="Y432" s="5">
        <f>Clean_Data!$G432+Clean_Data!$J432</f>
        <v>258</v>
      </c>
      <c r="Z432" s="5" t="str">
        <f>IF(Clean_Data!$Y432&gt;=170,"170+ Match","Below 170")</f>
        <v>170+ Match</v>
      </c>
      <c r="AA432" s="5" t="s">
        <v>278</v>
      </c>
      <c r="AB432" s="17" t="s">
        <v>225</v>
      </c>
    </row>
    <row r="433" spans="1:28" x14ac:dyDescent="0.3">
      <c r="A433" s="18" t="s">
        <v>633</v>
      </c>
      <c r="B433" s="19" t="str">
        <f>LEFT(Clean_Data!$A433,4)</f>
        <v>2023</v>
      </c>
      <c r="C433" s="19" t="s">
        <v>158</v>
      </c>
      <c r="D433" s="19" t="str">
        <f>IF(ISNUMBER(SEARCH("Final",Clean_Data!$C433)),"Final",
IF(ISNUMBER(SEARCH("Semi",Clean_Data!$C433)),"Semi-Final",
IF(ISNUMBER(SEARCH("Elimination",Clean_Data!$C433)),"Eliminator",
"League")))</f>
        <v>League</v>
      </c>
      <c r="E433" s="20" t="s">
        <v>685</v>
      </c>
      <c r="F433" s="19" t="s">
        <v>280</v>
      </c>
      <c r="G433" s="19">
        <v>135</v>
      </c>
      <c r="H433" s="19">
        <v>9</v>
      </c>
      <c r="I433" s="19" t="s">
        <v>641</v>
      </c>
      <c r="J433" s="19">
        <v>136</v>
      </c>
      <c r="K433" s="19">
        <v>3</v>
      </c>
      <c r="L433" s="19" t="s">
        <v>678</v>
      </c>
      <c r="M433" s="19" t="s">
        <v>310</v>
      </c>
      <c r="N433" s="19" t="s">
        <v>26</v>
      </c>
      <c r="O433" s="19" t="s">
        <v>310</v>
      </c>
      <c r="P433" s="19" t="str">
        <f>IF(Clean_Data!$G433&gt;Clean_Data!$J433,Clean_Data!$F433,Clean_Data!$I433)</f>
        <v xml:space="preserve">Fortune Barishal </v>
      </c>
      <c r="Q433" s="19" t="s">
        <v>28</v>
      </c>
      <c r="R433" s="19" t="s">
        <v>29</v>
      </c>
      <c r="S433" s="19">
        <v>7</v>
      </c>
      <c r="T433" s="19">
        <v>0</v>
      </c>
      <c r="U433" s="19" t="s">
        <v>118</v>
      </c>
      <c r="V433" s="19" t="str">
        <f>IF(Clean_Data!$T433&gt;0,"Runs","Wickets")</f>
        <v>Wickets</v>
      </c>
      <c r="W433" s="19">
        <f>IF(Clean_Data!$T433&gt;0,Clean_Data!$T433,Clean_Data!$S433)</f>
        <v>7</v>
      </c>
      <c r="X433" s="19" t="str">
        <f>IF(Clean_Data!$W433&lt;=10,"Close Match","Normal")</f>
        <v>Close Match</v>
      </c>
      <c r="Y433" s="19">
        <f>Clean_Data!$G433+Clean_Data!$J433</f>
        <v>271</v>
      </c>
      <c r="Z433" s="19" t="str">
        <f>IF(Clean_Data!$Y433&gt;=170,"170+ Match","Below 170")</f>
        <v>170+ Match</v>
      </c>
      <c r="AA433" s="19" t="s">
        <v>278</v>
      </c>
      <c r="AB433" s="21" t="s">
        <v>66</v>
      </c>
    </row>
    <row r="434" spans="1:28" x14ac:dyDescent="0.3">
      <c r="A434" s="16" t="s">
        <v>633</v>
      </c>
      <c r="B434" s="5" t="str">
        <f>LEFT(Clean_Data!$A434,4)</f>
        <v>2023</v>
      </c>
      <c r="C434" s="5" t="s">
        <v>686</v>
      </c>
      <c r="D434" s="5" t="str">
        <f>IF(ISNUMBER(SEARCH("Final",Clean_Data!$C434)),"Final",
IF(ISNUMBER(SEARCH("Semi",Clean_Data!$C434)),"Semi-Final",
IF(ISNUMBER(SEARCH("Elimination",Clean_Data!$C434)),"Eliminator",
"League")))</f>
        <v>League</v>
      </c>
      <c r="E434" s="6" t="s">
        <v>685</v>
      </c>
      <c r="F434" s="5" t="s">
        <v>113</v>
      </c>
      <c r="G434" s="5">
        <v>185</v>
      </c>
      <c r="H434" s="5">
        <v>6</v>
      </c>
      <c r="I434" s="5" t="s">
        <v>143</v>
      </c>
      <c r="J434" s="5">
        <v>186</v>
      </c>
      <c r="K434" s="5">
        <v>4</v>
      </c>
      <c r="L434" s="5" t="s">
        <v>239</v>
      </c>
      <c r="M434" s="5" t="s">
        <v>143</v>
      </c>
      <c r="N434" s="5" t="s">
        <v>26</v>
      </c>
      <c r="O434" s="5" t="s">
        <v>143</v>
      </c>
      <c r="P434" s="5" t="str">
        <f>IF(Clean_Data!$G434&gt;Clean_Data!$J434,Clean_Data!$F434,Clean_Data!$I434)</f>
        <v>Comilla Victorians</v>
      </c>
      <c r="Q434" s="5" t="s">
        <v>28</v>
      </c>
      <c r="R434" s="5" t="s">
        <v>29</v>
      </c>
      <c r="S434" s="5">
        <v>6</v>
      </c>
      <c r="T434" s="5">
        <v>0</v>
      </c>
      <c r="U434" s="5" t="s">
        <v>151</v>
      </c>
      <c r="V434" s="5" t="str">
        <f>IF(Clean_Data!$T434&gt;0,"Runs","Wickets")</f>
        <v>Wickets</v>
      </c>
      <c r="W434" s="5">
        <f>IF(Clean_Data!$T434&gt;0,Clean_Data!$T434,Clean_Data!$S434)</f>
        <v>6</v>
      </c>
      <c r="X434" s="5" t="str">
        <f>IF(Clean_Data!$W434&lt;=10,"Close Match","Normal")</f>
        <v>Close Match</v>
      </c>
      <c r="Y434" s="5">
        <f>Clean_Data!$G434+Clean_Data!$J434</f>
        <v>371</v>
      </c>
      <c r="Z434" s="5" t="str">
        <f>IF(Clean_Data!$Y434&gt;=170,"170+ Match","Below 170")</f>
        <v>170+ Match</v>
      </c>
      <c r="AA434" s="5" t="s">
        <v>671</v>
      </c>
      <c r="AB434" s="17" t="s">
        <v>44</v>
      </c>
    </row>
    <row r="435" spans="1:28" x14ac:dyDescent="0.3">
      <c r="A435" s="18" t="s">
        <v>633</v>
      </c>
      <c r="B435" s="19" t="str">
        <f>LEFT(Clean_Data!$A435,4)</f>
        <v>2023</v>
      </c>
      <c r="C435" s="19" t="s">
        <v>687</v>
      </c>
      <c r="D435" s="19" t="str">
        <f>IF(ISNUMBER(SEARCH("Final",Clean_Data!$C435)),"Final",
IF(ISNUMBER(SEARCH("Semi",Clean_Data!$C435)),"Semi-Final",
IF(ISNUMBER(SEARCH("Elimination",Clean_Data!$C435)),"Eliminator",
"League")))</f>
        <v>League</v>
      </c>
      <c r="E435" s="20" t="s">
        <v>688</v>
      </c>
      <c r="F435" s="19" t="s">
        <v>113</v>
      </c>
      <c r="G435" s="19">
        <v>149</v>
      </c>
      <c r="H435" s="19">
        <v>7</v>
      </c>
      <c r="I435" s="19" t="s">
        <v>641</v>
      </c>
      <c r="J435" s="19">
        <v>152</v>
      </c>
      <c r="K435" s="19">
        <v>4</v>
      </c>
      <c r="L435" s="19" t="s">
        <v>150</v>
      </c>
      <c r="M435" s="19" t="s">
        <v>310</v>
      </c>
      <c r="N435" s="19" t="s">
        <v>26</v>
      </c>
      <c r="O435" s="19" t="s">
        <v>310</v>
      </c>
      <c r="P435" s="19" t="str">
        <f>IF(Clean_Data!$G435&gt;Clean_Data!$J435,Clean_Data!$F435,Clean_Data!$I435)</f>
        <v xml:space="preserve">Fortune Barishal </v>
      </c>
      <c r="Q435" s="19" t="s">
        <v>28</v>
      </c>
      <c r="R435" s="19" t="s">
        <v>29</v>
      </c>
      <c r="S435" s="19">
        <v>6</v>
      </c>
      <c r="T435" s="19">
        <v>0</v>
      </c>
      <c r="U435" s="19" t="s">
        <v>151</v>
      </c>
      <c r="V435" s="19" t="str">
        <f>IF(Clean_Data!$T435&gt;0,"Runs","Wickets")</f>
        <v>Wickets</v>
      </c>
      <c r="W435" s="19">
        <f>IF(Clean_Data!$T435&gt;0,Clean_Data!$T435,Clean_Data!$S435)</f>
        <v>6</v>
      </c>
      <c r="X435" s="19" t="str">
        <f>IF(Clean_Data!$W435&lt;=10,"Close Match","Normal")</f>
        <v>Close Match</v>
      </c>
      <c r="Y435" s="19">
        <f>Clean_Data!$G435+Clean_Data!$J435</f>
        <v>301</v>
      </c>
      <c r="Z435" s="19" t="str">
        <f>IF(Clean_Data!$Y435&gt;=170,"170+ Match","Below 170")</f>
        <v>170+ Match</v>
      </c>
      <c r="AA435" s="19" t="s">
        <v>671</v>
      </c>
      <c r="AB435" s="21" t="s">
        <v>689</v>
      </c>
    </row>
    <row r="436" spans="1:28" x14ac:dyDescent="0.3">
      <c r="A436" s="16" t="s">
        <v>633</v>
      </c>
      <c r="B436" s="5" t="str">
        <f>LEFT(Clean_Data!$A436,4)</f>
        <v>2023</v>
      </c>
      <c r="C436" s="5" t="s">
        <v>21</v>
      </c>
      <c r="D436" s="5" t="str">
        <f>IF(ISNUMBER(SEARCH("Final",Clean_Data!$C436)),"Final",
IF(ISNUMBER(SEARCH("Semi",Clean_Data!$C436)),"Semi-Final",
IF(ISNUMBER(SEARCH("Elimination",Clean_Data!$C436)),"Eliminator",
"League")))</f>
        <v>Final</v>
      </c>
      <c r="E436" s="6" t="s">
        <v>690</v>
      </c>
      <c r="F436" s="5" t="s">
        <v>635</v>
      </c>
      <c r="G436" s="5">
        <v>154</v>
      </c>
      <c r="H436" s="5">
        <v>6</v>
      </c>
      <c r="I436" s="5" t="s">
        <v>641</v>
      </c>
      <c r="J436" s="5">
        <v>157</v>
      </c>
      <c r="K436" s="5">
        <v>4</v>
      </c>
      <c r="L436" s="5" t="s">
        <v>678</v>
      </c>
      <c r="M436" s="5" t="s">
        <v>310</v>
      </c>
      <c r="N436" s="5" t="s">
        <v>26</v>
      </c>
      <c r="O436" s="5" t="s">
        <v>310</v>
      </c>
      <c r="P436" s="5" t="str">
        <f>IF(Clean_Data!$G436&gt;Clean_Data!$J436,Clean_Data!$F436,Clean_Data!$I436)</f>
        <v xml:space="preserve">Fortune Barishal </v>
      </c>
      <c r="Q436" s="5" t="s">
        <v>28</v>
      </c>
      <c r="R436" s="5" t="s">
        <v>29</v>
      </c>
      <c r="S436" s="5">
        <v>6</v>
      </c>
      <c r="T436" s="5">
        <v>0</v>
      </c>
      <c r="U436" s="5" t="s">
        <v>151</v>
      </c>
      <c r="V436" s="5" t="str">
        <f>IF(Clean_Data!$T436&gt;0,"Runs","Wickets")</f>
        <v>Wickets</v>
      </c>
      <c r="W436" s="5">
        <f>IF(Clean_Data!$T436&gt;0,Clean_Data!$T436,Clean_Data!$S436)</f>
        <v>6</v>
      </c>
      <c r="X436" s="5" t="str">
        <f>IF(Clean_Data!$W436&lt;=10,"Close Match","Normal")</f>
        <v>Close Match</v>
      </c>
      <c r="Y436" s="5">
        <f>Clean_Data!$G436+Clean_Data!$J436</f>
        <v>311</v>
      </c>
      <c r="Z436" s="5" t="str">
        <f>IF(Clean_Data!$Y436&gt;=170,"170+ Match","Below 170")</f>
        <v>170+ Match</v>
      </c>
      <c r="AA436" s="5" t="s">
        <v>278</v>
      </c>
      <c r="AB436" s="17" t="s">
        <v>44</v>
      </c>
    </row>
    <row r="437" spans="1:28" x14ac:dyDescent="0.3">
      <c r="A437" s="18" t="s">
        <v>691</v>
      </c>
      <c r="B437" s="19" t="str">
        <f>LEFT(Clean_Data!$A437,4)</f>
        <v>2024</v>
      </c>
      <c r="C437" s="19" t="s">
        <v>40</v>
      </c>
      <c r="D437" s="19" t="str">
        <f>IF(ISNUMBER(SEARCH("Final",Clean_Data!$C437)),"Final",
IF(ISNUMBER(SEARCH("Semi",Clean_Data!$C437)),"Semi-Final",
IF(ISNUMBER(SEARCH("Elimination",Clean_Data!$C437)),"Eliminator",
"League")))</f>
        <v>League</v>
      </c>
      <c r="E437" s="20" t="s">
        <v>692</v>
      </c>
      <c r="F437" s="19" t="s">
        <v>693</v>
      </c>
      <c r="G437" s="19">
        <v>197</v>
      </c>
      <c r="H437" s="19">
        <v>3</v>
      </c>
      <c r="I437" s="19" t="s">
        <v>310</v>
      </c>
      <c r="J437" s="19">
        <v>200</v>
      </c>
      <c r="K437" s="19">
        <v>6</v>
      </c>
      <c r="L437" s="19" t="s">
        <v>157</v>
      </c>
      <c r="M437" s="19" t="s">
        <v>310</v>
      </c>
      <c r="N437" s="19" t="s">
        <v>26</v>
      </c>
      <c r="O437" s="19" t="s">
        <v>310</v>
      </c>
      <c r="P437" s="19" t="str">
        <f>IF(Clean_Data!$G437&gt;Clean_Data!$J437,Clean_Data!$F437,Clean_Data!$I437)</f>
        <v>Fortune Barishal</v>
      </c>
      <c r="Q437" s="19" t="s">
        <v>28</v>
      </c>
      <c r="R437" s="19" t="s">
        <v>29</v>
      </c>
      <c r="S437" s="19">
        <v>4</v>
      </c>
      <c r="T437" s="19">
        <v>0</v>
      </c>
      <c r="U437" s="19" t="s">
        <v>90</v>
      </c>
      <c r="V437" s="19" t="str">
        <f>IF(Clean_Data!$T437&gt;0,"Runs","Wickets")</f>
        <v>Wickets</v>
      </c>
      <c r="W437" s="19">
        <f>IF(Clean_Data!$T437&gt;0,Clean_Data!$T437,Clean_Data!$S437)</f>
        <v>4</v>
      </c>
      <c r="X437" s="19" t="str">
        <f>IF(Clean_Data!$W437&lt;=10,"Close Match","Normal")</f>
        <v>Close Match</v>
      </c>
      <c r="Y437" s="19">
        <f>Clean_Data!$G437+Clean_Data!$J437</f>
        <v>397</v>
      </c>
      <c r="Z437" s="19" t="str">
        <f>IF(Clean_Data!$Y437&gt;=170,"170+ Match","Below 170")</f>
        <v>170+ Match</v>
      </c>
      <c r="AA437" s="19" t="s">
        <v>639</v>
      </c>
      <c r="AB437" s="21" t="s">
        <v>66</v>
      </c>
    </row>
    <row r="438" spans="1:28" x14ac:dyDescent="0.3">
      <c r="A438" s="16" t="s">
        <v>691</v>
      </c>
      <c r="B438" s="5" t="str">
        <f>LEFT(Clean_Data!$A438,4)</f>
        <v>2024</v>
      </c>
      <c r="C438" s="5" t="s">
        <v>33</v>
      </c>
      <c r="D438" s="5" t="str">
        <f>IF(ISNUMBER(SEARCH("Final",Clean_Data!$C438)),"Final",
IF(ISNUMBER(SEARCH("Semi",Clean_Data!$C438)),"Semi-Final",
IF(ISNUMBER(SEARCH("Elimination",Clean_Data!$C438)),"Eliminator",
"League")))</f>
        <v>League</v>
      </c>
      <c r="E438" s="6" t="s">
        <v>692</v>
      </c>
      <c r="F438" s="5" t="s">
        <v>113</v>
      </c>
      <c r="G438" s="5">
        <v>196</v>
      </c>
      <c r="H438" s="5">
        <v>6</v>
      </c>
      <c r="I438" s="5" t="s">
        <v>694</v>
      </c>
      <c r="J438" s="5">
        <v>151</v>
      </c>
      <c r="K438" s="5">
        <v>9</v>
      </c>
      <c r="L438" s="5" t="s">
        <v>600</v>
      </c>
      <c r="M438" s="5" t="s">
        <v>694</v>
      </c>
      <c r="N438" s="5" t="s">
        <v>26</v>
      </c>
      <c r="O438" s="5" t="s">
        <v>113</v>
      </c>
      <c r="P438" s="5" t="str">
        <f>IF(Clean_Data!$G438&gt;Clean_Data!$J438,Clean_Data!$F438,Clean_Data!$I438)</f>
        <v>Rangpur Riders</v>
      </c>
      <c r="Q438" s="5" t="s">
        <v>28</v>
      </c>
      <c r="R438" s="5" t="s">
        <v>29</v>
      </c>
      <c r="S438" s="5">
        <v>0</v>
      </c>
      <c r="T438" s="5">
        <v>40</v>
      </c>
      <c r="U438" s="5" t="s">
        <v>455</v>
      </c>
      <c r="V438" s="5" t="str">
        <f>IF(Clean_Data!$T438&gt;0,"Runs","Wickets")</f>
        <v>Runs</v>
      </c>
      <c r="W438" s="5">
        <f>IF(Clean_Data!$T438&gt;0,Clean_Data!$T438,Clean_Data!$S438)</f>
        <v>40</v>
      </c>
      <c r="X438" s="5" t="str">
        <f>IF(Clean_Data!$W438&lt;=10,"Close Match","Normal")</f>
        <v>Normal</v>
      </c>
      <c r="Y438" s="5">
        <f>Clean_Data!$G438+Clean_Data!$J438</f>
        <v>347</v>
      </c>
      <c r="Z438" s="5" t="str">
        <f>IF(Clean_Data!$Y438&gt;=170,"170+ Match","Below 170")</f>
        <v>170+ Match</v>
      </c>
      <c r="AA438" s="5" t="s">
        <v>50</v>
      </c>
      <c r="AB438" s="17" t="s">
        <v>695</v>
      </c>
    </row>
    <row r="439" spans="1:28" x14ac:dyDescent="0.3">
      <c r="A439" s="18" t="s">
        <v>691</v>
      </c>
      <c r="B439" s="19" t="str">
        <f>LEFT(Clean_Data!$A439,4)</f>
        <v>2024</v>
      </c>
      <c r="C439" s="19" t="s">
        <v>195</v>
      </c>
      <c r="D439" s="19" t="str">
        <f>IF(ISNUMBER(SEARCH("Final",Clean_Data!$C439)),"Final",
IF(ISNUMBER(SEARCH("Semi",Clean_Data!$C439)),"Semi-Final",
IF(ISNUMBER(SEARCH("Elimination",Clean_Data!$C439)),"Eliminator",
"League")))</f>
        <v>League</v>
      </c>
      <c r="E439" s="20" t="s">
        <v>696</v>
      </c>
      <c r="F439" s="19" t="s">
        <v>277</v>
      </c>
      <c r="G439" s="19">
        <v>203</v>
      </c>
      <c r="H439" s="19">
        <v>4</v>
      </c>
      <c r="I439" s="19" t="s">
        <v>53</v>
      </c>
      <c r="J439" s="19">
        <v>166</v>
      </c>
      <c r="K439" s="19">
        <v>10</v>
      </c>
      <c r="L439" s="19" t="s">
        <v>697</v>
      </c>
      <c r="M439" s="19" t="s">
        <v>53</v>
      </c>
      <c r="N439" s="19" t="s">
        <v>26</v>
      </c>
      <c r="O439" s="19" t="s">
        <v>277</v>
      </c>
      <c r="P439" s="19" t="str">
        <f>IF(Clean_Data!$G439&gt;Clean_Data!$J439,Clean_Data!$F439,Clean_Data!$I439)</f>
        <v>Khulna Tigers</v>
      </c>
      <c r="Q439" s="19" t="s">
        <v>28</v>
      </c>
      <c r="R439" s="19" t="s">
        <v>29</v>
      </c>
      <c r="S439" s="19">
        <v>0</v>
      </c>
      <c r="T439" s="19">
        <v>37</v>
      </c>
      <c r="U439" s="19" t="s">
        <v>617</v>
      </c>
      <c r="V439" s="19" t="str">
        <f>IF(Clean_Data!$T439&gt;0,"Runs","Wickets")</f>
        <v>Runs</v>
      </c>
      <c r="W439" s="19">
        <f>IF(Clean_Data!$T439&gt;0,Clean_Data!$T439,Clean_Data!$S439)</f>
        <v>37</v>
      </c>
      <c r="X439" s="19" t="str">
        <f>IF(Clean_Data!$W439&lt;=10,"Close Match","Normal")</f>
        <v>Normal</v>
      </c>
      <c r="Y439" s="19">
        <f>Clean_Data!$G439+Clean_Data!$J439</f>
        <v>369</v>
      </c>
      <c r="Z439" s="19" t="str">
        <f>IF(Clean_Data!$Y439&gt;=170,"170+ Match","Below 170")</f>
        <v>170+ Match</v>
      </c>
      <c r="AA439" s="19" t="s">
        <v>225</v>
      </c>
      <c r="AB439" s="21" t="s">
        <v>695</v>
      </c>
    </row>
    <row r="440" spans="1:28" x14ac:dyDescent="0.3">
      <c r="A440" s="16" t="s">
        <v>691</v>
      </c>
      <c r="B440" s="5" t="str">
        <f>LEFT(Clean_Data!$A440,4)</f>
        <v>2024</v>
      </c>
      <c r="C440" s="5" t="s">
        <v>190</v>
      </c>
      <c r="D440" s="5" t="str">
        <f>IF(ISNUMBER(SEARCH("Final",Clean_Data!$C440)),"Final",
IF(ISNUMBER(SEARCH("Semi",Clean_Data!$C440)),"Semi-Final",
IF(ISNUMBER(SEARCH("Elimination",Clean_Data!$C440)),"Eliminator",
"League")))</f>
        <v>League</v>
      </c>
      <c r="E440" s="6" t="s">
        <v>696</v>
      </c>
      <c r="F440" s="5" t="s">
        <v>113</v>
      </c>
      <c r="G440" s="5">
        <v>155</v>
      </c>
      <c r="H440" s="5">
        <v>6</v>
      </c>
      <c r="I440" s="5" t="s">
        <v>581</v>
      </c>
      <c r="J440" s="5">
        <v>121</v>
      </c>
      <c r="K440" s="5">
        <v>9</v>
      </c>
      <c r="L440" s="5" t="s">
        <v>698</v>
      </c>
      <c r="M440" s="5" t="s">
        <v>113</v>
      </c>
      <c r="N440" s="5" t="s">
        <v>37</v>
      </c>
      <c r="O440" s="5" t="s">
        <v>113</v>
      </c>
      <c r="P440" s="5" t="str">
        <f>IF(Clean_Data!$G440&gt;Clean_Data!$J440,Clean_Data!$F440,Clean_Data!$I440)</f>
        <v>Rangpur Riders</v>
      </c>
      <c r="Q440" s="5" t="s">
        <v>28</v>
      </c>
      <c r="R440" s="5" t="s">
        <v>29</v>
      </c>
      <c r="S440" s="5">
        <v>0</v>
      </c>
      <c r="T440" s="5">
        <v>34</v>
      </c>
      <c r="U440" s="5" t="s">
        <v>303</v>
      </c>
      <c r="V440" s="5" t="str">
        <f>IF(Clean_Data!$T440&gt;0,"Runs","Wickets")</f>
        <v>Runs</v>
      </c>
      <c r="W440" s="5">
        <f>IF(Clean_Data!$T440&gt;0,Clean_Data!$T440,Clean_Data!$S440)</f>
        <v>34</v>
      </c>
      <c r="X440" s="5" t="str">
        <f>IF(Clean_Data!$W440&lt;=10,"Close Match","Normal")</f>
        <v>Normal</v>
      </c>
      <c r="Y440" s="5">
        <f>Clean_Data!$G440+Clean_Data!$J440</f>
        <v>276</v>
      </c>
      <c r="Z440" s="5" t="str">
        <f>IF(Clean_Data!$Y440&gt;=170,"170+ Match","Below 170")</f>
        <v>170+ Match</v>
      </c>
      <c r="AA440" s="5" t="s">
        <v>639</v>
      </c>
      <c r="AB440" s="17" t="s">
        <v>56</v>
      </c>
    </row>
    <row r="441" spans="1:28" x14ac:dyDescent="0.3">
      <c r="A441" s="18" t="s">
        <v>691</v>
      </c>
      <c r="B441" s="19" t="str">
        <f>LEFT(Clean_Data!$A441,4)</f>
        <v>2024</v>
      </c>
      <c r="C441" s="19" t="s">
        <v>186</v>
      </c>
      <c r="D441" s="19" t="str">
        <f>IF(ISNUMBER(SEARCH("Final",Clean_Data!$C441)),"Final",
IF(ISNUMBER(SEARCH("Semi",Clean_Data!$C441)),"Semi-Final",
IF(ISNUMBER(SEARCH("Elimination",Clean_Data!$C441)),"Eliminator",
"League")))</f>
        <v>League</v>
      </c>
      <c r="E441" s="20" t="s">
        <v>699</v>
      </c>
      <c r="F441" s="19" t="s">
        <v>694</v>
      </c>
      <c r="G441" s="19">
        <v>174</v>
      </c>
      <c r="H441" s="19">
        <v>9</v>
      </c>
      <c r="I441" s="19" t="s">
        <v>693</v>
      </c>
      <c r="J441" s="19">
        <v>179</v>
      </c>
      <c r="K441" s="19">
        <v>3</v>
      </c>
      <c r="L441" s="19" t="s">
        <v>94</v>
      </c>
      <c r="M441" s="19" t="s">
        <v>694</v>
      </c>
      <c r="N441" s="19" t="s">
        <v>37</v>
      </c>
      <c r="O441" s="19" t="s">
        <v>693</v>
      </c>
      <c r="P441" s="19" t="str">
        <f>IF(Clean_Data!$G441&gt;Clean_Data!$J441,Clean_Data!$F441,Clean_Data!$I441)</f>
        <v>Durbar Rajshahi</v>
      </c>
      <c r="Q441" s="19" t="s">
        <v>28</v>
      </c>
      <c r="R441" s="19" t="s">
        <v>29</v>
      </c>
      <c r="S441" s="19">
        <v>7</v>
      </c>
      <c r="T441" s="19">
        <v>0</v>
      </c>
      <c r="U441" s="19" t="s">
        <v>118</v>
      </c>
      <c r="V441" s="19" t="str">
        <f>IF(Clean_Data!$T441&gt;0,"Runs","Wickets")</f>
        <v>Wickets</v>
      </c>
      <c r="W441" s="19">
        <f>IF(Clean_Data!$T441&gt;0,Clean_Data!$T441,Clean_Data!$S441)</f>
        <v>7</v>
      </c>
      <c r="X441" s="19" t="str">
        <f>IF(Clean_Data!$W441&lt;=10,"Close Match","Normal")</f>
        <v>Close Match</v>
      </c>
      <c r="Y441" s="19">
        <f>Clean_Data!$G441+Clean_Data!$J441</f>
        <v>353</v>
      </c>
      <c r="Z441" s="19" t="str">
        <f>IF(Clean_Data!$Y441&gt;=170,"170+ Match","Below 170")</f>
        <v>170+ Match</v>
      </c>
      <c r="AA441" s="19" t="s">
        <v>50</v>
      </c>
      <c r="AB441" s="21" t="s">
        <v>695</v>
      </c>
    </row>
    <row r="442" spans="1:28" x14ac:dyDescent="0.3">
      <c r="A442" s="16" t="s">
        <v>691</v>
      </c>
      <c r="B442" s="5" t="str">
        <f>LEFT(Clean_Data!$A442,4)</f>
        <v>2024</v>
      </c>
      <c r="C442" s="5" t="s">
        <v>180</v>
      </c>
      <c r="D442" s="5" t="str">
        <f>IF(ISNUMBER(SEARCH("Final",Clean_Data!$C442)),"Final",
IF(ISNUMBER(SEARCH("Semi",Clean_Data!$C442)),"Semi-Final",
IF(ISNUMBER(SEARCH("Elimination",Clean_Data!$C442)),"Eliminator",
"League")))</f>
        <v>League</v>
      </c>
      <c r="E442" s="6" t="s">
        <v>699</v>
      </c>
      <c r="F442" s="5" t="s">
        <v>310</v>
      </c>
      <c r="G442" s="5">
        <v>124</v>
      </c>
      <c r="H442" s="5">
        <v>10</v>
      </c>
      <c r="I442" s="5" t="s">
        <v>113</v>
      </c>
      <c r="J442" s="5">
        <v>128</v>
      </c>
      <c r="K442" s="5">
        <v>2</v>
      </c>
      <c r="L442" s="5" t="s">
        <v>700</v>
      </c>
      <c r="M442" s="5" t="s">
        <v>113</v>
      </c>
      <c r="N442" s="5" t="s">
        <v>26</v>
      </c>
      <c r="O442" s="5" t="s">
        <v>113</v>
      </c>
      <c r="P442" s="5" t="str">
        <f>IF(Clean_Data!$G442&gt;Clean_Data!$J442,Clean_Data!$F442,Clean_Data!$I442)</f>
        <v>Rangpur Riders</v>
      </c>
      <c r="Q442" s="5" t="s">
        <v>28</v>
      </c>
      <c r="R442" s="5" t="s">
        <v>29</v>
      </c>
      <c r="S442" s="5">
        <v>8</v>
      </c>
      <c r="T442" s="5">
        <v>0</v>
      </c>
      <c r="U442" s="5" t="s">
        <v>30</v>
      </c>
      <c r="V442" s="5" t="str">
        <f>IF(Clean_Data!$T442&gt;0,"Runs","Wickets")</f>
        <v>Wickets</v>
      </c>
      <c r="W442" s="5">
        <f>IF(Clean_Data!$T442&gt;0,Clean_Data!$T442,Clean_Data!$S442)</f>
        <v>8</v>
      </c>
      <c r="X442" s="5" t="str">
        <f>IF(Clean_Data!$W442&lt;=10,"Close Match","Normal")</f>
        <v>Close Match</v>
      </c>
      <c r="Y442" s="5">
        <f>Clean_Data!$G442+Clean_Data!$J442</f>
        <v>252</v>
      </c>
      <c r="Z442" s="5" t="str">
        <f>IF(Clean_Data!$Y442&gt;=170,"170+ Match","Below 170")</f>
        <v>170+ Match</v>
      </c>
      <c r="AA442" s="5" t="s">
        <v>50</v>
      </c>
      <c r="AB442" s="17" t="s">
        <v>216</v>
      </c>
    </row>
    <row r="443" spans="1:28" x14ac:dyDescent="0.3">
      <c r="A443" s="18" t="s">
        <v>691</v>
      </c>
      <c r="B443" s="19" t="str">
        <f>LEFT(Clean_Data!$A443,4)</f>
        <v>2024</v>
      </c>
      <c r="C443" s="19" t="s">
        <v>176</v>
      </c>
      <c r="D443" s="19" t="str">
        <f>IF(ISNUMBER(SEARCH("Final",Clean_Data!$C443)),"Final",
IF(ISNUMBER(SEARCH("Semi",Clean_Data!$C443)),"Semi-Final",
IF(ISNUMBER(SEARCH("Elimination",Clean_Data!$C443)),"Eliminator",
"League")))</f>
        <v>League</v>
      </c>
      <c r="E443" s="20" t="s">
        <v>701</v>
      </c>
      <c r="F443" s="19" t="s">
        <v>53</v>
      </c>
      <c r="G443" s="19">
        <v>219</v>
      </c>
      <c r="H443" s="19">
        <v>5</v>
      </c>
      <c r="I443" s="19" t="s">
        <v>693</v>
      </c>
      <c r="J443" s="19">
        <v>114</v>
      </c>
      <c r="K443" s="19">
        <v>10</v>
      </c>
      <c r="L443" s="19" t="s">
        <v>589</v>
      </c>
      <c r="M443" s="19" t="s">
        <v>693</v>
      </c>
      <c r="N443" s="19" t="s">
        <v>26</v>
      </c>
      <c r="O443" s="19" t="s">
        <v>53</v>
      </c>
      <c r="P443" s="19" t="str">
        <f>IF(Clean_Data!$G443&gt;Clean_Data!$J443,Clean_Data!$F443,Clean_Data!$I443)</f>
        <v>Chittagong Kings</v>
      </c>
      <c r="Q443" s="19" t="s">
        <v>28</v>
      </c>
      <c r="R443" s="19" t="s">
        <v>29</v>
      </c>
      <c r="S443" s="19">
        <v>0</v>
      </c>
      <c r="T443" s="19">
        <v>105</v>
      </c>
      <c r="U443" s="19" t="s">
        <v>510</v>
      </c>
      <c r="V443" s="19" t="str">
        <f>IF(Clean_Data!$T443&gt;0,"Runs","Wickets")</f>
        <v>Runs</v>
      </c>
      <c r="W443" s="19">
        <f>IF(Clean_Data!$T443&gt;0,Clean_Data!$T443,Clean_Data!$S443)</f>
        <v>105</v>
      </c>
      <c r="X443" s="19" t="str">
        <f>IF(Clean_Data!$W443&lt;=10,"Close Match","Normal")</f>
        <v>Normal</v>
      </c>
      <c r="Y443" s="19">
        <f>Clean_Data!$G443+Clean_Data!$J443</f>
        <v>333</v>
      </c>
      <c r="Z443" s="19" t="str">
        <f>IF(Clean_Data!$Y443&gt;=170,"170+ Match","Below 170")</f>
        <v>170+ Match</v>
      </c>
      <c r="AA443" s="19" t="s">
        <v>606</v>
      </c>
      <c r="AB443" s="21" t="s">
        <v>639</v>
      </c>
    </row>
    <row r="444" spans="1:28" x14ac:dyDescent="0.3">
      <c r="A444" s="16" t="s">
        <v>691</v>
      </c>
      <c r="B444" s="5" t="str">
        <f>LEFT(Clean_Data!$A444,4)</f>
        <v>2024</v>
      </c>
      <c r="C444" s="5" t="s">
        <v>170</v>
      </c>
      <c r="D444" s="5" t="str">
        <f>IF(ISNUMBER(SEARCH("Final",Clean_Data!$C444)),"Final",
IF(ISNUMBER(SEARCH("Semi",Clean_Data!$C444)),"Semi-Final",
IF(ISNUMBER(SEARCH("Elimination",Clean_Data!$C444)),"Eliminator",
"League")))</f>
        <v>League</v>
      </c>
      <c r="E444" s="6" t="s">
        <v>701</v>
      </c>
      <c r="F444" s="5" t="s">
        <v>277</v>
      </c>
      <c r="G444" s="5">
        <v>173</v>
      </c>
      <c r="H444" s="5">
        <v>8</v>
      </c>
      <c r="I444" s="5" t="s">
        <v>694</v>
      </c>
      <c r="J444" s="5">
        <v>153</v>
      </c>
      <c r="K444" s="5">
        <v>6</v>
      </c>
      <c r="L444" s="5" t="s">
        <v>410</v>
      </c>
      <c r="M444" s="5" t="s">
        <v>694</v>
      </c>
      <c r="N444" s="5" t="s">
        <v>26</v>
      </c>
      <c r="O444" s="5" t="s">
        <v>277</v>
      </c>
      <c r="P444" s="5" t="str">
        <f>IF(Clean_Data!$G444&gt;Clean_Data!$J444,Clean_Data!$F444,Clean_Data!$I444)</f>
        <v>Khulna Tigers</v>
      </c>
      <c r="Q444" s="5" t="s">
        <v>28</v>
      </c>
      <c r="R444" s="5" t="s">
        <v>29</v>
      </c>
      <c r="S444" s="5">
        <v>0</v>
      </c>
      <c r="T444" s="5">
        <v>20</v>
      </c>
      <c r="U444" s="5" t="s">
        <v>495</v>
      </c>
      <c r="V444" s="5" t="str">
        <f>IF(Clean_Data!$T444&gt;0,"Runs","Wickets")</f>
        <v>Runs</v>
      </c>
      <c r="W444" s="5">
        <f>IF(Clean_Data!$T444&gt;0,Clean_Data!$T444,Clean_Data!$S444)</f>
        <v>20</v>
      </c>
      <c r="X444" s="5" t="str">
        <f>IF(Clean_Data!$W444&lt;=10,"Close Match","Normal")</f>
        <v>Normal</v>
      </c>
      <c r="Y444" s="5">
        <f>Clean_Data!$G444+Clean_Data!$J444</f>
        <v>326</v>
      </c>
      <c r="Z444" s="5" t="str">
        <f>IF(Clean_Data!$Y444&gt;=170,"170+ Match","Below 170")</f>
        <v>170+ Match</v>
      </c>
      <c r="AA444" s="5" t="s">
        <v>695</v>
      </c>
      <c r="AB444" s="17" t="s">
        <v>56</v>
      </c>
    </row>
    <row r="445" spans="1:28" x14ac:dyDescent="0.3">
      <c r="A445" s="18" t="s">
        <v>691</v>
      </c>
      <c r="B445" s="19" t="str">
        <f>LEFT(Clean_Data!$A445,4)</f>
        <v>2024</v>
      </c>
      <c r="C445" s="19" t="s">
        <v>168</v>
      </c>
      <c r="D445" s="19" t="str">
        <f>IF(ISNUMBER(SEARCH("Final",Clean_Data!$C445)),"Final",
IF(ISNUMBER(SEARCH("Semi",Clean_Data!$C445)),"Semi-Final",
IF(ISNUMBER(SEARCH("Elimination",Clean_Data!$C445)),"Eliminator",
"League")))</f>
        <v>League</v>
      </c>
      <c r="E445" s="20" t="s">
        <v>702</v>
      </c>
      <c r="F445" s="19" t="s">
        <v>581</v>
      </c>
      <c r="G445" s="19">
        <v>205</v>
      </c>
      <c r="H445" s="19">
        <v>4</v>
      </c>
      <c r="I445" s="19" t="s">
        <v>113</v>
      </c>
      <c r="J445" s="19">
        <v>210</v>
      </c>
      <c r="K445" s="19">
        <v>2</v>
      </c>
      <c r="L445" s="19" t="s">
        <v>485</v>
      </c>
      <c r="M445" s="19" t="s">
        <v>113</v>
      </c>
      <c r="N445" s="19" t="s">
        <v>26</v>
      </c>
      <c r="O445" s="19" t="s">
        <v>113</v>
      </c>
      <c r="P445" s="19" t="str">
        <f>IF(Clean_Data!$G445&gt;Clean_Data!$J445,Clean_Data!$F445,Clean_Data!$I445)</f>
        <v>Rangpur Riders</v>
      </c>
      <c r="Q445" s="19" t="s">
        <v>469</v>
      </c>
      <c r="R445" s="19" t="s">
        <v>703</v>
      </c>
      <c r="S445" s="19">
        <v>8</v>
      </c>
      <c r="T445" s="19">
        <v>0</v>
      </c>
      <c r="U445" s="19" t="s">
        <v>30</v>
      </c>
      <c r="V445" s="19" t="str">
        <f>IF(Clean_Data!$T445&gt;0,"Runs","Wickets")</f>
        <v>Wickets</v>
      </c>
      <c r="W445" s="19">
        <f>IF(Clean_Data!$T445&gt;0,Clean_Data!$T445,Clean_Data!$S445)</f>
        <v>8</v>
      </c>
      <c r="X445" s="19" t="str">
        <f>IF(Clean_Data!$W445&lt;=10,"Close Match","Normal")</f>
        <v>Close Match</v>
      </c>
      <c r="Y445" s="19">
        <f>Clean_Data!$G445+Clean_Data!$J445</f>
        <v>415</v>
      </c>
      <c r="Z445" s="19" t="str">
        <f>IF(Clean_Data!$Y445&gt;=170,"170+ Match","Below 170")</f>
        <v>170+ Match</v>
      </c>
      <c r="AA445" s="19" t="s">
        <v>639</v>
      </c>
      <c r="AB445" s="21" t="s">
        <v>242</v>
      </c>
    </row>
    <row r="446" spans="1:28" x14ac:dyDescent="0.3">
      <c r="A446" s="16" t="s">
        <v>691</v>
      </c>
      <c r="B446" s="5" t="str">
        <f>LEFT(Clean_Data!$A446,4)</f>
        <v>2024</v>
      </c>
      <c r="C446" s="5" t="s">
        <v>163</v>
      </c>
      <c r="D446" s="5" t="str">
        <f>IF(ISNUMBER(SEARCH("Final",Clean_Data!$C446)),"Final",
IF(ISNUMBER(SEARCH("Semi",Clean_Data!$C446)),"Semi-Final",
IF(ISNUMBER(SEARCH("Elimination",Clean_Data!$C446)),"Eliminator",
"League")))</f>
        <v>League</v>
      </c>
      <c r="E446" s="6" t="s">
        <v>702</v>
      </c>
      <c r="F446" s="5" t="s">
        <v>693</v>
      </c>
      <c r="G446" s="5">
        <v>168</v>
      </c>
      <c r="H446" s="5">
        <v>4</v>
      </c>
      <c r="I446" s="5" t="s">
        <v>310</v>
      </c>
      <c r="J446" s="5">
        <v>169</v>
      </c>
      <c r="K446" s="5">
        <v>3</v>
      </c>
      <c r="L446" s="5" t="s">
        <v>253</v>
      </c>
      <c r="M446" s="5" t="s">
        <v>310</v>
      </c>
      <c r="N446" s="5" t="s">
        <v>26</v>
      </c>
      <c r="O446" s="5" t="s">
        <v>310</v>
      </c>
      <c r="P446" s="5" t="str">
        <f>IF(Clean_Data!$G446&gt;Clean_Data!$J446,Clean_Data!$F446,Clean_Data!$I446)</f>
        <v>Fortune Barishal</v>
      </c>
      <c r="Q446" s="5" t="s">
        <v>469</v>
      </c>
      <c r="R446" s="5" t="s">
        <v>703</v>
      </c>
      <c r="S446" s="5">
        <v>7</v>
      </c>
      <c r="T446" s="5">
        <v>0</v>
      </c>
      <c r="U446" s="5" t="s">
        <v>118</v>
      </c>
      <c r="V446" s="5" t="str">
        <f>IF(Clean_Data!$T446&gt;0,"Runs","Wickets")</f>
        <v>Wickets</v>
      </c>
      <c r="W446" s="5">
        <f>IF(Clean_Data!$T446&gt;0,Clean_Data!$T446,Clean_Data!$S446)</f>
        <v>7</v>
      </c>
      <c r="X446" s="5" t="str">
        <f>IF(Clean_Data!$W446&lt;=10,"Close Match","Normal")</f>
        <v>Close Match</v>
      </c>
      <c r="Y446" s="5">
        <f>Clean_Data!$G446+Clean_Data!$J446</f>
        <v>337</v>
      </c>
      <c r="Z446" s="5" t="str">
        <f>IF(Clean_Data!$Y446&gt;=170,"170+ Match","Below 170")</f>
        <v>170+ Match</v>
      </c>
      <c r="AA446" s="5" t="s">
        <v>695</v>
      </c>
      <c r="AB446" s="17" t="s">
        <v>50</v>
      </c>
    </row>
    <row r="447" spans="1:28" x14ac:dyDescent="0.3">
      <c r="A447" s="18" t="s">
        <v>691</v>
      </c>
      <c r="B447" s="19" t="str">
        <f>LEFT(Clean_Data!$A447,4)</f>
        <v>2024</v>
      </c>
      <c r="C447" s="19" t="s">
        <v>156</v>
      </c>
      <c r="D447" s="19" t="str">
        <f>IF(ISNUMBER(SEARCH("Final",Clean_Data!$C447)),"Final",
IF(ISNUMBER(SEARCH("Semi",Clean_Data!$C447)),"Semi-Final",
IF(ISNUMBER(SEARCH("Elimination",Clean_Data!$C447)),"Eliminator",
"League")))</f>
        <v>League</v>
      </c>
      <c r="E447" s="20" t="s">
        <v>704</v>
      </c>
      <c r="F447" s="19" t="s">
        <v>694</v>
      </c>
      <c r="G447" s="19">
        <v>111</v>
      </c>
      <c r="H447" s="19">
        <v>10</v>
      </c>
      <c r="I447" s="19" t="s">
        <v>113</v>
      </c>
      <c r="J447" s="19">
        <v>113</v>
      </c>
      <c r="K447" s="19">
        <v>3</v>
      </c>
      <c r="L447" s="19" t="s">
        <v>698</v>
      </c>
      <c r="M447" s="19" t="s">
        <v>113</v>
      </c>
      <c r="N447" s="19" t="s">
        <v>26</v>
      </c>
      <c r="O447" s="19" t="s">
        <v>113</v>
      </c>
      <c r="P447" s="19" t="str">
        <f>IF(Clean_Data!$G447&gt;Clean_Data!$J447,Clean_Data!$F447,Clean_Data!$I447)</f>
        <v>Rangpur Riders</v>
      </c>
      <c r="Q447" s="19" t="s">
        <v>469</v>
      </c>
      <c r="R447" s="19" t="s">
        <v>703</v>
      </c>
      <c r="S447" s="19">
        <v>7</v>
      </c>
      <c r="T447" s="19">
        <v>0</v>
      </c>
      <c r="U447" s="19" t="s">
        <v>118</v>
      </c>
      <c r="V447" s="19" t="str">
        <f>IF(Clean_Data!$T447&gt;0,"Runs","Wickets")</f>
        <v>Wickets</v>
      </c>
      <c r="W447" s="19">
        <f>IF(Clean_Data!$T447&gt;0,Clean_Data!$T447,Clean_Data!$S447)</f>
        <v>7</v>
      </c>
      <c r="X447" s="19" t="str">
        <f>IF(Clean_Data!$W447&lt;=10,"Close Match","Normal")</f>
        <v>Close Match</v>
      </c>
      <c r="Y447" s="19">
        <f>Clean_Data!$G447+Clean_Data!$J447</f>
        <v>224</v>
      </c>
      <c r="Z447" s="19" t="str">
        <f>IF(Clean_Data!$Y447&gt;=170,"170+ Match","Below 170")</f>
        <v>170+ Match</v>
      </c>
      <c r="AA447" s="19" t="s">
        <v>695</v>
      </c>
      <c r="AB447" s="21" t="s">
        <v>225</v>
      </c>
    </row>
    <row r="448" spans="1:28" x14ac:dyDescent="0.3">
      <c r="A448" s="16" t="s">
        <v>691</v>
      </c>
      <c r="B448" s="5" t="str">
        <f>LEFT(Clean_Data!$A448,4)</f>
        <v>2024</v>
      </c>
      <c r="C448" s="5" t="s">
        <v>148</v>
      </c>
      <c r="D448" s="5" t="str">
        <f>IF(ISNUMBER(SEARCH("Final",Clean_Data!$C448)),"Final",
IF(ISNUMBER(SEARCH("Semi",Clean_Data!$C448)),"Semi-Final",
IF(ISNUMBER(SEARCH("Elimination",Clean_Data!$C448)),"Eliminator",
"League")))</f>
        <v>League</v>
      </c>
      <c r="E448" s="6" t="s">
        <v>704</v>
      </c>
      <c r="F448" s="5" t="s">
        <v>581</v>
      </c>
      <c r="G448" s="5">
        <v>125</v>
      </c>
      <c r="H448" s="5">
        <v>10</v>
      </c>
      <c r="I448" s="5" t="s">
        <v>310</v>
      </c>
      <c r="J448" s="5">
        <v>126</v>
      </c>
      <c r="K448" s="5">
        <v>3</v>
      </c>
      <c r="L448" s="5" t="s">
        <v>705</v>
      </c>
      <c r="M448" s="5" t="s">
        <v>310</v>
      </c>
      <c r="N448" s="5" t="s">
        <v>26</v>
      </c>
      <c r="O448" s="5" t="s">
        <v>310</v>
      </c>
      <c r="P448" s="5" t="str">
        <f>IF(Clean_Data!$G448&gt;Clean_Data!$J448,Clean_Data!$F448,Clean_Data!$I448)</f>
        <v>Fortune Barishal</v>
      </c>
      <c r="Q448" s="5" t="s">
        <v>469</v>
      </c>
      <c r="R448" s="5" t="s">
        <v>703</v>
      </c>
      <c r="S448" s="5">
        <v>7</v>
      </c>
      <c r="T448" s="5">
        <v>0</v>
      </c>
      <c r="U448" s="5" t="s">
        <v>118</v>
      </c>
      <c r="V448" s="5" t="str">
        <f>IF(Clean_Data!$T448&gt;0,"Runs","Wickets")</f>
        <v>Wickets</v>
      </c>
      <c r="W448" s="5">
        <f>IF(Clean_Data!$T448&gt;0,Clean_Data!$T448,Clean_Data!$S448)</f>
        <v>7</v>
      </c>
      <c r="X448" s="5" t="str">
        <f>IF(Clean_Data!$W448&lt;=10,"Close Match","Normal")</f>
        <v>Close Match</v>
      </c>
      <c r="Y448" s="5">
        <f>Clean_Data!$G448+Clean_Data!$J448</f>
        <v>251</v>
      </c>
      <c r="Z448" s="5" t="str">
        <f>IF(Clean_Data!$Y448&gt;=170,"170+ Match","Below 170")</f>
        <v>170+ Match</v>
      </c>
      <c r="AA448" s="5" t="s">
        <v>639</v>
      </c>
      <c r="AB448" s="17" t="s">
        <v>216</v>
      </c>
    </row>
    <row r="449" spans="1:28" x14ac:dyDescent="0.3">
      <c r="A449" s="18" t="s">
        <v>691</v>
      </c>
      <c r="B449" s="19" t="str">
        <f>LEFT(Clean_Data!$A449,4)</f>
        <v>2024</v>
      </c>
      <c r="C449" s="19" t="s">
        <v>138</v>
      </c>
      <c r="D449" s="19" t="str">
        <f>IF(ISNUMBER(SEARCH("Final",Clean_Data!$C449)),"Final",
IF(ISNUMBER(SEARCH("Semi",Clean_Data!$C449)),"Semi-Final",
IF(ISNUMBER(SEARCH("Elimination",Clean_Data!$C449)),"Eliminator",
"League")))</f>
        <v>League</v>
      </c>
      <c r="E449" s="20" t="s">
        <v>706</v>
      </c>
      <c r="F449" s="19" t="s">
        <v>310</v>
      </c>
      <c r="G449" s="19">
        <v>197</v>
      </c>
      <c r="H449" s="19">
        <v>5</v>
      </c>
      <c r="I449" s="19" t="s">
        <v>113</v>
      </c>
      <c r="J449" s="19">
        <v>202</v>
      </c>
      <c r="K449" s="19">
        <v>7</v>
      </c>
      <c r="L449" s="19" t="s">
        <v>618</v>
      </c>
      <c r="M449" s="19" t="s">
        <v>113</v>
      </c>
      <c r="N449" s="19" t="s">
        <v>26</v>
      </c>
      <c r="O449" s="19" t="s">
        <v>113</v>
      </c>
      <c r="P449" s="19" t="str">
        <f>IF(Clean_Data!$G449&gt;Clean_Data!$J449,Clean_Data!$F449,Clean_Data!$I449)</f>
        <v>Rangpur Riders</v>
      </c>
      <c r="Q449" s="19" t="s">
        <v>469</v>
      </c>
      <c r="R449" s="19" t="s">
        <v>703</v>
      </c>
      <c r="S449" s="19">
        <v>3</v>
      </c>
      <c r="T449" s="19">
        <v>0</v>
      </c>
      <c r="U449" s="19" t="s">
        <v>49</v>
      </c>
      <c r="V449" s="19" t="str">
        <f>IF(Clean_Data!$T449&gt;0,"Runs","Wickets")</f>
        <v>Wickets</v>
      </c>
      <c r="W449" s="19">
        <f>IF(Clean_Data!$T449&gt;0,Clean_Data!$T449,Clean_Data!$S449)</f>
        <v>3</v>
      </c>
      <c r="X449" s="19" t="str">
        <f>IF(Clean_Data!$W449&lt;=10,"Close Match","Normal")</f>
        <v>Close Match</v>
      </c>
      <c r="Y449" s="19">
        <f>Clean_Data!$G449+Clean_Data!$J449</f>
        <v>399</v>
      </c>
      <c r="Z449" s="19" t="str">
        <f>IF(Clean_Data!$Y449&gt;=170,"170+ Match","Below 170")</f>
        <v>170+ Match</v>
      </c>
      <c r="AA449" s="19" t="s">
        <v>593</v>
      </c>
      <c r="AB449" s="21" t="s">
        <v>639</v>
      </c>
    </row>
    <row r="450" spans="1:28" x14ac:dyDescent="0.3">
      <c r="A450" s="16" t="s">
        <v>691</v>
      </c>
      <c r="B450" s="5" t="str">
        <f>LEFT(Clean_Data!$A450,4)</f>
        <v>2024</v>
      </c>
      <c r="C450" s="5" t="s">
        <v>132</v>
      </c>
      <c r="D450" s="5" t="str">
        <f>IF(ISNUMBER(SEARCH("Final",Clean_Data!$C450)),"Final",
IF(ISNUMBER(SEARCH("Semi",Clean_Data!$C450)),"Semi-Final",
IF(ISNUMBER(SEARCH("Elimination",Clean_Data!$C450)),"Eliminator",
"League")))</f>
        <v>League</v>
      </c>
      <c r="E450" s="6" t="s">
        <v>706</v>
      </c>
      <c r="F450" s="5" t="s">
        <v>694</v>
      </c>
      <c r="G450" s="5">
        <v>177</v>
      </c>
      <c r="H450" s="5">
        <v>5</v>
      </c>
      <c r="I450" s="5" t="s">
        <v>53</v>
      </c>
      <c r="J450" s="5">
        <v>180</v>
      </c>
      <c r="K450" s="5">
        <v>3</v>
      </c>
      <c r="L450" s="5" t="s">
        <v>642</v>
      </c>
      <c r="M450" s="5" t="s">
        <v>53</v>
      </c>
      <c r="N450" s="5" t="s">
        <v>26</v>
      </c>
      <c r="O450" s="5" t="s">
        <v>53</v>
      </c>
      <c r="P450" s="5" t="str">
        <f>IF(Clean_Data!$G450&gt;Clean_Data!$J450,Clean_Data!$F450,Clean_Data!$I450)</f>
        <v>Chittagong Kings</v>
      </c>
      <c r="Q450" s="5" t="s">
        <v>469</v>
      </c>
      <c r="R450" s="5" t="s">
        <v>703</v>
      </c>
      <c r="S450" s="5">
        <v>7</v>
      </c>
      <c r="T450" s="5">
        <v>0</v>
      </c>
      <c r="U450" s="5" t="s">
        <v>118</v>
      </c>
      <c r="V450" s="5" t="str">
        <f>IF(Clean_Data!$T450&gt;0,"Runs","Wickets")</f>
        <v>Wickets</v>
      </c>
      <c r="W450" s="5">
        <f>IF(Clean_Data!$T450&gt;0,Clean_Data!$T450,Clean_Data!$S450)</f>
        <v>7</v>
      </c>
      <c r="X450" s="5" t="str">
        <f>IF(Clean_Data!$W450&lt;=10,"Close Match","Normal")</f>
        <v>Close Match</v>
      </c>
      <c r="Y450" s="5">
        <f>Clean_Data!$G450+Clean_Data!$J450</f>
        <v>357</v>
      </c>
      <c r="Z450" s="5" t="str">
        <f>IF(Clean_Data!$Y450&gt;=170,"170+ Match","Below 170")</f>
        <v>170+ Match</v>
      </c>
      <c r="AA450" s="5" t="s">
        <v>56</v>
      </c>
      <c r="AB450" s="17" t="s">
        <v>216</v>
      </c>
    </row>
    <row r="451" spans="1:28" x14ac:dyDescent="0.3">
      <c r="A451" s="18" t="s">
        <v>691</v>
      </c>
      <c r="B451" s="19" t="str">
        <f>LEFT(Clean_Data!$A451,4)</f>
        <v>2024</v>
      </c>
      <c r="C451" s="19" t="s">
        <v>126</v>
      </c>
      <c r="D451" s="19" t="str">
        <f>IF(ISNUMBER(SEARCH("Final",Clean_Data!$C451)),"Final",
IF(ISNUMBER(SEARCH("Semi",Clean_Data!$C451)),"Semi-Final",
IF(ISNUMBER(SEARCH("Elimination",Clean_Data!$C451)),"Eliminator",
"League")))</f>
        <v>League</v>
      </c>
      <c r="E451" s="20" t="s">
        <v>707</v>
      </c>
      <c r="F451" s="19" t="s">
        <v>693</v>
      </c>
      <c r="G451" s="19">
        <v>178</v>
      </c>
      <c r="H451" s="19">
        <v>5</v>
      </c>
      <c r="I451" s="19" t="s">
        <v>277</v>
      </c>
      <c r="J451" s="19">
        <v>150</v>
      </c>
      <c r="K451" s="19">
        <v>10</v>
      </c>
      <c r="L451" s="19" t="s">
        <v>708</v>
      </c>
      <c r="M451" s="19" t="s">
        <v>277</v>
      </c>
      <c r="N451" s="19" t="s">
        <v>26</v>
      </c>
      <c r="O451" s="19" t="s">
        <v>693</v>
      </c>
      <c r="P451" s="19" t="str">
        <f>IF(Clean_Data!$G451&gt;Clean_Data!$J451,Clean_Data!$F451,Clean_Data!$I451)</f>
        <v>Durbar Rajshahi</v>
      </c>
      <c r="Q451" s="19" t="s">
        <v>469</v>
      </c>
      <c r="R451" s="19" t="s">
        <v>703</v>
      </c>
      <c r="S451" s="19">
        <v>0</v>
      </c>
      <c r="T451" s="19">
        <v>28</v>
      </c>
      <c r="U451" s="19" t="s">
        <v>648</v>
      </c>
      <c r="V451" s="19" t="str">
        <f>IF(Clean_Data!$T451&gt;0,"Runs","Wickets")</f>
        <v>Runs</v>
      </c>
      <c r="W451" s="19">
        <f>IF(Clean_Data!$T451&gt;0,Clean_Data!$T451,Clean_Data!$S451)</f>
        <v>28</v>
      </c>
      <c r="X451" s="19" t="str">
        <f>IF(Clean_Data!$W451&lt;=10,"Close Match","Normal")</f>
        <v>Normal</v>
      </c>
      <c r="Y451" s="19">
        <f>Clean_Data!$G451+Clean_Data!$J451</f>
        <v>328</v>
      </c>
      <c r="Z451" s="19" t="str">
        <f>IF(Clean_Data!$Y451&gt;=170,"170+ Match","Below 170")</f>
        <v>170+ Match</v>
      </c>
      <c r="AA451" s="19" t="s">
        <v>695</v>
      </c>
      <c r="AB451" s="21" t="s">
        <v>225</v>
      </c>
    </row>
    <row r="452" spans="1:28" x14ac:dyDescent="0.3">
      <c r="A452" s="16" t="s">
        <v>691</v>
      </c>
      <c r="B452" s="5" t="str">
        <f>LEFT(Clean_Data!$A452,4)</f>
        <v>2024</v>
      </c>
      <c r="C452" s="5" t="s">
        <v>123</v>
      </c>
      <c r="D452" s="5" t="str">
        <f>IF(ISNUMBER(SEARCH("Final",Clean_Data!$C452)),"Final",
IF(ISNUMBER(SEARCH("Semi",Clean_Data!$C452)),"Semi-Final",
IF(ISNUMBER(SEARCH("Elimination",Clean_Data!$C452)),"Eliminator",
"League")))</f>
        <v>League</v>
      </c>
      <c r="E452" s="6" t="s">
        <v>707</v>
      </c>
      <c r="F452" s="5" t="s">
        <v>694</v>
      </c>
      <c r="G452" s="5">
        <v>193</v>
      </c>
      <c r="H452" s="5">
        <v>6</v>
      </c>
      <c r="I452" s="5" t="s">
        <v>581</v>
      </c>
      <c r="J452" s="5">
        <v>195</v>
      </c>
      <c r="K452" s="5">
        <v>7</v>
      </c>
      <c r="L452" s="5" t="s">
        <v>462</v>
      </c>
      <c r="M452" s="5" t="s">
        <v>694</v>
      </c>
      <c r="N452" s="5" t="s">
        <v>37</v>
      </c>
      <c r="O452" s="5" t="s">
        <v>581</v>
      </c>
      <c r="P452" s="5" t="str">
        <f>IF(Clean_Data!$G452&gt;Clean_Data!$J452,Clean_Data!$F452,Clean_Data!$I452)</f>
        <v>Sylhet Strikers</v>
      </c>
      <c r="Q452" s="5" t="s">
        <v>469</v>
      </c>
      <c r="R452" s="5" t="s">
        <v>703</v>
      </c>
      <c r="S452" s="5">
        <v>3</v>
      </c>
      <c r="T452" s="5">
        <v>0</v>
      </c>
      <c r="U452" s="5" t="s">
        <v>49</v>
      </c>
      <c r="V452" s="5" t="str">
        <f>IF(Clean_Data!$T452&gt;0,"Runs","Wickets")</f>
        <v>Wickets</v>
      </c>
      <c r="W452" s="5">
        <f>IF(Clean_Data!$T452&gt;0,Clean_Data!$T452,Clean_Data!$S452)</f>
        <v>3</v>
      </c>
      <c r="X452" s="5" t="str">
        <f>IF(Clean_Data!$W452&lt;=10,"Close Match","Normal")</f>
        <v>Close Match</v>
      </c>
      <c r="Y452" s="5">
        <f>Clean_Data!$G452+Clean_Data!$J452</f>
        <v>388</v>
      </c>
      <c r="Z452" s="5" t="str">
        <f>IF(Clean_Data!$Y452&gt;=170,"170+ Match","Below 170")</f>
        <v>170+ Match</v>
      </c>
      <c r="AA452" s="5" t="s">
        <v>639</v>
      </c>
      <c r="AB452" s="17" t="s">
        <v>66</v>
      </c>
    </row>
    <row r="453" spans="1:28" x14ac:dyDescent="0.3">
      <c r="A453" s="18" t="s">
        <v>691</v>
      </c>
      <c r="B453" s="19" t="str">
        <f>LEFT(Clean_Data!$A453,4)</f>
        <v>2024</v>
      </c>
      <c r="C453" s="19" t="s">
        <v>116</v>
      </c>
      <c r="D453" s="19" t="str">
        <f>IF(ISNUMBER(SEARCH("Final",Clean_Data!$C453)),"Final",
IF(ISNUMBER(SEARCH("Semi",Clean_Data!$C453)),"Semi-Final",
IF(ISNUMBER(SEARCH("Elimination",Clean_Data!$C453)),"Eliminator",
"League")))</f>
        <v>League</v>
      </c>
      <c r="E453" s="20" t="s">
        <v>709</v>
      </c>
      <c r="F453" s="19" t="s">
        <v>581</v>
      </c>
      <c r="G453" s="19">
        <v>182</v>
      </c>
      <c r="H453" s="19">
        <v>5</v>
      </c>
      <c r="I453" s="19" t="s">
        <v>277</v>
      </c>
      <c r="J453" s="19">
        <v>174</v>
      </c>
      <c r="K453" s="19">
        <v>9</v>
      </c>
      <c r="L453" s="19" t="s">
        <v>462</v>
      </c>
      <c r="M453" s="19" t="s">
        <v>277</v>
      </c>
      <c r="N453" s="19" t="s">
        <v>26</v>
      </c>
      <c r="O453" s="19" t="s">
        <v>581</v>
      </c>
      <c r="P453" s="19" t="str">
        <f>IF(Clean_Data!$G453&gt;Clean_Data!$J453,Clean_Data!$F453,Clean_Data!$I453)</f>
        <v>Sylhet Strikers</v>
      </c>
      <c r="Q453" s="19" t="s">
        <v>469</v>
      </c>
      <c r="R453" s="19" t="s">
        <v>703</v>
      </c>
      <c r="S453" s="19">
        <v>0</v>
      </c>
      <c r="T453" s="19">
        <v>8</v>
      </c>
      <c r="U453" s="19" t="s">
        <v>218</v>
      </c>
      <c r="V453" s="19" t="str">
        <f>IF(Clean_Data!$T453&gt;0,"Runs","Wickets")</f>
        <v>Runs</v>
      </c>
      <c r="W453" s="19">
        <f>IF(Clean_Data!$T453&gt;0,Clean_Data!$T453,Clean_Data!$S453)</f>
        <v>8</v>
      </c>
      <c r="X453" s="19" t="str">
        <f>IF(Clean_Data!$W453&lt;=10,"Close Match","Normal")</f>
        <v>Close Match</v>
      </c>
      <c r="Y453" s="19">
        <f>Clean_Data!$G453+Clean_Data!$J453</f>
        <v>356</v>
      </c>
      <c r="Z453" s="19" t="str">
        <f>IF(Clean_Data!$Y453&gt;=170,"170+ Match","Below 170")</f>
        <v>170+ Match</v>
      </c>
      <c r="AA453" s="19" t="s">
        <v>695</v>
      </c>
      <c r="AB453" s="21" t="s">
        <v>56</v>
      </c>
    </row>
    <row r="454" spans="1:28" x14ac:dyDescent="0.3">
      <c r="A454" s="16" t="s">
        <v>691</v>
      </c>
      <c r="B454" s="5" t="str">
        <f>LEFT(Clean_Data!$A454,4)</f>
        <v>2024</v>
      </c>
      <c r="C454" s="5" t="s">
        <v>110</v>
      </c>
      <c r="D454" s="5" t="str">
        <f>IF(ISNUMBER(SEARCH("Final",Clean_Data!$C454)),"Final",
IF(ISNUMBER(SEARCH("Semi",Clean_Data!$C454)),"Semi-Final",
IF(ISNUMBER(SEARCH("Elimination",Clean_Data!$C454)),"Eliminator",
"League")))</f>
        <v>League</v>
      </c>
      <c r="E454" s="6" t="s">
        <v>709</v>
      </c>
      <c r="F454" s="5" t="s">
        <v>694</v>
      </c>
      <c r="G454" s="5">
        <v>254</v>
      </c>
      <c r="H454" s="5">
        <v>1</v>
      </c>
      <c r="I454" s="5" t="s">
        <v>693</v>
      </c>
      <c r="J454" s="5">
        <v>105</v>
      </c>
      <c r="K454" s="5">
        <v>10</v>
      </c>
      <c r="L454" s="5" t="s">
        <v>239</v>
      </c>
      <c r="M454" s="5" t="s">
        <v>693</v>
      </c>
      <c r="N454" s="5" t="s">
        <v>26</v>
      </c>
      <c r="O454" s="5" t="s">
        <v>694</v>
      </c>
      <c r="P454" s="5" t="str">
        <f>IF(Clean_Data!$G454&gt;Clean_Data!$J454,Clean_Data!$F454,Clean_Data!$I454)</f>
        <v>Dhaka Capital</v>
      </c>
      <c r="Q454" s="5" t="s">
        <v>469</v>
      </c>
      <c r="R454" s="5" t="s">
        <v>703</v>
      </c>
      <c r="S454" s="5">
        <v>0</v>
      </c>
      <c r="T454" s="5">
        <v>149</v>
      </c>
      <c r="U454" s="5" t="s">
        <v>710</v>
      </c>
      <c r="V454" s="5" t="str">
        <f>IF(Clean_Data!$T454&gt;0,"Runs","Wickets")</f>
        <v>Runs</v>
      </c>
      <c r="W454" s="5">
        <f>IF(Clean_Data!$T454&gt;0,Clean_Data!$T454,Clean_Data!$S454)</f>
        <v>149</v>
      </c>
      <c r="X454" s="5" t="str">
        <f>IF(Clean_Data!$W454&lt;=10,"Close Match","Normal")</f>
        <v>Normal</v>
      </c>
      <c r="Y454" s="5">
        <f>Clean_Data!$G454+Clean_Data!$J454</f>
        <v>359</v>
      </c>
      <c r="Z454" s="5" t="str">
        <f>IF(Clean_Data!$Y454&gt;=170,"170+ Match","Below 170")</f>
        <v>170+ Match</v>
      </c>
      <c r="AA454" s="5" t="s">
        <v>639</v>
      </c>
      <c r="AB454" s="17" t="s">
        <v>216</v>
      </c>
    </row>
    <row r="455" spans="1:28" x14ac:dyDescent="0.3">
      <c r="A455" s="18" t="s">
        <v>691</v>
      </c>
      <c r="B455" s="19" t="str">
        <f>LEFT(Clean_Data!$A455,4)</f>
        <v>2024</v>
      </c>
      <c r="C455" s="19" t="s">
        <v>104</v>
      </c>
      <c r="D455" s="19" t="str">
        <f>IF(ISNUMBER(SEARCH("Final",Clean_Data!$C455)),"Final",
IF(ISNUMBER(SEARCH("Semi",Clean_Data!$C455)),"Semi-Final",
IF(ISNUMBER(SEARCH("Elimination",Clean_Data!$C455)),"Eliminator",
"League")))</f>
        <v>League</v>
      </c>
      <c r="E455" s="20" t="s">
        <v>711</v>
      </c>
      <c r="F455" s="19" t="s">
        <v>53</v>
      </c>
      <c r="G455" s="19">
        <v>203</v>
      </c>
      <c r="H455" s="19">
        <v>6</v>
      </c>
      <c r="I455" s="19" t="s">
        <v>581</v>
      </c>
      <c r="J455" s="19">
        <v>173</v>
      </c>
      <c r="K455" s="19">
        <v>8</v>
      </c>
      <c r="L455" s="19" t="s">
        <v>712</v>
      </c>
      <c r="M455" s="19" t="s">
        <v>581</v>
      </c>
      <c r="N455" s="19" t="s">
        <v>26</v>
      </c>
      <c r="O455" s="19" t="s">
        <v>53</v>
      </c>
      <c r="P455" s="19" t="str">
        <f>IF(Clean_Data!$G455&gt;Clean_Data!$J455,Clean_Data!$F455,Clean_Data!$I455)</f>
        <v>Chittagong Kings</v>
      </c>
      <c r="Q455" s="19" t="s">
        <v>469</v>
      </c>
      <c r="R455" s="19" t="s">
        <v>703</v>
      </c>
      <c r="S455" s="19">
        <v>0</v>
      </c>
      <c r="T455" s="19">
        <v>30</v>
      </c>
      <c r="U455" s="19" t="s">
        <v>452</v>
      </c>
      <c r="V455" s="19" t="str">
        <f>IF(Clean_Data!$T455&gt;0,"Runs","Wickets")</f>
        <v>Runs</v>
      </c>
      <c r="W455" s="19">
        <f>IF(Clean_Data!$T455&gt;0,Clean_Data!$T455,Clean_Data!$S455)</f>
        <v>30</v>
      </c>
      <c r="X455" s="19" t="str">
        <f>IF(Clean_Data!$W455&lt;=10,"Close Match","Normal")</f>
        <v>Normal</v>
      </c>
      <c r="Y455" s="19">
        <f>Clean_Data!$G455+Clean_Data!$J455</f>
        <v>376</v>
      </c>
      <c r="Z455" s="19" t="str">
        <f>IF(Clean_Data!$Y455&gt;=170,"170+ Match","Below 170")</f>
        <v>170+ Match</v>
      </c>
      <c r="AA455" s="19" t="s">
        <v>593</v>
      </c>
      <c r="AB455" s="21" t="s">
        <v>639</v>
      </c>
    </row>
    <row r="456" spans="1:28" x14ac:dyDescent="0.3">
      <c r="A456" s="16" t="s">
        <v>691</v>
      </c>
      <c r="B456" s="5" t="str">
        <f>LEFT(Clean_Data!$A456,4)</f>
        <v>2024</v>
      </c>
      <c r="C456" s="5" t="s">
        <v>95</v>
      </c>
      <c r="D456" s="5" t="str">
        <f>IF(ISNUMBER(SEARCH("Final",Clean_Data!$C456)),"Final",
IF(ISNUMBER(SEARCH("Semi",Clean_Data!$C456)),"Semi-Final",
IF(ISNUMBER(SEARCH("Elimination",Clean_Data!$C456)),"Eliminator",
"League")))</f>
        <v>League</v>
      </c>
      <c r="E456" s="6" t="s">
        <v>711</v>
      </c>
      <c r="F456" s="5" t="s">
        <v>113</v>
      </c>
      <c r="G456" s="5">
        <v>186</v>
      </c>
      <c r="H456" s="5">
        <v>5</v>
      </c>
      <c r="I456" s="5" t="s">
        <v>277</v>
      </c>
      <c r="J456" s="5">
        <v>178</v>
      </c>
      <c r="K456" s="5">
        <v>9</v>
      </c>
      <c r="L456" s="5" t="s">
        <v>713</v>
      </c>
      <c r="M456" s="5" t="s">
        <v>113</v>
      </c>
      <c r="N456" s="5" t="s">
        <v>37</v>
      </c>
      <c r="O456" s="5" t="s">
        <v>113</v>
      </c>
      <c r="P456" s="5" t="str">
        <f>IF(Clean_Data!$G456&gt;Clean_Data!$J456,Clean_Data!$F456,Clean_Data!$I456)</f>
        <v>Rangpur Riders</v>
      </c>
      <c r="Q456" s="5" t="s">
        <v>469</v>
      </c>
      <c r="R456" s="5" t="s">
        <v>703</v>
      </c>
      <c r="S456" s="5">
        <v>0</v>
      </c>
      <c r="T456" s="5">
        <v>8</v>
      </c>
      <c r="U456" s="5" t="s">
        <v>218</v>
      </c>
      <c r="V456" s="5" t="str">
        <f>IF(Clean_Data!$T456&gt;0,"Runs","Wickets")</f>
        <v>Runs</v>
      </c>
      <c r="W456" s="5">
        <f>IF(Clean_Data!$T456&gt;0,Clean_Data!$T456,Clean_Data!$S456)</f>
        <v>8</v>
      </c>
      <c r="X456" s="5" t="str">
        <f>IF(Clean_Data!$W456&lt;=10,"Close Match","Normal")</f>
        <v>Close Match</v>
      </c>
      <c r="Y456" s="5">
        <f>Clean_Data!$G456+Clean_Data!$J456</f>
        <v>364</v>
      </c>
      <c r="Z456" s="5" t="str">
        <f>IF(Clean_Data!$Y456&gt;=170,"170+ Match","Below 170")</f>
        <v>170+ Match</v>
      </c>
      <c r="AA456" s="5" t="s">
        <v>66</v>
      </c>
      <c r="AB456" s="17" t="s">
        <v>695</v>
      </c>
    </row>
    <row r="457" spans="1:28" x14ac:dyDescent="0.3">
      <c r="A457" s="18" t="s">
        <v>691</v>
      </c>
      <c r="B457" s="19" t="str">
        <f>LEFT(Clean_Data!$A457,4)</f>
        <v>2024</v>
      </c>
      <c r="C457" s="19" t="s">
        <v>91</v>
      </c>
      <c r="D457" s="19" t="str">
        <f>IF(ISNUMBER(SEARCH("Final",Clean_Data!$C457)),"Final",
IF(ISNUMBER(SEARCH("Semi",Clean_Data!$C457)),"Semi-Final",
IF(ISNUMBER(SEARCH("Elimination",Clean_Data!$C457)),"Eliminator",
"League")))</f>
        <v>League</v>
      </c>
      <c r="E457" s="20" t="s">
        <v>714</v>
      </c>
      <c r="F457" s="19" t="s">
        <v>694</v>
      </c>
      <c r="G457" s="19">
        <v>139</v>
      </c>
      <c r="H457" s="19">
        <v>10</v>
      </c>
      <c r="I457" s="19" t="s">
        <v>310</v>
      </c>
      <c r="J457" s="19">
        <v>145</v>
      </c>
      <c r="K457" s="19">
        <v>10</v>
      </c>
      <c r="L457" s="19" t="s">
        <v>253</v>
      </c>
      <c r="M457" s="19" t="s">
        <v>694</v>
      </c>
      <c r="N457" s="19" t="s">
        <v>37</v>
      </c>
      <c r="O457" s="19" t="s">
        <v>310</v>
      </c>
      <c r="P457" s="19" t="str">
        <f>IF(Clean_Data!$G457&gt;Clean_Data!$J457,Clean_Data!$F457,Clean_Data!$I457)</f>
        <v>Fortune Barishal</v>
      </c>
      <c r="Q457" s="19" t="s">
        <v>88</v>
      </c>
      <c r="R457" s="19" t="s">
        <v>89</v>
      </c>
      <c r="S457" s="19">
        <v>8</v>
      </c>
      <c r="T457" s="19">
        <v>0</v>
      </c>
      <c r="U457" s="19" t="s">
        <v>30</v>
      </c>
      <c r="V457" s="19" t="str">
        <f>IF(Clean_Data!$T457&gt;0,"Runs","Wickets")</f>
        <v>Wickets</v>
      </c>
      <c r="W457" s="19">
        <f>IF(Clean_Data!$T457&gt;0,Clean_Data!$T457,Clean_Data!$S457)</f>
        <v>8</v>
      </c>
      <c r="X457" s="19" t="str">
        <f>IF(Clean_Data!$W457&lt;=10,"Close Match","Normal")</f>
        <v>Close Match</v>
      </c>
      <c r="Y457" s="19">
        <f>Clean_Data!$G457+Clean_Data!$J457</f>
        <v>284</v>
      </c>
      <c r="Z457" s="19" t="str">
        <f>IF(Clean_Data!$Y457&gt;=170,"170+ Match","Below 170")</f>
        <v>170+ Match</v>
      </c>
      <c r="AA457" s="19" t="s">
        <v>242</v>
      </c>
      <c r="AB457" s="21" t="s">
        <v>639</v>
      </c>
    </row>
    <row r="458" spans="1:28" x14ac:dyDescent="0.3">
      <c r="A458" s="16" t="s">
        <v>691</v>
      </c>
      <c r="B458" s="5" t="str">
        <f>LEFT(Clean_Data!$A458,4)</f>
        <v>2024</v>
      </c>
      <c r="C458" s="5" t="s">
        <v>85</v>
      </c>
      <c r="D458" s="5" t="str">
        <f>IF(ISNUMBER(SEARCH("Final",Clean_Data!$C458)),"Final",
IF(ISNUMBER(SEARCH("Semi",Clean_Data!$C458)),"Semi-Final",
IF(ISNUMBER(SEARCH("Elimination",Clean_Data!$C458)),"Eliminator",
"League")))</f>
        <v>League</v>
      </c>
      <c r="E458" s="6" t="s">
        <v>714</v>
      </c>
      <c r="F458" s="5" t="s">
        <v>53</v>
      </c>
      <c r="G458" s="5">
        <v>200</v>
      </c>
      <c r="H458" s="5">
        <v>7</v>
      </c>
      <c r="I458" s="5" t="s">
        <v>277</v>
      </c>
      <c r="J458" s="5">
        <v>155</v>
      </c>
      <c r="K458" s="5">
        <v>9</v>
      </c>
      <c r="L458" s="5" t="s">
        <v>712</v>
      </c>
      <c r="M458" s="5" t="s">
        <v>277</v>
      </c>
      <c r="N458" s="5" t="s">
        <v>26</v>
      </c>
      <c r="O458" s="5" t="s">
        <v>53</v>
      </c>
      <c r="P458" s="5" t="str">
        <f>IF(Clean_Data!$G458&gt;Clean_Data!$J458,Clean_Data!$F458,Clean_Data!$I458)</f>
        <v>Chittagong Kings</v>
      </c>
      <c r="Q458" s="5" t="s">
        <v>88</v>
      </c>
      <c r="R458" s="5" t="s">
        <v>89</v>
      </c>
      <c r="S458" s="5">
        <v>0</v>
      </c>
      <c r="T458" s="5">
        <v>45</v>
      </c>
      <c r="U458" s="5" t="s">
        <v>194</v>
      </c>
      <c r="V458" s="5" t="str">
        <f>IF(Clean_Data!$T458&gt;0,"Runs","Wickets")</f>
        <v>Runs</v>
      </c>
      <c r="W458" s="5">
        <f>IF(Clean_Data!$T458&gt;0,Clean_Data!$T458,Clean_Data!$S458)</f>
        <v>45</v>
      </c>
      <c r="X458" s="5" t="str">
        <f>IF(Clean_Data!$W458&lt;=10,"Close Match","Normal")</f>
        <v>Normal</v>
      </c>
      <c r="Y458" s="5">
        <f>Clean_Data!$G458+Clean_Data!$J458</f>
        <v>355</v>
      </c>
      <c r="Z458" s="5" t="str">
        <f>IF(Clean_Data!$Y458&gt;=170,"170+ Match","Below 170")</f>
        <v>170+ Match</v>
      </c>
      <c r="AA458" s="5" t="s">
        <v>44</v>
      </c>
      <c r="AB458" s="17" t="s">
        <v>50</v>
      </c>
    </row>
    <row r="459" spans="1:28" x14ac:dyDescent="0.3">
      <c r="A459" s="18" t="s">
        <v>691</v>
      </c>
      <c r="B459" s="19" t="str">
        <f>LEFT(Clean_Data!$A459,4)</f>
        <v>2024</v>
      </c>
      <c r="C459" s="19" t="s">
        <v>78</v>
      </c>
      <c r="D459" s="19" t="str">
        <f>IF(ISNUMBER(SEARCH("Final",Clean_Data!$C459)),"Final",
IF(ISNUMBER(SEARCH("Semi",Clean_Data!$C459)),"Semi-Final",
IF(ISNUMBER(SEARCH("Elimination",Clean_Data!$C459)),"Eliminator",
"League")))</f>
        <v>League</v>
      </c>
      <c r="E459" s="20" t="s">
        <v>715</v>
      </c>
      <c r="F459" s="19" t="s">
        <v>693</v>
      </c>
      <c r="G459" s="19">
        <v>184</v>
      </c>
      <c r="H459" s="19">
        <v>7</v>
      </c>
      <c r="I459" s="19" t="s">
        <v>581</v>
      </c>
      <c r="J459" s="19">
        <v>119</v>
      </c>
      <c r="K459" s="19">
        <v>10</v>
      </c>
      <c r="L459" s="19" t="s">
        <v>716</v>
      </c>
      <c r="M459" s="19" t="s">
        <v>693</v>
      </c>
      <c r="N459" s="19" t="s">
        <v>37</v>
      </c>
      <c r="O459" s="19" t="s">
        <v>693</v>
      </c>
      <c r="P459" s="19" t="str">
        <f>IF(Clean_Data!$G459&gt;Clean_Data!$J459,Clean_Data!$F459,Clean_Data!$I459)</f>
        <v>Durbar Rajshahi</v>
      </c>
      <c r="Q459" s="19" t="s">
        <v>88</v>
      </c>
      <c r="R459" s="19" t="s">
        <v>89</v>
      </c>
      <c r="S459" s="19">
        <v>0</v>
      </c>
      <c r="T459" s="19">
        <v>65</v>
      </c>
      <c r="U459" s="19" t="s">
        <v>474</v>
      </c>
      <c r="V459" s="19" t="str">
        <f>IF(Clean_Data!$T459&gt;0,"Runs","Wickets")</f>
        <v>Runs</v>
      </c>
      <c r="W459" s="19">
        <f>IF(Clean_Data!$T459&gt;0,Clean_Data!$T459,Clean_Data!$S459)</f>
        <v>65</v>
      </c>
      <c r="X459" s="19" t="str">
        <f>IF(Clean_Data!$W459&lt;=10,"Close Match","Normal")</f>
        <v>Normal</v>
      </c>
      <c r="Y459" s="19">
        <f>Clean_Data!$G459+Clean_Data!$J459</f>
        <v>303</v>
      </c>
      <c r="Z459" s="19" t="str">
        <f>IF(Clean_Data!$Y459&gt;=170,"170+ Match","Below 170")</f>
        <v>170+ Match</v>
      </c>
      <c r="AA459" s="19" t="s">
        <v>593</v>
      </c>
      <c r="AB459" s="21" t="s">
        <v>695</v>
      </c>
    </row>
    <row r="460" spans="1:28" x14ac:dyDescent="0.3">
      <c r="A460" s="16" t="s">
        <v>691</v>
      </c>
      <c r="B460" s="5" t="str">
        <f>LEFT(Clean_Data!$A460,4)</f>
        <v>2024</v>
      </c>
      <c r="C460" s="5" t="s">
        <v>68</v>
      </c>
      <c r="D460" s="5" t="str">
        <f>IF(ISNUMBER(SEARCH("Final",Clean_Data!$C460)),"Final",
IF(ISNUMBER(SEARCH("Semi",Clean_Data!$C460)),"Semi-Final",
IF(ISNUMBER(SEARCH("Elimination",Clean_Data!$C460)),"Eliminator",
"League")))</f>
        <v>League</v>
      </c>
      <c r="E460" s="6" t="s">
        <v>715</v>
      </c>
      <c r="F460" s="5" t="s">
        <v>113</v>
      </c>
      <c r="G460" s="5">
        <v>164</v>
      </c>
      <c r="H460" s="5">
        <v>7</v>
      </c>
      <c r="I460" s="5" t="s">
        <v>53</v>
      </c>
      <c r="J460" s="5">
        <v>131</v>
      </c>
      <c r="K460" s="5">
        <v>8</v>
      </c>
      <c r="L460" s="5" t="s">
        <v>600</v>
      </c>
      <c r="M460" s="5" t="s">
        <v>53</v>
      </c>
      <c r="N460" s="5" t="s">
        <v>26</v>
      </c>
      <c r="O460" s="5" t="s">
        <v>113</v>
      </c>
      <c r="P460" s="5" t="str">
        <f>IF(Clean_Data!$G460&gt;Clean_Data!$J460,Clean_Data!$F460,Clean_Data!$I460)</f>
        <v>Rangpur Riders</v>
      </c>
      <c r="Q460" s="5" t="s">
        <v>88</v>
      </c>
      <c r="R460" s="5" t="s">
        <v>89</v>
      </c>
      <c r="S460" s="5">
        <v>0</v>
      </c>
      <c r="T460" s="5">
        <v>33</v>
      </c>
      <c r="U460" s="5" t="s">
        <v>131</v>
      </c>
      <c r="V460" s="5" t="str">
        <f>IF(Clean_Data!$T460&gt;0,"Runs","Wickets")</f>
        <v>Runs</v>
      </c>
      <c r="W460" s="5">
        <f>IF(Clean_Data!$T460&gt;0,Clean_Data!$T460,Clean_Data!$S460)</f>
        <v>33</v>
      </c>
      <c r="X460" s="5" t="str">
        <f>IF(Clean_Data!$W460&lt;=10,"Close Match","Normal")</f>
        <v>Normal</v>
      </c>
      <c r="Y460" s="5">
        <f>Clean_Data!$G460+Clean_Data!$J460</f>
        <v>295</v>
      </c>
      <c r="Z460" s="5" t="str">
        <f>IF(Clean_Data!$Y460&gt;=170,"170+ Match","Below 170")</f>
        <v>170+ Match</v>
      </c>
      <c r="AA460" s="5" t="s">
        <v>66</v>
      </c>
      <c r="AB460" s="17" t="s">
        <v>44</v>
      </c>
    </row>
    <row r="461" spans="1:28" x14ac:dyDescent="0.3">
      <c r="A461" s="18" t="s">
        <v>691</v>
      </c>
      <c r="B461" s="19" t="str">
        <f>LEFT(Clean_Data!$A461,4)</f>
        <v>2024</v>
      </c>
      <c r="C461" s="19" t="s">
        <v>67</v>
      </c>
      <c r="D461" s="19" t="str">
        <f>IF(ISNUMBER(SEARCH("Final",Clean_Data!$C461)),"Final",
IF(ISNUMBER(SEARCH("Semi",Clean_Data!$C461)),"Semi-Final",
IF(ISNUMBER(SEARCH("Elimination",Clean_Data!$C461)),"Eliminator",
"League")))</f>
        <v>League</v>
      </c>
      <c r="E461" s="20" t="s">
        <v>717</v>
      </c>
      <c r="F461" s="19" t="s">
        <v>53</v>
      </c>
      <c r="G461" s="19">
        <v>121</v>
      </c>
      <c r="H461" s="19">
        <v>8</v>
      </c>
      <c r="I461" s="19" t="s">
        <v>310</v>
      </c>
      <c r="J461" s="19">
        <v>122</v>
      </c>
      <c r="K461" s="19">
        <v>4</v>
      </c>
      <c r="L461" s="19" t="s">
        <v>429</v>
      </c>
      <c r="M461" s="19" t="s">
        <v>310</v>
      </c>
      <c r="N461" s="19" t="s">
        <v>26</v>
      </c>
      <c r="O461" s="19" t="s">
        <v>310</v>
      </c>
      <c r="P461" s="19" t="str">
        <f>IF(Clean_Data!$G461&gt;Clean_Data!$J461,Clean_Data!$F461,Clean_Data!$I461)</f>
        <v>Fortune Barishal</v>
      </c>
      <c r="Q461" s="19" t="s">
        <v>88</v>
      </c>
      <c r="R461" s="19" t="s">
        <v>89</v>
      </c>
      <c r="S461" s="19">
        <v>6</v>
      </c>
      <c r="T461" s="19">
        <v>0</v>
      </c>
      <c r="U461" s="19" t="s">
        <v>151</v>
      </c>
      <c r="V461" s="19" t="str">
        <f>IF(Clean_Data!$T461&gt;0,"Runs","Wickets")</f>
        <v>Wickets</v>
      </c>
      <c r="W461" s="19">
        <f>IF(Clean_Data!$T461&gt;0,Clean_Data!$T461,Clean_Data!$S461)</f>
        <v>6</v>
      </c>
      <c r="X461" s="19" t="str">
        <f>IF(Clean_Data!$W461&lt;=10,"Close Match","Normal")</f>
        <v>Close Match</v>
      </c>
      <c r="Y461" s="19">
        <f>Clean_Data!$G461+Clean_Data!$J461</f>
        <v>243</v>
      </c>
      <c r="Z461" s="19" t="str">
        <f>IF(Clean_Data!$Y461&gt;=170,"170+ Match","Below 170")</f>
        <v>170+ Match</v>
      </c>
      <c r="AA461" s="19" t="s">
        <v>44</v>
      </c>
      <c r="AB461" s="21" t="s">
        <v>225</v>
      </c>
    </row>
    <row r="462" spans="1:28" x14ac:dyDescent="0.3">
      <c r="A462" s="16" t="s">
        <v>691</v>
      </c>
      <c r="B462" s="5" t="str">
        <f>LEFT(Clean_Data!$A462,4)</f>
        <v>2024</v>
      </c>
      <c r="C462" s="5" t="s">
        <v>60</v>
      </c>
      <c r="D462" s="5" t="str">
        <f>IF(ISNUMBER(SEARCH("Final",Clean_Data!$C462)),"Final",
IF(ISNUMBER(SEARCH("Semi",Clean_Data!$C462)),"Semi-Final",
IF(ISNUMBER(SEARCH("Elimination",Clean_Data!$C462)),"Eliminator",
"League")))</f>
        <v>League</v>
      </c>
      <c r="E462" s="6" t="s">
        <v>717</v>
      </c>
      <c r="F462" s="5" t="s">
        <v>277</v>
      </c>
      <c r="G462" s="5">
        <v>209</v>
      </c>
      <c r="H462" s="5">
        <v>4</v>
      </c>
      <c r="I462" s="5" t="s">
        <v>693</v>
      </c>
      <c r="J462" s="5">
        <v>202</v>
      </c>
      <c r="K462" s="5">
        <v>4</v>
      </c>
      <c r="L462" s="5" t="s">
        <v>520</v>
      </c>
      <c r="M462" s="5" t="s">
        <v>277</v>
      </c>
      <c r="N462" s="5" t="s">
        <v>37</v>
      </c>
      <c r="O462" s="5" t="s">
        <v>277</v>
      </c>
      <c r="P462" s="5" t="str">
        <f>IF(Clean_Data!$G462&gt;Clean_Data!$J462,Clean_Data!$F462,Clean_Data!$I462)</f>
        <v>Khulna Tigers</v>
      </c>
      <c r="Q462" s="5" t="s">
        <v>88</v>
      </c>
      <c r="R462" s="5" t="s">
        <v>89</v>
      </c>
      <c r="S462" s="5">
        <v>0</v>
      </c>
      <c r="T462" s="5">
        <v>7</v>
      </c>
      <c r="U462" s="5" t="s">
        <v>364</v>
      </c>
      <c r="V462" s="5" t="str">
        <f>IF(Clean_Data!$T462&gt;0,"Runs","Wickets")</f>
        <v>Runs</v>
      </c>
      <c r="W462" s="5">
        <f>IF(Clean_Data!$T462&gt;0,Clean_Data!$T462,Clean_Data!$S462)</f>
        <v>7</v>
      </c>
      <c r="X462" s="5" t="str">
        <f>IF(Clean_Data!$W462&lt;=10,"Close Match","Normal")</f>
        <v>Close Match</v>
      </c>
      <c r="Y462" s="5">
        <f>Clean_Data!$G462+Clean_Data!$J462</f>
        <v>411</v>
      </c>
      <c r="Z462" s="5" t="str">
        <f>IF(Clean_Data!$Y462&gt;=170,"170+ Match","Below 170")</f>
        <v>170+ Match</v>
      </c>
      <c r="AA462" s="5" t="s">
        <v>639</v>
      </c>
      <c r="AB462" s="17" t="s">
        <v>56</v>
      </c>
    </row>
    <row r="463" spans="1:28" x14ac:dyDescent="0.3">
      <c r="A463" s="18" t="s">
        <v>691</v>
      </c>
      <c r="B463" s="19" t="str">
        <f>LEFT(Clean_Data!$A463,4)</f>
        <v>2024</v>
      </c>
      <c r="C463" s="19" t="s">
        <v>58</v>
      </c>
      <c r="D463" s="19" t="str">
        <f>IF(ISNUMBER(SEARCH("Final",Clean_Data!$C463)),"Final",
IF(ISNUMBER(SEARCH("Semi",Clean_Data!$C463)),"Semi-Final",
IF(ISNUMBER(SEARCH("Elimination",Clean_Data!$C463)),"Eliminator",
"League")))</f>
        <v>League</v>
      </c>
      <c r="E463" s="20" t="s">
        <v>718</v>
      </c>
      <c r="F463" s="19" t="s">
        <v>694</v>
      </c>
      <c r="G463" s="19">
        <v>196</v>
      </c>
      <c r="H463" s="19">
        <v>6</v>
      </c>
      <c r="I463" s="19" t="s">
        <v>581</v>
      </c>
      <c r="J463" s="19">
        <v>190</v>
      </c>
      <c r="K463" s="19">
        <v>7</v>
      </c>
      <c r="L463" s="19" t="s">
        <v>434</v>
      </c>
      <c r="M463" s="19" t="s">
        <v>694</v>
      </c>
      <c r="N463" s="19" t="s">
        <v>37</v>
      </c>
      <c r="O463" s="19" t="s">
        <v>694</v>
      </c>
      <c r="P463" s="19" t="str">
        <f>IF(Clean_Data!$G463&gt;Clean_Data!$J463,Clean_Data!$F463,Clean_Data!$I463)</f>
        <v>Dhaka Capital</v>
      </c>
      <c r="Q463" s="19" t="s">
        <v>88</v>
      </c>
      <c r="R463" s="19" t="s">
        <v>89</v>
      </c>
      <c r="S463" s="19">
        <v>0</v>
      </c>
      <c r="T463" s="19">
        <v>6</v>
      </c>
      <c r="U463" s="19" t="s">
        <v>315</v>
      </c>
      <c r="V463" s="19" t="str">
        <f>IF(Clean_Data!$T463&gt;0,"Runs","Wickets")</f>
        <v>Runs</v>
      </c>
      <c r="W463" s="19">
        <f>IF(Clean_Data!$T463&gt;0,Clean_Data!$T463,Clean_Data!$S463)</f>
        <v>6</v>
      </c>
      <c r="X463" s="19" t="str">
        <f>IF(Clean_Data!$W463&lt;=10,"Close Match","Normal")</f>
        <v>Close Match</v>
      </c>
      <c r="Y463" s="19">
        <f>Clean_Data!$G463+Clean_Data!$J463</f>
        <v>386</v>
      </c>
      <c r="Z463" s="19" t="str">
        <f>IF(Clean_Data!$Y463&gt;=170,"170+ Match","Below 170")</f>
        <v>170+ Match</v>
      </c>
      <c r="AA463" s="19" t="s">
        <v>606</v>
      </c>
      <c r="AB463" s="21" t="s">
        <v>216</v>
      </c>
    </row>
    <row r="464" spans="1:28" x14ac:dyDescent="0.3">
      <c r="A464" s="16" t="s">
        <v>691</v>
      </c>
      <c r="B464" s="5" t="str">
        <f>LEFT(Clean_Data!$A464,4)</f>
        <v>2024</v>
      </c>
      <c r="C464" s="5" t="s">
        <v>51</v>
      </c>
      <c r="D464" s="5" t="str">
        <f>IF(ISNUMBER(SEARCH("Final",Clean_Data!$C464)),"Final",
IF(ISNUMBER(SEARCH("Semi",Clean_Data!$C464)),"Semi-Final",
IF(ISNUMBER(SEARCH("Elimination",Clean_Data!$C464)),"Eliminator",
"League")))</f>
        <v>League</v>
      </c>
      <c r="E464" s="6" t="s">
        <v>718</v>
      </c>
      <c r="F464" s="5" t="s">
        <v>53</v>
      </c>
      <c r="G464" s="5">
        <v>191</v>
      </c>
      <c r="H464" s="5">
        <v>8</v>
      </c>
      <c r="I464" s="5" t="s">
        <v>693</v>
      </c>
      <c r="J464" s="5">
        <v>80</v>
      </c>
      <c r="K464" s="5">
        <v>10</v>
      </c>
      <c r="L464" s="5" t="s">
        <v>344</v>
      </c>
      <c r="M464" s="5" t="s">
        <v>693</v>
      </c>
      <c r="N464" s="5" t="s">
        <v>26</v>
      </c>
      <c r="O464" s="5" t="s">
        <v>53</v>
      </c>
      <c r="P464" s="5" t="str">
        <f>IF(Clean_Data!$G464&gt;Clean_Data!$J464,Clean_Data!$F464,Clean_Data!$I464)</f>
        <v>Chittagong Kings</v>
      </c>
      <c r="Q464" s="5" t="s">
        <v>88</v>
      </c>
      <c r="R464" s="5" t="s">
        <v>89</v>
      </c>
      <c r="S464" s="5">
        <v>0</v>
      </c>
      <c r="T464" s="5">
        <v>111</v>
      </c>
      <c r="U464" s="5" t="s">
        <v>719</v>
      </c>
      <c r="V464" s="5" t="str">
        <f>IF(Clean_Data!$T464&gt;0,"Runs","Wickets")</f>
        <v>Runs</v>
      </c>
      <c r="W464" s="5">
        <f>IF(Clean_Data!$T464&gt;0,Clean_Data!$T464,Clean_Data!$S464)</f>
        <v>111</v>
      </c>
      <c r="X464" s="5" t="str">
        <f>IF(Clean_Data!$W464&lt;=10,"Close Match","Normal")</f>
        <v>Normal</v>
      </c>
      <c r="Y464" s="5">
        <f>Clean_Data!$G464+Clean_Data!$J464</f>
        <v>271</v>
      </c>
      <c r="Z464" s="5" t="str">
        <f>IF(Clean_Data!$Y464&gt;=170,"170+ Match","Below 170")</f>
        <v>170+ Match</v>
      </c>
      <c r="AA464" s="5" t="s">
        <v>66</v>
      </c>
      <c r="AB464" s="17" t="s">
        <v>56</v>
      </c>
    </row>
    <row r="465" spans="1:28" x14ac:dyDescent="0.3">
      <c r="A465" s="18" t="s">
        <v>691</v>
      </c>
      <c r="B465" s="19" t="str">
        <f>LEFT(Clean_Data!$A465,4)</f>
        <v>2024</v>
      </c>
      <c r="C465" s="19" t="s">
        <v>45</v>
      </c>
      <c r="D465" s="19" t="str">
        <f>IF(ISNUMBER(SEARCH("Final",Clean_Data!$C465)),"Final",
IF(ISNUMBER(SEARCH("Semi",Clean_Data!$C465)),"Semi-Final",
IF(ISNUMBER(SEARCH("Elimination",Clean_Data!$C465)),"Eliminator",
"League")))</f>
        <v>League</v>
      </c>
      <c r="E465" s="20" t="s">
        <v>720</v>
      </c>
      <c r="F465" s="19" t="s">
        <v>53</v>
      </c>
      <c r="G465" s="19">
        <v>148</v>
      </c>
      <c r="H465" s="19">
        <v>6</v>
      </c>
      <c r="I465" s="19" t="s">
        <v>694</v>
      </c>
      <c r="J465" s="19">
        <v>149</v>
      </c>
      <c r="K465" s="19">
        <v>2</v>
      </c>
      <c r="L465" s="19" t="s">
        <v>679</v>
      </c>
      <c r="M465" s="19" t="s">
        <v>53</v>
      </c>
      <c r="N465" s="19" t="s">
        <v>37</v>
      </c>
      <c r="O465" s="19" t="s">
        <v>694</v>
      </c>
      <c r="P465" s="19" t="str">
        <f>IF(Clean_Data!$G465&gt;Clean_Data!$J465,Clean_Data!$F465,Clean_Data!$I465)</f>
        <v>Dhaka Capital</v>
      </c>
      <c r="Q465" s="19" t="s">
        <v>88</v>
      </c>
      <c r="R465" s="19" t="s">
        <v>89</v>
      </c>
      <c r="S465" s="19">
        <v>8</v>
      </c>
      <c r="T465" s="19">
        <v>0</v>
      </c>
      <c r="U465" s="19" t="s">
        <v>30</v>
      </c>
      <c r="V465" s="19" t="str">
        <f>IF(Clean_Data!$T465&gt;0,"Runs","Wickets")</f>
        <v>Wickets</v>
      </c>
      <c r="W465" s="19">
        <f>IF(Clean_Data!$T465&gt;0,Clean_Data!$T465,Clean_Data!$S465)</f>
        <v>8</v>
      </c>
      <c r="X465" s="19" t="str">
        <f>IF(Clean_Data!$W465&lt;=10,"Close Match","Normal")</f>
        <v>Close Match</v>
      </c>
      <c r="Y465" s="19">
        <f>Clean_Data!$G465+Clean_Data!$J465</f>
        <v>297</v>
      </c>
      <c r="Z465" s="19" t="str">
        <f>IF(Clean_Data!$Y465&gt;=170,"170+ Match","Below 170")</f>
        <v>170+ Match</v>
      </c>
      <c r="AA465" s="19" t="s">
        <v>606</v>
      </c>
      <c r="AB465" s="21" t="s">
        <v>56</v>
      </c>
    </row>
    <row r="466" spans="1:28" x14ac:dyDescent="0.3">
      <c r="A466" s="16" t="s">
        <v>691</v>
      </c>
      <c r="B466" s="5" t="str">
        <f>LEFT(Clean_Data!$A466,4)</f>
        <v>2024</v>
      </c>
      <c r="C466" s="5" t="s">
        <v>336</v>
      </c>
      <c r="D466" s="5" t="str">
        <f>IF(ISNUMBER(SEARCH("Final",Clean_Data!$C466)),"Final",
IF(ISNUMBER(SEARCH("Semi",Clean_Data!$C466)),"Semi-Final",
IF(ISNUMBER(SEARCH("Elimination",Clean_Data!$C466)),"Eliminator",
"League")))</f>
        <v>League</v>
      </c>
      <c r="E466" s="6" t="s">
        <v>720</v>
      </c>
      <c r="F466" s="5" t="s">
        <v>310</v>
      </c>
      <c r="G466" s="5">
        <v>167</v>
      </c>
      <c r="H466" s="5">
        <v>9</v>
      </c>
      <c r="I466" s="5" t="s">
        <v>277</v>
      </c>
      <c r="J466" s="5">
        <v>160</v>
      </c>
      <c r="K466" s="5">
        <v>6</v>
      </c>
      <c r="L466" s="5" t="s">
        <v>721</v>
      </c>
      <c r="M466" s="5" t="s">
        <v>277</v>
      </c>
      <c r="N466" s="5" t="s">
        <v>26</v>
      </c>
      <c r="O466" s="5" t="s">
        <v>310</v>
      </c>
      <c r="P466" s="5" t="str">
        <f>IF(Clean_Data!$G466&gt;Clean_Data!$J466,Clean_Data!$F466,Clean_Data!$I466)</f>
        <v>Fortune Barishal</v>
      </c>
      <c r="Q466" s="5" t="s">
        <v>88</v>
      </c>
      <c r="R466" s="5" t="s">
        <v>89</v>
      </c>
      <c r="S466" s="5">
        <v>0</v>
      </c>
      <c r="T466" s="5">
        <v>7</v>
      </c>
      <c r="U466" s="5" t="s">
        <v>364</v>
      </c>
      <c r="V466" s="5" t="str">
        <f>IF(Clean_Data!$T466&gt;0,"Runs","Wickets")</f>
        <v>Runs</v>
      </c>
      <c r="W466" s="5">
        <f>IF(Clean_Data!$T466&gt;0,Clean_Data!$T466,Clean_Data!$S466)</f>
        <v>7</v>
      </c>
      <c r="X466" s="5" t="str">
        <f>IF(Clean_Data!$W466&lt;=10,"Close Match","Normal")</f>
        <v>Close Match</v>
      </c>
      <c r="Y466" s="5">
        <f>Clean_Data!$G466+Clean_Data!$J466</f>
        <v>327</v>
      </c>
      <c r="Z466" s="5" t="str">
        <f>IF(Clean_Data!$Y466&gt;=170,"170+ Match","Below 170")</f>
        <v>170+ Match</v>
      </c>
      <c r="AA466" s="5" t="s">
        <v>44</v>
      </c>
      <c r="AB466" s="17" t="s">
        <v>216</v>
      </c>
    </row>
    <row r="467" spans="1:28" x14ac:dyDescent="0.3">
      <c r="A467" s="18" t="s">
        <v>691</v>
      </c>
      <c r="B467" s="19" t="str">
        <f>LEFT(Clean_Data!$A467,4)</f>
        <v>2024</v>
      </c>
      <c r="C467" s="19" t="s">
        <v>334</v>
      </c>
      <c r="D467" s="19" t="str">
        <f>IF(ISNUMBER(SEARCH("Final",Clean_Data!$C467)),"Final",
IF(ISNUMBER(SEARCH("Semi",Clean_Data!$C467)),"Semi-Final",
IF(ISNUMBER(SEARCH("Elimination",Clean_Data!$C467)),"Eliminator",
"League")))</f>
        <v>League</v>
      </c>
      <c r="E467" s="20" t="s">
        <v>722</v>
      </c>
      <c r="F467" s="19" t="s">
        <v>693</v>
      </c>
      <c r="G467" s="19">
        <v>170</v>
      </c>
      <c r="H467" s="19">
        <v>9</v>
      </c>
      <c r="I467" s="19" t="s">
        <v>113</v>
      </c>
      <c r="J467" s="19">
        <v>146</v>
      </c>
      <c r="K467" s="19">
        <v>10</v>
      </c>
      <c r="L467" s="19" t="s">
        <v>708</v>
      </c>
      <c r="M467" s="19" t="s">
        <v>113</v>
      </c>
      <c r="N467" s="19" t="s">
        <v>26</v>
      </c>
      <c r="O467" s="19" t="s">
        <v>693</v>
      </c>
      <c r="P467" s="19" t="str">
        <f>IF(Clean_Data!$G467&gt;Clean_Data!$J467,Clean_Data!$F467,Clean_Data!$I467)</f>
        <v>Durbar Rajshahi</v>
      </c>
      <c r="Q467" s="19" t="s">
        <v>88</v>
      </c>
      <c r="R467" s="19" t="s">
        <v>89</v>
      </c>
      <c r="S467" s="19">
        <v>0</v>
      </c>
      <c r="T467" s="19">
        <v>24</v>
      </c>
      <c r="U467" s="19" t="s">
        <v>541</v>
      </c>
      <c r="V467" s="19" t="str">
        <f>IF(Clean_Data!$T467&gt;0,"Runs","Wickets")</f>
        <v>Runs</v>
      </c>
      <c r="W467" s="19">
        <f>IF(Clean_Data!$T467&gt;0,Clean_Data!$T467,Clean_Data!$S467)</f>
        <v>24</v>
      </c>
      <c r="X467" s="19" t="str">
        <f>IF(Clean_Data!$W467&lt;=10,"Close Match","Normal")</f>
        <v>Normal</v>
      </c>
      <c r="Y467" s="19">
        <f>Clean_Data!$G467+Clean_Data!$J467</f>
        <v>316</v>
      </c>
      <c r="Z467" s="19" t="str">
        <f>IF(Clean_Data!$Y467&gt;=170,"170+ Match","Below 170")</f>
        <v>170+ Match</v>
      </c>
      <c r="AA467" s="19" t="s">
        <v>56</v>
      </c>
      <c r="AB467" s="21" t="s">
        <v>225</v>
      </c>
    </row>
    <row r="468" spans="1:28" x14ac:dyDescent="0.3">
      <c r="A468" s="16" t="s">
        <v>691</v>
      </c>
      <c r="B468" s="5" t="str">
        <f>LEFT(Clean_Data!$A468,4)</f>
        <v>2024</v>
      </c>
      <c r="C468" s="5" t="s">
        <v>330</v>
      </c>
      <c r="D468" s="5" t="str">
        <f>IF(ISNUMBER(SEARCH("Final",Clean_Data!$C468)),"Final",
IF(ISNUMBER(SEARCH("Semi",Clean_Data!$C468)),"Semi-Final",
IF(ISNUMBER(SEARCH("Elimination",Clean_Data!$C468)),"Eliminator",
"League")))</f>
        <v>League</v>
      </c>
      <c r="E468" s="6" t="s">
        <v>722</v>
      </c>
      <c r="F468" s="5" t="s">
        <v>581</v>
      </c>
      <c r="G468" s="5">
        <v>152</v>
      </c>
      <c r="H468" s="5">
        <v>9</v>
      </c>
      <c r="I468" s="5" t="s">
        <v>277</v>
      </c>
      <c r="J468" s="5">
        <v>156</v>
      </c>
      <c r="K468" s="5">
        <v>4</v>
      </c>
      <c r="L468" s="5" t="s">
        <v>410</v>
      </c>
      <c r="M468" s="5" t="s">
        <v>581</v>
      </c>
      <c r="N468" s="5" t="s">
        <v>37</v>
      </c>
      <c r="O468" s="5" t="s">
        <v>277</v>
      </c>
      <c r="P468" s="5" t="str">
        <f>IF(Clean_Data!$G468&gt;Clean_Data!$J468,Clean_Data!$F468,Clean_Data!$I468)</f>
        <v>Khulna Tigers</v>
      </c>
      <c r="Q468" s="5" t="s">
        <v>88</v>
      </c>
      <c r="R468" s="5" t="s">
        <v>89</v>
      </c>
      <c r="S468" s="5">
        <v>6</v>
      </c>
      <c r="T468" s="5">
        <v>0</v>
      </c>
      <c r="U468" s="5" t="s">
        <v>151</v>
      </c>
      <c r="V468" s="5" t="str">
        <f>IF(Clean_Data!$T468&gt;0,"Runs","Wickets")</f>
        <v>Wickets</v>
      </c>
      <c r="W468" s="5">
        <f>IF(Clean_Data!$T468&gt;0,Clean_Data!$T468,Clean_Data!$S468)</f>
        <v>6</v>
      </c>
      <c r="X468" s="5" t="str">
        <f>IF(Clean_Data!$W468&lt;=10,"Close Match","Normal")</f>
        <v>Close Match</v>
      </c>
      <c r="Y468" s="5">
        <f>Clean_Data!$G468+Clean_Data!$J468</f>
        <v>308</v>
      </c>
      <c r="Z468" s="5" t="str">
        <f>IF(Clean_Data!$Y468&gt;=170,"170+ Match","Below 170")</f>
        <v>170+ Match</v>
      </c>
      <c r="AA468" s="5" t="s">
        <v>66</v>
      </c>
      <c r="AB468" s="17" t="s">
        <v>216</v>
      </c>
    </row>
    <row r="469" spans="1:28" x14ac:dyDescent="0.3">
      <c r="A469" s="18" t="s">
        <v>691</v>
      </c>
      <c r="B469" s="19" t="str">
        <f>LEFT(Clean_Data!$A469,4)</f>
        <v>2024</v>
      </c>
      <c r="C469" s="19" t="s">
        <v>328</v>
      </c>
      <c r="D469" s="19" t="str">
        <f>IF(ISNUMBER(SEARCH("Final",Clean_Data!$C469)),"Final",
IF(ISNUMBER(SEARCH("Semi",Clean_Data!$C469)),"Semi-Final",
IF(ISNUMBER(SEARCH("Elimination",Clean_Data!$C469)),"Eliminator",
"League")))</f>
        <v>League</v>
      </c>
      <c r="E469" s="20" t="s">
        <v>723</v>
      </c>
      <c r="F469" s="19" t="s">
        <v>581</v>
      </c>
      <c r="G469" s="19">
        <v>116</v>
      </c>
      <c r="H469" s="19">
        <v>10</v>
      </c>
      <c r="I469" s="19" t="s">
        <v>310</v>
      </c>
      <c r="J469" s="19">
        <v>120</v>
      </c>
      <c r="K469" s="19">
        <v>2</v>
      </c>
      <c r="L469" s="19" t="s">
        <v>724</v>
      </c>
      <c r="M469" s="19" t="s">
        <v>581</v>
      </c>
      <c r="N469" s="19" t="s">
        <v>37</v>
      </c>
      <c r="O469" s="19" t="s">
        <v>310</v>
      </c>
      <c r="P469" s="19" t="str">
        <f>IF(Clean_Data!$G469&gt;Clean_Data!$J469,Clean_Data!$F469,Clean_Data!$I469)</f>
        <v>Fortune Barishal</v>
      </c>
      <c r="Q469" s="19" t="s">
        <v>28</v>
      </c>
      <c r="R469" s="19" t="s">
        <v>29</v>
      </c>
      <c r="S469" s="19">
        <v>8</v>
      </c>
      <c r="T469" s="19">
        <v>0</v>
      </c>
      <c r="U469" s="19" t="s">
        <v>30</v>
      </c>
      <c r="V469" s="19" t="str">
        <f>IF(Clean_Data!$T469&gt;0,"Runs","Wickets")</f>
        <v>Wickets</v>
      </c>
      <c r="W469" s="19">
        <f>IF(Clean_Data!$T469&gt;0,Clean_Data!$T469,Clean_Data!$S469)</f>
        <v>8</v>
      </c>
      <c r="X469" s="19" t="str">
        <f>IF(Clean_Data!$W469&lt;=10,"Close Match","Normal")</f>
        <v>Close Match</v>
      </c>
      <c r="Y469" s="19">
        <f>Clean_Data!$G469+Clean_Data!$J469</f>
        <v>236</v>
      </c>
      <c r="Z469" s="19" t="str">
        <f>IF(Clean_Data!$Y469&gt;=170,"170+ Match","Below 170")</f>
        <v>170+ Match</v>
      </c>
      <c r="AA469" s="19" t="s">
        <v>695</v>
      </c>
      <c r="AB469" s="21" t="s">
        <v>225</v>
      </c>
    </row>
    <row r="470" spans="1:28" x14ac:dyDescent="0.3">
      <c r="A470" s="16" t="s">
        <v>691</v>
      </c>
      <c r="B470" s="5" t="str">
        <f>LEFT(Clean_Data!$A470,4)</f>
        <v>2024</v>
      </c>
      <c r="C470" s="5" t="s">
        <v>326</v>
      </c>
      <c r="D470" s="5" t="str">
        <f>IF(ISNUMBER(SEARCH("Final",Clean_Data!$C470)),"Final",
IF(ISNUMBER(SEARCH("Semi",Clean_Data!$C470)),"Semi-Final",
IF(ISNUMBER(SEARCH("Elimination",Clean_Data!$C470)),"Eliminator",
"League")))</f>
        <v>League</v>
      </c>
      <c r="E470" s="6" t="s">
        <v>723</v>
      </c>
      <c r="F470" s="5" t="s">
        <v>693</v>
      </c>
      <c r="G470" s="5">
        <v>119</v>
      </c>
      <c r="H470" s="5">
        <v>9</v>
      </c>
      <c r="I470" s="5" t="s">
        <v>113</v>
      </c>
      <c r="J470" s="5">
        <v>117</v>
      </c>
      <c r="K470" s="5">
        <v>8</v>
      </c>
      <c r="L470" s="5" t="s">
        <v>319</v>
      </c>
      <c r="M470" s="5" t="s">
        <v>113</v>
      </c>
      <c r="N470" s="5" t="s">
        <v>26</v>
      </c>
      <c r="O470" s="5" t="s">
        <v>693</v>
      </c>
      <c r="P470" s="5" t="str">
        <f>IF(Clean_Data!$G470&gt;Clean_Data!$J470,Clean_Data!$F470,Clean_Data!$I470)</f>
        <v>Durbar Rajshahi</v>
      </c>
      <c r="Q470" s="5" t="s">
        <v>28</v>
      </c>
      <c r="R470" s="5" t="s">
        <v>29</v>
      </c>
      <c r="S470" s="5">
        <v>2</v>
      </c>
      <c r="T470" s="5">
        <v>0</v>
      </c>
      <c r="U470" s="5" t="s">
        <v>128</v>
      </c>
      <c r="V470" s="5" t="str">
        <f>IF(Clean_Data!$T470&gt;0,"Runs","Wickets")</f>
        <v>Wickets</v>
      </c>
      <c r="W470" s="5">
        <f>IF(Clean_Data!$T470&gt;0,Clean_Data!$T470,Clean_Data!$S470)</f>
        <v>2</v>
      </c>
      <c r="X470" s="5" t="str">
        <f>IF(Clean_Data!$W470&lt;=10,"Close Match","Normal")</f>
        <v>Close Match</v>
      </c>
      <c r="Y470" s="5">
        <f>Clean_Data!$G470+Clean_Data!$J470</f>
        <v>236</v>
      </c>
      <c r="Z470" s="5" t="str">
        <f>IF(Clean_Data!$Y470&gt;=170,"170+ Match","Below 170")</f>
        <v>170+ Match</v>
      </c>
      <c r="AA470" s="5" t="s">
        <v>606</v>
      </c>
      <c r="AB470" s="17" t="s">
        <v>44</v>
      </c>
    </row>
    <row r="471" spans="1:28" x14ac:dyDescent="0.3">
      <c r="A471" s="18" t="s">
        <v>691</v>
      </c>
      <c r="B471" s="19" t="str">
        <f>LEFT(Clean_Data!$A471,4)</f>
        <v>2024</v>
      </c>
      <c r="C471" s="19" t="s">
        <v>324</v>
      </c>
      <c r="D471" s="19" t="str">
        <f>IF(ISNUMBER(SEARCH("Final",Clean_Data!$C471)),"Final",
IF(ISNUMBER(SEARCH("Semi",Clean_Data!$C471)),"Semi-Final",
IF(ISNUMBER(SEARCH("Elimination",Clean_Data!$C471)),"Eliminator",
"League")))</f>
        <v>League</v>
      </c>
      <c r="E471" s="20" t="s">
        <v>725</v>
      </c>
      <c r="F471" s="19" t="s">
        <v>277</v>
      </c>
      <c r="G471" s="19">
        <v>187</v>
      </c>
      <c r="H471" s="19">
        <v>5</v>
      </c>
      <c r="I471" s="19" t="s">
        <v>310</v>
      </c>
      <c r="J471" s="19">
        <v>188</v>
      </c>
      <c r="K471" s="19">
        <v>5</v>
      </c>
      <c r="L471" s="19" t="s">
        <v>429</v>
      </c>
      <c r="M471" s="19" t="s">
        <v>310</v>
      </c>
      <c r="N471" s="19" t="s">
        <v>26</v>
      </c>
      <c r="O471" s="19" t="s">
        <v>310</v>
      </c>
      <c r="P471" s="19" t="str">
        <f>IF(Clean_Data!$G471&gt;Clean_Data!$J471,Clean_Data!$F471,Clean_Data!$I471)</f>
        <v>Fortune Barishal</v>
      </c>
      <c r="Q471" s="19" t="s">
        <v>28</v>
      </c>
      <c r="R471" s="19" t="s">
        <v>29</v>
      </c>
      <c r="S471" s="19">
        <v>0</v>
      </c>
      <c r="T471" s="19">
        <v>5</v>
      </c>
      <c r="U471" s="19" t="s">
        <v>55</v>
      </c>
      <c r="V471" s="19" t="str">
        <f>IF(Clean_Data!$T471&gt;0,"Runs","Wickets")</f>
        <v>Runs</v>
      </c>
      <c r="W471" s="19">
        <f>IF(Clean_Data!$T471&gt;0,Clean_Data!$T471,Clean_Data!$S471)</f>
        <v>5</v>
      </c>
      <c r="X471" s="19" t="str">
        <f>IF(Clean_Data!$W471&lt;=10,"Close Match","Normal")</f>
        <v>Close Match</v>
      </c>
      <c r="Y471" s="19">
        <f>Clean_Data!$G471+Clean_Data!$J471</f>
        <v>375</v>
      </c>
      <c r="Z471" s="19" t="str">
        <f>IF(Clean_Data!$Y471&gt;=170,"170+ Match","Below 170")</f>
        <v>170+ Match</v>
      </c>
      <c r="AA471" s="19" t="s">
        <v>50</v>
      </c>
      <c r="AB471" s="21" t="s">
        <v>44</v>
      </c>
    </row>
    <row r="472" spans="1:28" x14ac:dyDescent="0.3">
      <c r="A472" s="16" t="s">
        <v>691</v>
      </c>
      <c r="B472" s="5" t="str">
        <f>LEFT(Clean_Data!$A472,4)</f>
        <v>2024</v>
      </c>
      <c r="C472" s="5" t="s">
        <v>321</v>
      </c>
      <c r="D472" s="5" t="str">
        <f>IF(ISNUMBER(SEARCH("Final",Clean_Data!$C472)),"Final",
IF(ISNUMBER(SEARCH("Semi",Clean_Data!$C472)),"Semi-Final",
IF(ISNUMBER(SEARCH("Elimination",Clean_Data!$C472)),"Eliminator",
"League")))</f>
        <v>League</v>
      </c>
      <c r="E472" s="6" t="s">
        <v>725</v>
      </c>
      <c r="F472" s="5" t="s">
        <v>581</v>
      </c>
      <c r="G472" s="5">
        <v>117</v>
      </c>
      <c r="H472" s="5">
        <v>9</v>
      </c>
      <c r="I472" s="5" t="s">
        <v>113</v>
      </c>
      <c r="J472" s="5">
        <v>121</v>
      </c>
      <c r="K472" s="5">
        <v>5</v>
      </c>
      <c r="L472" s="5" t="s">
        <v>726</v>
      </c>
      <c r="M472" s="5" t="s">
        <v>693</v>
      </c>
      <c r="N472" s="5" t="s">
        <v>26</v>
      </c>
      <c r="O472" s="5" t="s">
        <v>693</v>
      </c>
      <c r="P472" s="5" t="str">
        <f>IF(Clean_Data!$G472&gt;Clean_Data!$J472,Clean_Data!$F472,Clean_Data!$I472)</f>
        <v>Rangpur Riders</v>
      </c>
      <c r="Q472" s="5" t="s">
        <v>28</v>
      </c>
      <c r="R472" s="5" t="s">
        <v>29</v>
      </c>
      <c r="S472" s="5">
        <v>0</v>
      </c>
      <c r="T472" s="5">
        <v>5</v>
      </c>
      <c r="U472" s="5" t="s">
        <v>55</v>
      </c>
      <c r="V472" s="5" t="str">
        <f>IF(Clean_Data!$T472&gt;0,"Runs","Wickets")</f>
        <v>Runs</v>
      </c>
      <c r="W472" s="5">
        <f>IF(Clean_Data!$T472&gt;0,Clean_Data!$T472,Clean_Data!$S472)</f>
        <v>5</v>
      </c>
      <c r="X472" s="5" t="str">
        <f>IF(Clean_Data!$W472&lt;=10,"Close Match","Normal")</f>
        <v>Close Match</v>
      </c>
      <c r="Y472" s="5">
        <f>Clean_Data!$G472+Clean_Data!$J472</f>
        <v>238</v>
      </c>
      <c r="Z472" s="5" t="str">
        <f>IF(Clean_Data!$Y472&gt;=170,"170+ Match","Below 170")</f>
        <v>170+ Match</v>
      </c>
      <c r="AA472" s="5" t="s">
        <v>639</v>
      </c>
      <c r="AB472" s="17" t="s">
        <v>727</v>
      </c>
    </row>
    <row r="473" spans="1:28" x14ac:dyDescent="0.3">
      <c r="A473" s="18" t="s">
        <v>691</v>
      </c>
      <c r="B473" s="19" t="str">
        <f>LEFT(Clean_Data!$A473,4)</f>
        <v>2024</v>
      </c>
      <c r="C473" s="19" t="s">
        <v>224</v>
      </c>
      <c r="D473" s="19" t="str">
        <f>IF(ISNUMBER(SEARCH("Final",Clean_Data!$C473)),"Final",
IF(ISNUMBER(SEARCH("Semi",Clean_Data!$C473)),"Semi-Final",
IF(ISNUMBER(SEARCH("Elimination",Clean_Data!$C473)),"Eliminator",
"League")))</f>
        <v>League</v>
      </c>
      <c r="E473" s="20" t="s">
        <v>728</v>
      </c>
      <c r="F473" s="19" t="s">
        <v>113</v>
      </c>
      <c r="G473" s="19">
        <v>143</v>
      </c>
      <c r="H473" s="19">
        <v>5</v>
      </c>
      <c r="I473" s="19" t="s">
        <v>53</v>
      </c>
      <c r="J473" s="19">
        <v>148</v>
      </c>
      <c r="K473" s="19">
        <v>5</v>
      </c>
      <c r="L473" s="19" t="s">
        <v>729</v>
      </c>
      <c r="M473" s="19" t="s">
        <v>53</v>
      </c>
      <c r="N473" s="19" t="s">
        <v>26</v>
      </c>
      <c r="O473" s="19" t="s">
        <v>53</v>
      </c>
      <c r="P473" s="19" t="str">
        <f>IF(Clean_Data!$G473&gt;Clean_Data!$J473,Clean_Data!$F473,Clean_Data!$I473)</f>
        <v>Chittagong Kings</v>
      </c>
      <c r="Q473" s="19" t="s">
        <v>28</v>
      </c>
      <c r="R473" s="19" t="s">
        <v>29</v>
      </c>
      <c r="S473" s="19">
        <v>0</v>
      </c>
      <c r="T473" s="19">
        <v>5</v>
      </c>
      <c r="U473" s="19" t="s">
        <v>55</v>
      </c>
      <c r="V473" s="19" t="str">
        <f>IF(Clean_Data!$T473&gt;0,"Runs","Wickets")</f>
        <v>Runs</v>
      </c>
      <c r="W473" s="19">
        <f>IF(Clean_Data!$T473&gt;0,Clean_Data!$T473,Clean_Data!$S473)</f>
        <v>5</v>
      </c>
      <c r="X473" s="19" t="str">
        <f>IF(Clean_Data!$W473&lt;=10,"Close Match","Normal")</f>
        <v>Close Match</v>
      </c>
      <c r="Y473" s="19">
        <f>Clean_Data!$G473+Clean_Data!$J473</f>
        <v>291</v>
      </c>
      <c r="Z473" s="19" t="str">
        <f>IF(Clean_Data!$Y473&gt;=170,"170+ Match","Below 170")</f>
        <v>170+ Match</v>
      </c>
      <c r="AA473" s="19" t="s">
        <v>639</v>
      </c>
      <c r="AB473" s="21" t="s">
        <v>216</v>
      </c>
    </row>
    <row r="474" spans="1:28" x14ac:dyDescent="0.3">
      <c r="A474" s="16" t="s">
        <v>691</v>
      </c>
      <c r="B474" s="5" t="str">
        <f>LEFT(Clean_Data!$A474,4)</f>
        <v>2024</v>
      </c>
      <c r="C474" s="5" t="s">
        <v>136</v>
      </c>
      <c r="D474" s="5" t="str">
        <f>IF(ISNUMBER(SEARCH("Final",Clean_Data!$C474)),"Final",
IF(ISNUMBER(SEARCH("Semi",Clean_Data!$C474)),"Semi-Final",
IF(ISNUMBER(SEARCH("Elimination",Clean_Data!$C474)),"Eliminator",
"League")))</f>
        <v>League</v>
      </c>
      <c r="E474" s="6" t="s">
        <v>728</v>
      </c>
      <c r="F474" s="5" t="s">
        <v>694</v>
      </c>
      <c r="G474" s="5">
        <v>73</v>
      </c>
      <c r="H474" s="5">
        <v>10</v>
      </c>
      <c r="I474" s="5" t="s">
        <v>310</v>
      </c>
      <c r="J474" s="5">
        <v>77</v>
      </c>
      <c r="K474" s="5">
        <v>1</v>
      </c>
      <c r="L474" s="5" t="s">
        <v>627</v>
      </c>
      <c r="M474" s="5" t="s">
        <v>310</v>
      </c>
      <c r="N474" s="5" t="s">
        <v>26</v>
      </c>
      <c r="O474" s="5" t="s">
        <v>310</v>
      </c>
      <c r="P474" s="5" t="str">
        <f>IF(Clean_Data!$G474&gt;Clean_Data!$J474,Clean_Data!$F474,Clean_Data!$I474)</f>
        <v>Fortune Barishal</v>
      </c>
      <c r="Q474" s="5" t="s">
        <v>28</v>
      </c>
      <c r="R474" s="5" t="s">
        <v>29</v>
      </c>
      <c r="S474" s="5">
        <v>0</v>
      </c>
      <c r="T474" s="5">
        <v>9</v>
      </c>
      <c r="U474" s="5" t="s">
        <v>71</v>
      </c>
      <c r="V474" s="5" t="str">
        <f>IF(Clean_Data!$T474&gt;0,"Runs","Wickets")</f>
        <v>Runs</v>
      </c>
      <c r="W474" s="5">
        <f>IF(Clean_Data!$T474&gt;0,Clean_Data!$T474,Clean_Data!$S474)</f>
        <v>9</v>
      </c>
      <c r="X474" s="5" t="str">
        <f>IF(Clean_Data!$W474&lt;=10,"Close Match","Normal")</f>
        <v>Close Match</v>
      </c>
      <c r="Y474" s="5">
        <f>Clean_Data!$G474+Clean_Data!$J474</f>
        <v>150</v>
      </c>
      <c r="Z474" s="5" t="str">
        <f>IF(Clean_Data!$Y474&gt;=170,"170+ Match","Below 170")</f>
        <v>Below 170</v>
      </c>
      <c r="AA474" s="5" t="s">
        <v>50</v>
      </c>
      <c r="AB474" s="17" t="s">
        <v>44</v>
      </c>
    </row>
    <row r="475" spans="1:28" x14ac:dyDescent="0.3">
      <c r="A475" s="18" t="s">
        <v>691</v>
      </c>
      <c r="B475" s="19" t="str">
        <f>LEFT(Clean_Data!$A475,4)</f>
        <v>2024</v>
      </c>
      <c r="C475" s="19" t="s">
        <v>129</v>
      </c>
      <c r="D475" s="19" t="str">
        <f>IF(ISNUMBER(SEARCH("Final",Clean_Data!$C475)),"Final",
IF(ISNUMBER(SEARCH("Semi",Clean_Data!$C475)),"Semi-Final",
IF(ISNUMBER(SEARCH("Elimination",Clean_Data!$C475)),"Eliminator",
"League")))</f>
        <v>League</v>
      </c>
      <c r="E475" s="20" t="s">
        <v>730</v>
      </c>
      <c r="F475" s="19" t="s">
        <v>277</v>
      </c>
      <c r="G475" s="19">
        <v>220</v>
      </c>
      <c r="H475" s="19">
        <v>4</v>
      </c>
      <c r="I475" s="19" t="s">
        <v>113</v>
      </c>
      <c r="J475" s="19">
        <v>174</v>
      </c>
      <c r="K475" s="19">
        <v>9</v>
      </c>
      <c r="L475" s="19" t="s">
        <v>542</v>
      </c>
      <c r="M475" s="19" t="s">
        <v>277</v>
      </c>
      <c r="N475" s="19" t="s">
        <v>37</v>
      </c>
      <c r="O475" s="19" t="s">
        <v>277</v>
      </c>
      <c r="P475" s="19" t="str">
        <f>IF(Clean_Data!$G475&gt;Clean_Data!$J475,Clean_Data!$F475,Clean_Data!$I475)</f>
        <v>Khulna Tigers</v>
      </c>
      <c r="Q475" s="19" t="s">
        <v>28</v>
      </c>
      <c r="R475" s="19" t="s">
        <v>29</v>
      </c>
      <c r="S475" s="19">
        <v>46</v>
      </c>
      <c r="T475" s="19">
        <v>0</v>
      </c>
      <c r="U475" s="19" t="s">
        <v>731</v>
      </c>
      <c r="V475" s="19" t="str">
        <f>IF(Clean_Data!$T475&gt;0,"Runs","Wickets")</f>
        <v>Wickets</v>
      </c>
      <c r="W475" s="19">
        <f>IF(Clean_Data!$T475&gt;0,Clean_Data!$T475,Clean_Data!$S475)</f>
        <v>46</v>
      </c>
      <c r="X475" s="19" t="str">
        <f>IF(Clean_Data!$W475&lt;=10,"Close Match","Normal")</f>
        <v>Normal</v>
      </c>
      <c r="Y475" s="19">
        <f>Clean_Data!$G475+Clean_Data!$J475</f>
        <v>394</v>
      </c>
      <c r="Z475" s="19" t="str">
        <f>IF(Clean_Data!$Y475&gt;=170,"170+ Match","Below 170")</f>
        <v>170+ Match</v>
      </c>
      <c r="AA475" s="19" t="s">
        <v>225</v>
      </c>
      <c r="AB475" s="21" t="s">
        <v>695</v>
      </c>
    </row>
    <row r="476" spans="1:28" x14ac:dyDescent="0.3">
      <c r="A476" s="16" t="s">
        <v>691</v>
      </c>
      <c r="B476" s="5" t="str">
        <f>LEFT(Clean_Data!$A476,4)</f>
        <v>2024</v>
      </c>
      <c r="C476" s="5" t="s">
        <v>119</v>
      </c>
      <c r="D476" s="5" t="str">
        <f>IF(ISNUMBER(SEARCH("Final",Clean_Data!$C476)),"Final",
IF(ISNUMBER(SEARCH("Semi",Clean_Data!$C476)),"Semi-Final",
IF(ISNUMBER(SEARCH("Elimination",Clean_Data!$C476)),"Eliminator",
"League")))</f>
        <v>League</v>
      </c>
      <c r="E476" s="6" t="s">
        <v>730</v>
      </c>
      <c r="F476" s="5" t="s">
        <v>53</v>
      </c>
      <c r="G476" s="5">
        <v>196</v>
      </c>
      <c r="H476" s="5">
        <v>8</v>
      </c>
      <c r="I476" s="5" t="s">
        <v>581</v>
      </c>
      <c r="J476" s="5">
        <v>100</v>
      </c>
      <c r="K476" s="5">
        <v>10</v>
      </c>
      <c r="L476" s="5" t="s">
        <v>637</v>
      </c>
      <c r="M476" s="5" t="s">
        <v>581</v>
      </c>
      <c r="N476" s="5" t="s">
        <v>26</v>
      </c>
      <c r="O476" s="5" t="s">
        <v>53</v>
      </c>
      <c r="P476" s="5" t="str">
        <f>IF(Clean_Data!$G476&gt;Clean_Data!$J476,Clean_Data!$F476,Clean_Data!$I476)</f>
        <v>Chittagong Kings</v>
      </c>
      <c r="Q476" s="5" t="s">
        <v>28</v>
      </c>
      <c r="R476" s="5" t="s">
        <v>29</v>
      </c>
      <c r="S476" s="5">
        <v>96</v>
      </c>
      <c r="T476" s="5">
        <v>0</v>
      </c>
      <c r="U476" s="5" t="s">
        <v>732</v>
      </c>
      <c r="V476" s="5" t="str">
        <f>IF(Clean_Data!$T476&gt;0,"Runs","Wickets")</f>
        <v>Wickets</v>
      </c>
      <c r="W476" s="5">
        <f>IF(Clean_Data!$T476&gt;0,Clean_Data!$T476,Clean_Data!$S476)</f>
        <v>96</v>
      </c>
      <c r="X476" s="5" t="str">
        <f>IF(Clean_Data!$W476&lt;=10,"Close Match","Normal")</f>
        <v>Normal</v>
      </c>
      <c r="Y476" s="5">
        <f>Clean_Data!$G476+Clean_Data!$J476</f>
        <v>296</v>
      </c>
      <c r="Z476" s="5" t="str">
        <f>IF(Clean_Data!$Y476&gt;=170,"170+ Match","Below 170")</f>
        <v>170+ Match</v>
      </c>
      <c r="AA476" s="5" t="s">
        <v>56</v>
      </c>
      <c r="AB476" s="17" t="s">
        <v>216</v>
      </c>
    </row>
    <row r="477" spans="1:28" x14ac:dyDescent="0.3">
      <c r="A477" s="18" t="s">
        <v>691</v>
      </c>
      <c r="B477" s="19" t="str">
        <f>LEFT(Clean_Data!$A477,4)</f>
        <v>2024</v>
      </c>
      <c r="C477" s="19" t="s">
        <v>112</v>
      </c>
      <c r="D477" s="19" t="str">
        <f>IF(ISNUMBER(SEARCH("Final",Clean_Data!$C477)),"Final",
IF(ISNUMBER(SEARCH("Semi",Clean_Data!$C477)),"Semi-Final",
IF(ISNUMBER(SEARCH("Elimination",Clean_Data!$C477)),"Eliminator",
"League")))</f>
        <v>League</v>
      </c>
      <c r="E477" s="20" t="s">
        <v>733</v>
      </c>
      <c r="F477" s="19" t="s">
        <v>694</v>
      </c>
      <c r="G477" s="19">
        <v>123</v>
      </c>
      <c r="H477" s="19">
        <v>9</v>
      </c>
      <c r="I477" s="19" t="s">
        <v>277</v>
      </c>
      <c r="J477" s="19">
        <v>128</v>
      </c>
      <c r="K477" s="19">
        <v>4</v>
      </c>
      <c r="L477" s="19" t="s">
        <v>410</v>
      </c>
      <c r="M477" s="19" t="s">
        <v>694</v>
      </c>
      <c r="N477" s="19" t="s">
        <v>37</v>
      </c>
      <c r="O477" s="19" t="s">
        <v>277</v>
      </c>
      <c r="P477" s="19" t="str">
        <f>IF(Clean_Data!$G477&gt;Clean_Data!$J477,Clean_Data!$F477,Clean_Data!$I477)</f>
        <v>Khulna Tigers</v>
      </c>
      <c r="Q477" s="19" t="s">
        <v>28</v>
      </c>
      <c r="R477" s="19" t="s">
        <v>29</v>
      </c>
      <c r="S477" s="19">
        <v>0</v>
      </c>
      <c r="T477" s="19">
        <v>6</v>
      </c>
      <c r="U477" s="19" t="s">
        <v>151</v>
      </c>
      <c r="V477" s="19" t="str">
        <f>IF(Clean_Data!$T477&gt;0,"Runs","Wickets")</f>
        <v>Runs</v>
      </c>
      <c r="W477" s="19">
        <f>IF(Clean_Data!$T477&gt;0,Clean_Data!$T477,Clean_Data!$S477)</f>
        <v>6</v>
      </c>
      <c r="X477" s="19" t="str">
        <f>IF(Clean_Data!$W477&lt;=10,"Close Match","Normal")</f>
        <v>Close Match</v>
      </c>
      <c r="Y477" s="19">
        <f>Clean_Data!$G477+Clean_Data!$J477</f>
        <v>251</v>
      </c>
      <c r="Z477" s="19" t="str">
        <f>IF(Clean_Data!$Y477&gt;=170,"170+ Match","Below 170")</f>
        <v>170+ Match</v>
      </c>
      <c r="AA477" s="19" t="s">
        <v>50</v>
      </c>
      <c r="AB477" s="21" t="s">
        <v>216</v>
      </c>
    </row>
    <row r="478" spans="1:28" x14ac:dyDescent="0.3">
      <c r="A478" s="16" t="s">
        <v>691</v>
      </c>
      <c r="B478" s="5" t="str">
        <f>LEFT(Clean_Data!$A478,4)</f>
        <v>2024</v>
      </c>
      <c r="C478" s="5" t="s">
        <v>106</v>
      </c>
      <c r="D478" s="5" t="str">
        <f>IF(ISNUMBER(SEARCH("Final",Clean_Data!$C478)),"Final",
IF(ISNUMBER(SEARCH("Semi",Clean_Data!$C478)),"Semi-Final",
IF(ISNUMBER(SEARCH("Elimination",Clean_Data!$C478)),"Eliminator",
"League")))</f>
        <v>League</v>
      </c>
      <c r="E478" s="6" t="s">
        <v>733</v>
      </c>
      <c r="F478" s="5" t="s">
        <v>53</v>
      </c>
      <c r="G478" s="5">
        <v>206</v>
      </c>
      <c r="H478" s="5">
        <v>4</v>
      </c>
      <c r="I478" s="5" t="s">
        <v>310</v>
      </c>
      <c r="J478" s="5">
        <v>182</v>
      </c>
      <c r="K478" s="5">
        <v>7</v>
      </c>
      <c r="L478" s="5" t="s">
        <v>734</v>
      </c>
      <c r="M478" s="5" t="s">
        <v>310</v>
      </c>
      <c r="N478" s="5" t="s">
        <v>26</v>
      </c>
      <c r="O478" s="5" t="s">
        <v>53</v>
      </c>
      <c r="P478" s="5" t="str">
        <f>IF(Clean_Data!$G478&gt;Clean_Data!$J478,Clean_Data!$F478,Clean_Data!$I478)</f>
        <v>Chittagong Kings</v>
      </c>
      <c r="Q478" s="5" t="s">
        <v>28</v>
      </c>
      <c r="R478" s="5" t="s">
        <v>29</v>
      </c>
      <c r="S478" s="5">
        <v>24</v>
      </c>
      <c r="T478" s="5">
        <v>0</v>
      </c>
      <c r="U478" s="5" t="s">
        <v>541</v>
      </c>
      <c r="V478" s="5" t="str">
        <f>IF(Clean_Data!$T478&gt;0,"Runs","Wickets")</f>
        <v>Wickets</v>
      </c>
      <c r="W478" s="5">
        <f>IF(Clean_Data!$T478&gt;0,Clean_Data!$T478,Clean_Data!$S478)</f>
        <v>24</v>
      </c>
      <c r="X478" s="5" t="str">
        <f>IF(Clean_Data!$W478&lt;=10,"Close Match","Normal")</f>
        <v>Normal</v>
      </c>
      <c r="Y478" s="5">
        <f>Clean_Data!$G478+Clean_Data!$J478</f>
        <v>388</v>
      </c>
      <c r="Z478" s="5" t="str">
        <f>IF(Clean_Data!$Y478&gt;=170,"170+ Match","Below 170")</f>
        <v>170+ Match</v>
      </c>
      <c r="AA478" s="5" t="s">
        <v>66</v>
      </c>
      <c r="AB478" s="17" t="s">
        <v>695</v>
      </c>
    </row>
    <row r="479" spans="1:28" x14ac:dyDescent="0.3">
      <c r="A479" s="18" t="s">
        <v>691</v>
      </c>
      <c r="B479" s="19" t="str">
        <f>LEFT(Clean_Data!$A479,4)</f>
        <v>2024</v>
      </c>
      <c r="C479" s="19" t="s">
        <v>158</v>
      </c>
      <c r="D479" s="19" t="str">
        <f>IF(ISNUMBER(SEARCH("Final",Clean_Data!$C479)),"Final",
IF(ISNUMBER(SEARCH("Semi",Clean_Data!$C479)),"Semi-Final",
IF(ISNUMBER(SEARCH("Elimination",Clean_Data!$C479)),"Eliminator",
"League")))</f>
        <v>League</v>
      </c>
      <c r="E479" s="20" t="s">
        <v>735</v>
      </c>
      <c r="F479" s="19" t="s">
        <v>113</v>
      </c>
      <c r="G479" s="19">
        <v>85</v>
      </c>
      <c r="H479" s="19">
        <v>10</v>
      </c>
      <c r="I479" s="19" t="s">
        <v>277</v>
      </c>
      <c r="J479" s="19">
        <v>89</v>
      </c>
      <c r="K479" s="19">
        <v>1</v>
      </c>
      <c r="L479" s="19" t="s">
        <v>554</v>
      </c>
      <c r="M479" s="19" t="s">
        <v>113</v>
      </c>
      <c r="N479" s="19" t="s">
        <v>37</v>
      </c>
      <c r="O479" s="19" t="s">
        <v>277</v>
      </c>
      <c r="P479" s="19" t="str">
        <f>IF(Clean_Data!$G479&gt;Clean_Data!$J479,Clean_Data!$F479,Clean_Data!$I479)</f>
        <v>Khulna Tigers</v>
      </c>
      <c r="Q479" s="19" t="s">
        <v>28</v>
      </c>
      <c r="R479" s="19" t="s">
        <v>29</v>
      </c>
      <c r="S479" s="19">
        <v>0</v>
      </c>
      <c r="T479" s="19">
        <v>9</v>
      </c>
      <c r="U479" s="19" t="s">
        <v>71</v>
      </c>
      <c r="V479" s="19" t="str">
        <f>IF(Clean_Data!$T479&gt;0,"Runs","Wickets")</f>
        <v>Runs</v>
      </c>
      <c r="W479" s="19">
        <f>IF(Clean_Data!$T479&gt;0,Clean_Data!$T479,Clean_Data!$S479)</f>
        <v>9</v>
      </c>
      <c r="X479" s="19" t="str">
        <f>IF(Clean_Data!$W479&lt;=10,"Close Match","Normal")</f>
        <v>Close Match</v>
      </c>
      <c r="Y479" s="19">
        <f>Clean_Data!$G479+Clean_Data!$J479</f>
        <v>174</v>
      </c>
      <c r="Z479" s="19" t="str">
        <f>IF(Clean_Data!$Y479&gt;=170,"170+ Match","Below 170")</f>
        <v>170+ Match</v>
      </c>
      <c r="AA479" s="19" t="s">
        <v>695</v>
      </c>
      <c r="AB479" s="21" t="s">
        <v>66</v>
      </c>
    </row>
    <row r="480" spans="1:28" x14ac:dyDescent="0.3">
      <c r="A480" s="16" t="s">
        <v>691</v>
      </c>
      <c r="B480" s="5" t="str">
        <f>LEFT(Clean_Data!$A480,4)</f>
        <v>2024</v>
      </c>
      <c r="C480" s="5" t="s">
        <v>736</v>
      </c>
      <c r="D480" s="5" t="str">
        <f>IF(ISNUMBER(SEARCH("Final",Clean_Data!$C480)),"Final",
IF(ISNUMBER(SEARCH("Semi",Clean_Data!$C480)),"Semi-Final",
IF(ISNUMBER(SEARCH("Elimination",Clean_Data!$C480)),"Eliminator",
"League")))</f>
        <v>League</v>
      </c>
      <c r="E480" s="6" t="s">
        <v>735</v>
      </c>
      <c r="F480" s="5" t="s">
        <v>53</v>
      </c>
      <c r="G480" s="5">
        <v>149</v>
      </c>
      <c r="H480" s="5">
        <v>9</v>
      </c>
      <c r="I480" s="5" t="s">
        <v>310</v>
      </c>
      <c r="J480" s="5">
        <v>150</v>
      </c>
      <c r="K480" s="5">
        <v>1</v>
      </c>
      <c r="L480" s="5" t="s">
        <v>737</v>
      </c>
      <c r="M480" s="5" t="s">
        <v>310</v>
      </c>
      <c r="N480" s="5" t="s">
        <v>26</v>
      </c>
      <c r="O480" s="5" t="s">
        <v>310</v>
      </c>
      <c r="P480" s="5" t="str">
        <f>IF(Clean_Data!$G480&gt;Clean_Data!$J480,Clean_Data!$F480,Clean_Data!$I480)</f>
        <v>Fortune Barishal</v>
      </c>
      <c r="Q480" s="5" t="s">
        <v>28</v>
      </c>
      <c r="R480" s="5" t="s">
        <v>29</v>
      </c>
      <c r="S480" s="5">
        <v>0</v>
      </c>
      <c r="T480" s="5">
        <v>9</v>
      </c>
      <c r="U480" s="5" t="s">
        <v>71</v>
      </c>
      <c r="V480" s="5" t="str">
        <f>IF(Clean_Data!$T480&gt;0,"Runs","Wickets")</f>
        <v>Runs</v>
      </c>
      <c r="W480" s="5">
        <f>IF(Clean_Data!$T480&gt;0,Clean_Data!$T480,Clean_Data!$S480)</f>
        <v>9</v>
      </c>
      <c r="X480" s="5" t="str">
        <f>IF(Clean_Data!$W480&lt;=10,"Close Match","Normal")</f>
        <v>Close Match</v>
      </c>
      <c r="Y480" s="5">
        <f>Clean_Data!$G480+Clean_Data!$J480</f>
        <v>299</v>
      </c>
      <c r="Z480" s="5" t="str">
        <f>IF(Clean_Data!$Y480&gt;=170,"170+ Match","Below 170")</f>
        <v>170+ Match</v>
      </c>
      <c r="AA480" s="5" t="s">
        <v>639</v>
      </c>
      <c r="AB480" s="17" t="s">
        <v>216</v>
      </c>
    </row>
    <row r="481" spans="1:28" x14ac:dyDescent="0.3">
      <c r="A481" s="18" t="s">
        <v>691</v>
      </c>
      <c r="B481" s="19" t="str">
        <f>LEFT(Clean_Data!$A481,4)</f>
        <v>2024</v>
      </c>
      <c r="C481" s="19" t="s">
        <v>738</v>
      </c>
      <c r="D481" s="19" t="str">
        <f>IF(ISNUMBER(SEARCH("Final",Clean_Data!$C481)),"Final",
IF(ISNUMBER(SEARCH("Semi",Clean_Data!$C481)),"Semi-Final",
IF(ISNUMBER(SEARCH("Elimination",Clean_Data!$C481)),"Eliminator",
"League")))</f>
        <v>League</v>
      </c>
      <c r="E481" s="20" t="s">
        <v>739</v>
      </c>
      <c r="F481" s="19" t="s">
        <v>277</v>
      </c>
      <c r="G481" s="19">
        <v>163</v>
      </c>
      <c r="H481" s="19">
        <v>6</v>
      </c>
      <c r="I481" s="19" t="s">
        <v>53</v>
      </c>
      <c r="J481" s="19">
        <v>164</v>
      </c>
      <c r="K481" s="19">
        <v>8</v>
      </c>
      <c r="L481" s="19" t="s">
        <v>505</v>
      </c>
      <c r="M481" s="19" t="s">
        <v>53</v>
      </c>
      <c r="N481" s="19" t="s">
        <v>26</v>
      </c>
      <c r="O481" s="19" t="s">
        <v>53</v>
      </c>
      <c r="P481" s="19" t="str">
        <f>IF(Clean_Data!$G481&gt;Clean_Data!$J481,Clean_Data!$F481,Clean_Data!$I481)</f>
        <v>Chittagong Kings</v>
      </c>
      <c r="Q481" s="19" t="s">
        <v>28</v>
      </c>
      <c r="R481" s="19" t="s">
        <v>29</v>
      </c>
      <c r="S481" s="19">
        <v>0</v>
      </c>
      <c r="T481" s="19">
        <v>2</v>
      </c>
      <c r="U481" s="19" t="s">
        <v>281</v>
      </c>
      <c r="V481" s="19" t="str">
        <f>IF(Clean_Data!$T481&gt;0,"Runs","Wickets")</f>
        <v>Runs</v>
      </c>
      <c r="W481" s="19">
        <f>IF(Clean_Data!$T481&gt;0,Clean_Data!$T481,Clean_Data!$S481)</f>
        <v>2</v>
      </c>
      <c r="X481" s="19" t="str">
        <f>IF(Clean_Data!$W481&lt;=10,"Close Match","Normal")</f>
        <v>Close Match</v>
      </c>
      <c r="Y481" s="19">
        <f>Clean_Data!$G481+Clean_Data!$J481</f>
        <v>327</v>
      </c>
      <c r="Z481" s="19" t="str">
        <f>IF(Clean_Data!$Y481&gt;=170,"170+ Match","Below 170")</f>
        <v>170+ Match</v>
      </c>
      <c r="AA481" s="19" t="s">
        <v>56</v>
      </c>
      <c r="AB481" s="21" t="s">
        <v>695</v>
      </c>
    </row>
    <row r="482" spans="1:28" x14ac:dyDescent="0.3">
      <c r="A482" s="22" t="s">
        <v>691</v>
      </c>
      <c r="B482" s="2" t="str">
        <f>LEFT(Clean_Data!$A482,4)</f>
        <v>2024</v>
      </c>
      <c r="C482" s="2" t="s">
        <v>21</v>
      </c>
      <c r="D482" s="2" t="str">
        <f>IF(ISNUMBER(SEARCH("Final",Clean_Data!$C482)),"Final",
IF(ISNUMBER(SEARCH("Semi",Clean_Data!$C482)),"Semi-Final",
IF(ISNUMBER(SEARCH("Elimination",Clean_Data!$C482)),"Eliminator",
"League")))</f>
        <v>Final</v>
      </c>
      <c r="E482" s="4" t="s">
        <v>740</v>
      </c>
      <c r="F482" s="2" t="s">
        <v>53</v>
      </c>
      <c r="G482" s="2">
        <v>194</v>
      </c>
      <c r="H482" s="2">
        <v>7</v>
      </c>
      <c r="I482" s="2" t="s">
        <v>310</v>
      </c>
      <c r="J482" s="2">
        <v>195</v>
      </c>
      <c r="K482" s="2">
        <v>7</v>
      </c>
      <c r="L482" s="2" t="s">
        <v>253</v>
      </c>
      <c r="M482" s="2" t="s">
        <v>310</v>
      </c>
      <c r="N482" s="2" t="s">
        <v>26</v>
      </c>
      <c r="O482" s="2" t="s">
        <v>310</v>
      </c>
      <c r="P482" s="2" t="str">
        <f>IF(Clean_Data!$G482&gt;Clean_Data!$J482,Clean_Data!$F482,Clean_Data!$I482)</f>
        <v>Fortune Barishal</v>
      </c>
      <c r="Q482" s="2" t="s">
        <v>28</v>
      </c>
      <c r="R482" s="2" t="s">
        <v>29</v>
      </c>
      <c r="S482" s="2">
        <v>0</v>
      </c>
      <c r="T482" s="2">
        <v>3</v>
      </c>
      <c r="U482" s="2" t="s">
        <v>49</v>
      </c>
      <c r="V482" s="2" t="str">
        <f>IF(Clean_Data!$T482&gt;0,"Runs","Wickets")</f>
        <v>Runs</v>
      </c>
      <c r="W482" s="2">
        <f>IF(Clean_Data!$T482&gt;0,Clean_Data!$T482,Clean_Data!$S482)</f>
        <v>3</v>
      </c>
      <c r="X482" s="2" t="str">
        <f>IF(Clean_Data!$W482&lt;=10,"Close Match","Normal")</f>
        <v>Close Match</v>
      </c>
      <c r="Y482" s="2">
        <f>Clean_Data!$G482+Clean_Data!$J482</f>
        <v>389</v>
      </c>
      <c r="Z482" s="2" t="str">
        <f>IF(Clean_Data!$Y482&gt;=170,"170+ Match","Below 170")</f>
        <v>170+ Match</v>
      </c>
      <c r="AA482" s="2" t="s">
        <v>56</v>
      </c>
      <c r="AB482" s="23"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51EC9-2A38-4BD8-8AA7-88F1E217CACB}">
  <dimension ref="A1:AE482"/>
  <sheetViews>
    <sheetView topLeftCell="A460" zoomScale="102" workbookViewId="0">
      <selection activeCell="E16" sqref="E16"/>
    </sheetView>
  </sheetViews>
  <sheetFormatPr defaultRowHeight="15.6" x14ac:dyDescent="0.3"/>
  <cols>
    <col min="2" max="2" width="6.69921875" bestFit="1" customWidth="1"/>
    <col min="3" max="3" width="11.09765625" bestFit="1" customWidth="1"/>
    <col min="4" max="4" width="12.796875" bestFit="1" customWidth="1"/>
    <col min="5" max="5" width="11" bestFit="1" customWidth="1"/>
    <col min="6" max="6" width="20.796875" bestFit="1" customWidth="1"/>
    <col min="7" max="7" width="14.296875" bestFit="1" customWidth="1"/>
    <col min="8" max="8" width="15.296875" bestFit="1" customWidth="1"/>
    <col min="9" max="9" width="20.796875" bestFit="1" customWidth="1"/>
    <col min="10" max="10" width="14.296875" bestFit="1" customWidth="1"/>
    <col min="11" max="11" width="15.296875" bestFit="1" customWidth="1"/>
    <col min="12" max="12" width="20.09765625" bestFit="1" customWidth="1"/>
    <col min="13" max="13" width="20.796875" bestFit="1" customWidth="1"/>
    <col min="14" max="14" width="14.19921875" bestFit="1" customWidth="1"/>
    <col min="15" max="15" width="10.59765625" bestFit="1" customWidth="1"/>
    <col min="16" max="16" width="20.796875" bestFit="1" customWidth="1"/>
    <col min="17" max="17" width="10.796875" bestFit="1" customWidth="1"/>
    <col min="18" max="18" width="10.5" bestFit="1" customWidth="1"/>
    <col min="19" max="19" width="16" bestFit="1" customWidth="1"/>
    <col min="20" max="20" width="13.296875" bestFit="1" customWidth="1"/>
    <col min="21" max="21" width="9.3984375" bestFit="1" customWidth="1"/>
    <col min="22" max="22" width="13.69921875" bestFit="1" customWidth="1"/>
    <col min="23" max="23" width="12.69921875" bestFit="1" customWidth="1"/>
    <col min="24" max="24" width="17.8984375" bestFit="1" customWidth="1"/>
    <col min="25" max="25" width="11.8984375" bestFit="1" customWidth="1"/>
    <col min="26" max="26" width="18.09765625" bestFit="1" customWidth="1"/>
    <col min="27" max="27" width="19.59765625" bestFit="1" customWidth="1"/>
    <col min="28" max="28" width="19.796875" bestFit="1" customWidth="1"/>
    <col min="29" max="29" width="7.3984375" bestFit="1" customWidth="1"/>
    <col min="30" max="30" width="20.796875" bestFit="1" customWidth="1"/>
    <col min="31" max="31" width="10.3984375" bestFit="1" customWidth="1"/>
  </cols>
  <sheetData>
    <row r="1" spans="1:31" x14ac:dyDescent="0.3">
      <c r="A1" t="s">
        <v>0</v>
      </c>
      <c r="B1" t="s">
        <v>745</v>
      </c>
      <c r="C1" t="s">
        <v>1</v>
      </c>
      <c r="D1" t="s">
        <v>746</v>
      </c>
      <c r="E1" t="s">
        <v>2</v>
      </c>
      <c r="F1" t="s">
        <v>3</v>
      </c>
      <c r="G1" t="s">
        <v>4</v>
      </c>
      <c r="H1" t="s">
        <v>5</v>
      </c>
      <c r="I1" t="s">
        <v>6</v>
      </c>
      <c r="J1" t="s">
        <v>7</v>
      </c>
      <c r="K1" t="s">
        <v>8</v>
      </c>
      <c r="L1" t="s">
        <v>9</v>
      </c>
      <c r="M1" t="s">
        <v>10</v>
      </c>
      <c r="N1" t="s">
        <v>11</v>
      </c>
      <c r="O1" t="s">
        <v>12</v>
      </c>
      <c r="P1" t="s">
        <v>741</v>
      </c>
      <c r="Q1" t="s">
        <v>13</v>
      </c>
      <c r="R1" t="s">
        <v>14</v>
      </c>
      <c r="S1" t="s">
        <v>15</v>
      </c>
      <c r="T1" t="s">
        <v>16</v>
      </c>
      <c r="U1" t="s">
        <v>17</v>
      </c>
      <c r="V1" t="s">
        <v>742</v>
      </c>
      <c r="W1" t="s">
        <v>743</v>
      </c>
      <c r="X1" t="s">
        <v>748</v>
      </c>
      <c r="Y1" t="s">
        <v>744</v>
      </c>
      <c r="Z1" t="s">
        <v>747</v>
      </c>
      <c r="AA1" t="s">
        <v>18</v>
      </c>
      <c r="AB1" t="s">
        <v>19</v>
      </c>
      <c r="AC1" t="s">
        <v>751</v>
      </c>
      <c r="AD1" t="s">
        <v>759</v>
      </c>
      <c r="AE1" t="s">
        <v>761</v>
      </c>
    </row>
    <row r="2" spans="1:31" x14ac:dyDescent="0.3">
      <c r="A2" s="9" t="s">
        <v>20</v>
      </c>
      <c r="B2">
        <v>2011</v>
      </c>
      <c r="C2" s="9" t="s">
        <v>21</v>
      </c>
      <c r="D2" s="9" t="s">
        <v>21</v>
      </c>
      <c r="E2" s="9" t="s">
        <v>22</v>
      </c>
      <c r="F2" s="2" t="s">
        <v>23</v>
      </c>
      <c r="G2">
        <v>140</v>
      </c>
      <c r="H2">
        <v>7</v>
      </c>
      <c r="I2" t="str">
        <f>Clean_Data!$I2</f>
        <v>Dhaka Gladiators</v>
      </c>
      <c r="J2">
        <v>144</v>
      </c>
      <c r="K2">
        <v>2</v>
      </c>
      <c r="L2" s="9" t="s">
        <v>25</v>
      </c>
      <c r="M2" s="9" t="s">
        <v>24</v>
      </c>
      <c r="N2" s="9" t="s">
        <v>26</v>
      </c>
      <c r="O2" s="9" t="s">
        <v>27</v>
      </c>
      <c r="P2" s="9" t="s">
        <v>24</v>
      </c>
      <c r="Q2" s="9" t="s">
        <v>28</v>
      </c>
      <c r="R2" s="9" t="s">
        <v>29</v>
      </c>
      <c r="S2">
        <v>8</v>
      </c>
      <c r="T2">
        <v>0</v>
      </c>
      <c r="U2" s="9" t="s">
        <v>30</v>
      </c>
      <c r="V2" s="9" t="s">
        <v>752</v>
      </c>
      <c r="W2">
        <v>8</v>
      </c>
      <c r="X2" s="9" t="s">
        <v>753</v>
      </c>
      <c r="Y2">
        <v>284</v>
      </c>
      <c r="Z2" s="9" t="s">
        <v>754</v>
      </c>
      <c r="AA2" s="9" t="s">
        <v>31</v>
      </c>
      <c r="AB2" s="9" t="s">
        <v>32</v>
      </c>
      <c r="AC2" s="9" t="s">
        <v>3</v>
      </c>
      <c r="AD2" s="9" t="s">
        <v>23</v>
      </c>
      <c r="AE2" s="9">
        <f>IF(Table5[[#This Row],[Team_Name]]=Table5[[#This Row],[Correct_Winner]],1,0)</f>
        <v>0</v>
      </c>
    </row>
    <row r="3" spans="1:31" x14ac:dyDescent="0.3">
      <c r="A3" s="9" t="s">
        <v>20</v>
      </c>
      <c r="B3">
        <v>2011</v>
      </c>
      <c r="C3" s="9" t="s">
        <v>21</v>
      </c>
      <c r="D3" s="9" t="s">
        <v>21</v>
      </c>
      <c r="E3" s="9" t="s">
        <v>22</v>
      </c>
      <c r="F3" s="3" t="s">
        <v>24</v>
      </c>
      <c r="G3">
        <v>140</v>
      </c>
      <c r="H3">
        <v>7</v>
      </c>
      <c r="I3" t="str">
        <f>Clean_Data!$I3</f>
        <v>Khulna Royal Bengals</v>
      </c>
      <c r="J3">
        <v>144</v>
      </c>
      <c r="K3">
        <v>2</v>
      </c>
      <c r="L3" s="9" t="s">
        <v>25</v>
      </c>
      <c r="M3" s="9" t="s">
        <v>24</v>
      </c>
      <c r="N3" s="9" t="s">
        <v>26</v>
      </c>
      <c r="O3" s="9" t="s">
        <v>27</v>
      </c>
      <c r="P3" s="9" t="s">
        <v>24</v>
      </c>
      <c r="Q3" s="9" t="s">
        <v>28</v>
      </c>
      <c r="R3" s="9" t="s">
        <v>29</v>
      </c>
      <c r="S3">
        <v>8</v>
      </c>
      <c r="T3">
        <v>0</v>
      </c>
      <c r="U3" s="9" t="s">
        <v>30</v>
      </c>
      <c r="V3" s="9" t="s">
        <v>752</v>
      </c>
      <c r="W3">
        <v>8</v>
      </c>
      <c r="X3" s="9" t="s">
        <v>753</v>
      </c>
      <c r="Y3">
        <v>284</v>
      </c>
      <c r="Z3" s="9" t="s">
        <v>754</v>
      </c>
      <c r="AA3" s="9" t="s">
        <v>31</v>
      </c>
      <c r="AB3" s="9" t="s">
        <v>32</v>
      </c>
      <c r="AC3" s="9" t="s">
        <v>6</v>
      </c>
      <c r="AD3" s="9" t="s">
        <v>24</v>
      </c>
      <c r="AE3" s="9">
        <f>IF(Table5[[#This Row],[Team_Name]]=Table5[[#This Row],[Correct_Winner]],1,0)</f>
        <v>1</v>
      </c>
    </row>
    <row r="4" spans="1:31" x14ac:dyDescent="0.3">
      <c r="A4" s="9" t="s">
        <v>20</v>
      </c>
      <c r="B4">
        <v>2011</v>
      </c>
      <c r="C4" s="9" t="s">
        <v>33</v>
      </c>
      <c r="D4" s="9" t="s">
        <v>755</v>
      </c>
      <c r="E4" s="9" t="s">
        <v>34</v>
      </c>
      <c r="F4" s="2" t="s">
        <v>41</v>
      </c>
      <c r="G4">
        <v>191</v>
      </c>
      <c r="H4">
        <v>4</v>
      </c>
      <c r="I4" t="str">
        <f>Clean_Data!$I4</f>
        <v>Barisal Burners</v>
      </c>
      <c r="J4">
        <v>182</v>
      </c>
      <c r="K4">
        <v>7</v>
      </c>
      <c r="L4" s="9" t="s">
        <v>36</v>
      </c>
      <c r="M4" s="9" t="s">
        <v>24</v>
      </c>
      <c r="N4" s="9" t="s">
        <v>37</v>
      </c>
      <c r="O4" s="9" t="s">
        <v>27</v>
      </c>
      <c r="P4" s="9" t="s">
        <v>24</v>
      </c>
      <c r="Q4" s="9" t="s">
        <v>28</v>
      </c>
      <c r="R4" s="9" t="s">
        <v>29</v>
      </c>
      <c r="S4">
        <v>0</v>
      </c>
      <c r="T4">
        <v>9</v>
      </c>
      <c r="U4" s="9" t="s">
        <v>38</v>
      </c>
      <c r="V4" s="9" t="s">
        <v>756</v>
      </c>
      <c r="W4">
        <v>9</v>
      </c>
      <c r="X4" s="9" t="s">
        <v>753</v>
      </c>
      <c r="Y4">
        <v>373</v>
      </c>
      <c r="Z4" s="9" t="s">
        <v>754</v>
      </c>
      <c r="AA4" s="9" t="s">
        <v>32</v>
      </c>
      <c r="AB4" s="9" t="s">
        <v>39</v>
      </c>
      <c r="AC4" s="9" t="s">
        <v>3</v>
      </c>
      <c r="AD4" s="9" t="s">
        <v>24</v>
      </c>
      <c r="AE4" s="9">
        <f>IF(Table5[[#This Row],[Team_Name]]=Table5[[#This Row],[Correct_Winner]],1,0)</f>
        <v>1</v>
      </c>
    </row>
    <row r="5" spans="1:31" x14ac:dyDescent="0.3">
      <c r="A5" s="9" t="s">
        <v>20</v>
      </c>
      <c r="B5">
        <v>2011</v>
      </c>
      <c r="C5" s="9" t="s">
        <v>33</v>
      </c>
      <c r="D5" s="9" t="s">
        <v>755</v>
      </c>
      <c r="E5" s="9" t="s">
        <v>34</v>
      </c>
      <c r="F5" s="3" t="s">
        <v>24</v>
      </c>
      <c r="G5">
        <v>191</v>
      </c>
      <c r="H5">
        <v>4</v>
      </c>
      <c r="I5" t="str">
        <f>Clean_Data!$I5</f>
        <v>Duronto Rajshahi</v>
      </c>
      <c r="J5">
        <v>182</v>
      </c>
      <c r="K5">
        <v>7</v>
      </c>
      <c r="L5" s="9" t="s">
        <v>36</v>
      </c>
      <c r="M5" s="9" t="s">
        <v>24</v>
      </c>
      <c r="N5" s="9" t="s">
        <v>37</v>
      </c>
      <c r="O5" s="9" t="s">
        <v>27</v>
      </c>
      <c r="P5" s="9" t="s">
        <v>24</v>
      </c>
      <c r="Q5" s="9" t="s">
        <v>28</v>
      </c>
      <c r="R5" s="9" t="s">
        <v>29</v>
      </c>
      <c r="S5">
        <v>0</v>
      </c>
      <c r="T5">
        <v>9</v>
      </c>
      <c r="U5" s="9" t="s">
        <v>38</v>
      </c>
      <c r="V5" s="9" t="s">
        <v>756</v>
      </c>
      <c r="W5">
        <v>9</v>
      </c>
      <c r="X5" s="9" t="s">
        <v>753</v>
      </c>
      <c r="Y5">
        <v>373</v>
      </c>
      <c r="Z5" s="9" t="s">
        <v>754</v>
      </c>
      <c r="AA5" s="9" t="s">
        <v>32</v>
      </c>
      <c r="AB5" s="9" t="s">
        <v>39</v>
      </c>
      <c r="AC5" s="9" t="s">
        <v>6</v>
      </c>
      <c r="AD5" s="9" t="s">
        <v>35</v>
      </c>
      <c r="AE5" s="9">
        <f>IF(Table5[[#This Row],[Team_Name]]=Table5[[#This Row],[Correct_Winner]],1,0)</f>
        <v>0</v>
      </c>
    </row>
    <row r="6" spans="1:31" x14ac:dyDescent="0.3">
      <c r="A6" s="9" t="s">
        <v>20</v>
      </c>
      <c r="B6">
        <v>2011</v>
      </c>
      <c r="C6" s="9" t="s">
        <v>40</v>
      </c>
      <c r="D6" s="9" t="s">
        <v>755</v>
      </c>
      <c r="E6" s="9" t="s">
        <v>34</v>
      </c>
      <c r="F6" s="2" t="s">
        <v>53</v>
      </c>
      <c r="G6">
        <v>184</v>
      </c>
      <c r="H6">
        <v>6</v>
      </c>
      <c r="I6" t="str">
        <f>Clean_Data!$I6</f>
        <v>Barisal Burners</v>
      </c>
      <c r="J6">
        <v>189</v>
      </c>
      <c r="K6">
        <v>2</v>
      </c>
      <c r="L6" s="9" t="s">
        <v>42</v>
      </c>
      <c r="M6" s="9" t="s">
        <v>23</v>
      </c>
      <c r="N6" s="9" t="s">
        <v>26</v>
      </c>
      <c r="O6" s="9" t="s">
        <v>43</v>
      </c>
      <c r="P6" s="9" t="s">
        <v>23</v>
      </c>
      <c r="Q6" s="9" t="s">
        <v>28</v>
      </c>
      <c r="R6" s="9" t="s">
        <v>29</v>
      </c>
      <c r="S6">
        <v>8</v>
      </c>
      <c r="T6">
        <v>0</v>
      </c>
      <c r="U6" s="9" t="s">
        <v>30</v>
      </c>
      <c r="V6" s="9" t="s">
        <v>752</v>
      </c>
      <c r="W6">
        <v>8</v>
      </c>
      <c r="X6" s="9" t="s">
        <v>753</v>
      </c>
      <c r="Y6">
        <v>373</v>
      </c>
      <c r="Z6" s="9" t="s">
        <v>754</v>
      </c>
      <c r="AA6" s="9" t="s">
        <v>31</v>
      </c>
      <c r="AB6" s="9" t="s">
        <v>44</v>
      </c>
      <c r="AC6" s="9" t="s">
        <v>3</v>
      </c>
      <c r="AD6" s="9" t="s">
        <v>41</v>
      </c>
      <c r="AE6" s="9">
        <f>IF(Table5[[#This Row],[Team_Name]]=Table5[[#This Row],[Correct_Winner]],1,0)</f>
        <v>0</v>
      </c>
    </row>
    <row r="7" spans="1:31" x14ac:dyDescent="0.3">
      <c r="A7" s="9" t="s">
        <v>20</v>
      </c>
      <c r="B7">
        <v>2011</v>
      </c>
      <c r="C7" s="9" t="s">
        <v>40</v>
      </c>
      <c r="D7" s="9" t="s">
        <v>755</v>
      </c>
      <c r="E7" s="9" t="s">
        <v>34</v>
      </c>
      <c r="F7" s="3" t="s">
        <v>35</v>
      </c>
      <c r="G7">
        <v>184</v>
      </c>
      <c r="H7">
        <v>6</v>
      </c>
      <c r="I7" t="str">
        <f>Clean_Data!$I7</f>
        <v>Duronto Rajshahi</v>
      </c>
      <c r="J7">
        <v>189</v>
      </c>
      <c r="K7">
        <v>2</v>
      </c>
      <c r="L7" s="9" t="s">
        <v>42</v>
      </c>
      <c r="M7" s="9" t="s">
        <v>23</v>
      </c>
      <c r="N7" s="9" t="s">
        <v>26</v>
      </c>
      <c r="O7" s="9" t="s">
        <v>43</v>
      </c>
      <c r="P7" s="9" t="s">
        <v>23</v>
      </c>
      <c r="Q7" s="9" t="s">
        <v>28</v>
      </c>
      <c r="R7" s="9" t="s">
        <v>29</v>
      </c>
      <c r="S7">
        <v>8</v>
      </c>
      <c r="T7">
        <v>0</v>
      </c>
      <c r="U7" s="9" t="s">
        <v>30</v>
      </c>
      <c r="V7" s="9" t="s">
        <v>752</v>
      </c>
      <c r="W7">
        <v>8</v>
      </c>
      <c r="X7" s="9" t="s">
        <v>753</v>
      </c>
      <c r="Y7">
        <v>373</v>
      </c>
      <c r="Z7" s="9" t="s">
        <v>754</v>
      </c>
      <c r="AA7" s="9" t="s">
        <v>31</v>
      </c>
      <c r="AB7" s="9" t="s">
        <v>44</v>
      </c>
      <c r="AC7" s="9" t="s">
        <v>6</v>
      </c>
      <c r="AD7" s="9" t="s">
        <v>23</v>
      </c>
      <c r="AE7" s="9">
        <f>IF(Table5[[#This Row],[Team_Name]]=Table5[[#This Row],[Correct_Winner]],1,0)</f>
        <v>1</v>
      </c>
    </row>
    <row r="8" spans="1:31" x14ac:dyDescent="0.3">
      <c r="A8" s="9" t="s">
        <v>20</v>
      </c>
      <c r="B8">
        <v>2011</v>
      </c>
      <c r="C8" s="9" t="s">
        <v>45</v>
      </c>
      <c r="D8" s="9" t="s">
        <v>755</v>
      </c>
      <c r="E8" s="9" t="s">
        <v>46</v>
      </c>
      <c r="F8" s="2" t="s">
        <v>62</v>
      </c>
      <c r="G8">
        <v>116</v>
      </c>
      <c r="H8">
        <v>10</v>
      </c>
      <c r="I8" t="str">
        <f>Clean_Data!$I8</f>
        <v>Chittagong Kings</v>
      </c>
      <c r="J8">
        <v>120</v>
      </c>
      <c r="K8">
        <v>7</v>
      </c>
      <c r="L8" s="9" t="s">
        <v>47</v>
      </c>
      <c r="M8" s="9" t="s">
        <v>24</v>
      </c>
      <c r="N8" s="9" t="s">
        <v>37</v>
      </c>
      <c r="O8" s="9" t="s">
        <v>48</v>
      </c>
      <c r="P8" s="9" t="s">
        <v>41</v>
      </c>
      <c r="Q8" s="9" t="s">
        <v>28</v>
      </c>
      <c r="R8" s="9" t="s">
        <v>29</v>
      </c>
      <c r="S8">
        <v>3</v>
      </c>
      <c r="T8">
        <v>0</v>
      </c>
      <c r="U8" s="9" t="s">
        <v>49</v>
      </c>
      <c r="V8" s="9" t="s">
        <v>752</v>
      </c>
      <c r="W8">
        <v>3</v>
      </c>
      <c r="X8" s="9" t="s">
        <v>753</v>
      </c>
      <c r="Y8">
        <v>236</v>
      </c>
      <c r="Z8" s="9" t="s">
        <v>754</v>
      </c>
      <c r="AA8" s="9" t="s">
        <v>50</v>
      </c>
      <c r="AB8" s="9" t="s">
        <v>39</v>
      </c>
      <c r="AC8" s="9" t="s">
        <v>3</v>
      </c>
      <c r="AD8" s="9" t="s">
        <v>24</v>
      </c>
      <c r="AE8" s="9">
        <f>IF(Table5[[#This Row],[Team_Name]]=Table5[[#This Row],[Correct_Winner]],1,0)</f>
        <v>0</v>
      </c>
    </row>
    <row r="9" spans="1:31" x14ac:dyDescent="0.3">
      <c r="A9" s="9" t="s">
        <v>20</v>
      </c>
      <c r="B9">
        <v>2011</v>
      </c>
      <c r="C9" s="9" t="s">
        <v>45</v>
      </c>
      <c r="D9" s="9" t="s">
        <v>755</v>
      </c>
      <c r="E9" s="9" t="s">
        <v>46</v>
      </c>
      <c r="F9" s="3" t="s">
        <v>23</v>
      </c>
      <c r="G9">
        <v>116</v>
      </c>
      <c r="H9">
        <v>10</v>
      </c>
      <c r="I9" t="str">
        <f>Clean_Data!$I9</f>
        <v>Dhaka Gladiators</v>
      </c>
      <c r="J9">
        <v>120</v>
      </c>
      <c r="K9">
        <v>7</v>
      </c>
      <c r="L9" s="9" t="s">
        <v>47</v>
      </c>
      <c r="M9" s="9" t="s">
        <v>24</v>
      </c>
      <c r="N9" s="9" t="s">
        <v>37</v>
      </c>
      <c r="O9" s="9" t="s">
        <v>48</v>
      </c>
      <c r="P9" s="9" t="s">
        <v>41</v>
      </c>
      <c r="Q9" s="9" t="s">
        <v>28</v>
      </c>
      <c r="R9" s="9" t="s">
        <v>29</v>
      </c>
      <c r="S9">
        <v>3</v>
      </c>
      <c r="T9">
        <v>0</v>
      </c>
      <c r="U9" s="9" t="s">
        <v>49</v>
      </c>
      <c r="V9" s="9" t="s">
        <v>752</v>
      </c>
      <c r="W9">
        <v>3</v>
      </c>
      <c r="X9" s="9" t="s">
        <v>753</v>
      </c>
      <c r="Y9">
        <v>236</v>
      </c>
      <c r="Z9" s="9" t="s">
        <v>754</v>
      </c>
      <c r="AA9" s="9" t="s">
        <v>50</v>
      </c>
      <c r="AB9" s="9" t="s">
        <v>39</v>
      </c>
      <c r="AC9" s="9" t="s">
        <v>6</v>
      </c>
      <c r="AD9" s="9" t="s">
        <v>41</v>
      </c>
      <c r="AE9" s="9">
        <f>IF(Table5[[#This Row],[Team_Name]]=Table5[[#This Row],[Correct_Winner]],1,0)</f>
        <v>1</v>
      </c>
    </row>
    <row r="10" spans="1:31" x14ac:dyDescent="0.3">
      <c r="A10" s="9" t="s">
        <v>20</v>
      </c>
      <c r="B10">
        <v>2011</v>
      </c>
      <c r="C10" s="9" t="s">
        <v>51</v>
      </c>
      <c r="D10" s="9" t="s">
        <v>755</v>
      </c>
      <c r="E10" s="9" t="s">
        <v>52</v>
      </c>
      <c r="F10" s="2" t="s">
        <v>41</v>
      </c>
      <c r="G10">
        <v>150</v>
      </c>
      <c r="H10">
        <v>9</v>
      </c>
      <c r="I10" t="str">
        <f>Clean_Data!$I10</f>
        <v>Sylhet Royals</v>
      </c>
      <c r="J10">
        <v>151</v>
      </c>
      <c r="K10">
        <v>5</v>
      </c>
      <c r="L10" s="9" t="s">
        <v>54</v>
      </c>
      <c r="M10" s="9" t="s">
        <v>23</v>
      </c>
      <c r="N10" s="9" t="s">
        <v>26</v>
      </c>
      <c r="O10" s="9" t="s">
        <v>43</v>
      </c>
      <c r="P10" s="9" t="s">
        <v>23</v>
      </c>
      <c r="Q10" s="9" t="s">
        <v>28</v>
      </c>
      <c r="R10" s="9" t="s">
        <v>29</v>
      </c>
      <c r="S10">
        <v>5</v>
      </c>
      <c r="T10">
        <v>0</v>
      </c>
      <c r="U10" s="9" t="s">
        <v>55</v>
      </c>
      <c r="V10" s="9" t="s">
        <v>752</v>
      </c>
      <c r="W10">
        <v>5</v>
      </c>
      <c r="X10" s="9" t="s">
        <v>753</v>
      </c>
      <c r="Y10">
        <v>301</v>
      </c>
      <c r="Z10" s="9" t="s">
        <v>754</v>
      </c>
      <c r="AA10" s="9" t="s">
        <v>56</v>
      </c>
      <c r="AB10" s="9" t="s">
        <v>57</v>
      </c>
      <c r="AC10" s="9" t="s">
        <v>3</v>
      </c>
      <c r="AD10" s="9" t="s">
        <v>53</v>
      </c>
      <c r="AE10" s="9">
        <f>IF(Table5[[#This Row],[Team_Name]]=Table5[[#This Row],[Correct_Winner]],1,0)</f>
        <v>0</v>
      </c>
    </row>
    <row r="11" spans="1:31" x14ac:dyDescent="0.3">
      <c r="A11" s="9" t="s">
        <v>20</v>
      </c>
      <c r="B11">
        <v>2011</v>
      </c>
      <c r="C11" s="9" t="s">
        <v>51</v>
      </c>
      <c r="D11" s="9" t="s">
        <v>755</v>
      </c>
      <c r="E11" s="9" t="s">
        <v>52</v>
      </c>
      <c r="F11" s="3" t="s">
        <v>24</v>
      </c>
      <c r="G11">
        <v>150</v>
      </c>
      <c r="H11">
        <v>9</v>
      </c>
      <c r="I11" t="str">
        <f>Clean_Data!$I11</f>
        <v>Chittagong Kings</v>
      </c>
      <c r="J11">
        <v>151</v>
      </c>
      <c r="K11">
        <v>5</v>
      </c>
      <c r="L11" s="9" t="s">
        <v>54</v>
      </c>
      <c r="M11" s="9" t="s">
        <v>23</v>
      </c>
      <c r="N11" s="9" t="s">
        <v>26</v>
      </c>
      <c r="O11" s="9" t="s">
        <v>43</v>
      </c>
      <c r="P11" s="9" t="s">
        <v>23</v>
      </c>
      <c r="Q11" s="9" t="s">
        <v>28</v>
      </c>
      <c r="R11" s="9" t="s">
        <v>29</v>
      </c>
      <c r="S11">
        <v>5</v>
      </c>
      <c r="T11">
        <v>0</v>
      </c>
      <c r="U11" s="9" t="s">
        <v>55</v>
      </c>
      <c r="V11" s="9" t="s">
        <v>752</v>
      </c>
      <c r="W11">
        <v>5</v>
      </c>
      <c r="X11" s="9" t="s">
        <v>753</v>
      </c>
      <c r="Y11">
        <v>301</v>
      </c>
      <c r="Z11" s="9" t="s">
        <v>754</v>
      </c>
      <c r="AA11" s="9" t="s">
        <v>56</v>
      </c>
      <c r="AB11" s="9" t="s">
        <v>57</v>
      </c>
      <c r="AC11" s="9" t="s">
        <v>6</v>
      </c>
      <c r="AD11" s="9" t="s">
        <v>23</v>
      </c>
      <c r="AE11" s="9">
        <f>IF(Table5[[#This Row],[Team_Name]]=Table5[[#This Row],[Correct_Winner]],1,0)</f>
        <v>1</v>
      </c>
    </row>
    <row r="12" spans="1:31" x14ac:dyDescent="0.3">
      <c r="A12" s="9" t="s">
        <v>20</v>
      </c>
      <c r="B12">
        <v>2011</v>
      </c>
      <c r="C12" s="9" t="s">
        <v>58</v>
      </c>
      <c r="D12" s="9" t="s">
        <v>755</v>
      </c>
      <c r="E12" s="9" t="s">
        <v>52</v>
      </c>
      <c r="F12" s="2" t="s">
        <v>53</v>
      </c>
      <c r="G12">
        <v>106</v>
      </c>
      <c r="H12">
        <v>10</v>
      </c>
      <c r="I12" t="str">
        <f>Clean_Data!$I12</f>
        <v>Dhaka Gladiators</v>
      </c>
      <c r="J12">
        <v>110</v>
      </c>
      <c r="K12">
        <v>2</v>
      </c>
      <c r="L12" s="9" t="s">
        <v>59</v>
      </c>
      <c r="M12" s="9" t="s">
        <v>35</v>
      </c>
      <c r="N12" s="9" t="s">
        <v>37</v>
      </c>
      <c r="O12" s="9" t="s">
        <v>48</v>
      </c>
      <c r="P12" s="9" t="s">
        <v>41</v>
      </c>
      <c r="Q12" s="9" t="s">
        <v>28</v>
      </c>
      <c r="R12" s="9" t="s">
        <v>29</v>
      </c>
      <c r="S12">
        <v>8</v>
      </c>
      <c r="T12">
        <v>0</v>
      </c>
      <c r="U12" s="9" t="s">
        <v>30</v>
      </c>
      <c r="V12" s="9" t="s">
        <v>752</v>
      </c>
      <c r="W12">
        <v>8</v>
      </c>
      <c r="X12" s="9" t="s">
        <v>753</v>
      </c>
      <c r="Y12">
        <v>216</v>
      </c>
      <c r="Z12" s="9" t="s">
        <v>754</v>
      </c>
      <c r="AA12" s="9" t="s">
        <v>31</v>
      </c>
      <c r="AB12" s="9" t="s">
        <v>39</v>
      </c>
      <c r="AC12" s="9" t="s">
        <v>3</v>
      </c>
      <c r="AD12" s="9" t="s">
        <v>35</v>
      </c>
      <c r="AE12" s="9">
        <f>IF(Table5[[#This Row],[Team_Name]]=Table5[[#This Row],[Correct_Winner]],1,0)</f>
        <v>0</v>
      </c>
    </row>
    <row r="13" spans="1:31" x14ac:dyDescent="0.3">
      <c r="A13" s="9" t="s">
        <v>20</v>
      </c>
      <c r="B13">
        <v>2011</v>
      </c>
      <c r="C13" s="9" t="s">
        <v>58</v>
      </c>
      <c r="D13" s="9" t="s">
        <v>755</v>
      </c>
      <c r="E13" s="9" t="s">
        <v>52</v>
      </c>
      <c r="F13" s="3" t="s">
        <v>62</v>
      </c>
      <c r="G13">
        <v>106</v>
      </c>
      <c r="H13">
        <v>10</v>
      </c>
      <c r="I13" t="str">
        <f>Clean_Data!$I13</f>
        <v>Chittagong Kings</v>
      </c>
      <c r="J13">
        <v>110</v>
      </c>
      <c r="K13">
        <v>2</v>
      </c>
      <c r="L13" s="9" t="s">
        <v>59</v>
      </c>
      <c r="M13" s="9" t="s">
        <v>35</v>
      </c>
      <c r="N13" s="9" t="s">
        <v>37</v>
      </c>
      <c r="O13" s="9" t="s">
        <v>48</v>
      </c>
      <c r="P13" s="9" t="s">
        <v>41</v>
      </c>
      <c r="Q13" s="9" t="s">
        <v>28</v>
      </c>
      <c r="R13" s="9" t="s">
        <v>29</v>
      </c>
      <c r="S13">
        <v>8</v>
      </c>
      <c r="T13">
        <v>0</v>
      </c>
      <c r="U13" s="9" t="s">
        <v>30</v>
      </c>
      <c r="V13" s="9" t="s">
        <v>752</v>
      </c>
      <c r="W13">
        <v>8</v>
      </c>
      <c r="X13" s="9" t="s">
        <v>753</v>
      </c>
      <c r="Y13">
        <v>216</v>
      </c>
      <c r="Z13" s="9" t="s">
        <v>754</v>
      </c>
      <c r="AA13" s="9" t="s">
        <v>31</v>
      </c>
      <c r="AB13" s="9" t="s">
        <v>39</v>
      </c>
      <c r="AC13" s="9" t="s">
        <v>6</v>
      </c>
      <c r="AD13" s="9" t="s">
        <v>41</v>
      </c>
      <c r="AE13" s="9">
        <f>IF(Table5[[#This Row],[Team_Name]]=Table5[[#This Row],[Correct_Winner]],1,0)</f>
        <v>1</v>
      </c>
    </row>
    <row r="14" spans="1:31" x14ac:dyDescent="0.3">
      <c r="A14" s="9" t="s">
        <v>20</v>
      </c>
      <c r="B14">
        <v>2011</v>
      </c>
      <c r="C14" s="9" t="s">
        <v>60</v>
      </c>
      <c r="D14" s="9" t="s">
        <v>755</v>
      </c>
      <c r="E14" s="9" t="s">
        <v>61</v>
      </c>
      <c r="F14" s="2" t="s">
        <v>35</v>
      </c>
      <c r="G14">
        <v>165</v>
      </c>
      <c r="H14">
        <v>3</v>
      </c>
      <c r="I14" t="str">
        <f>Clean_Data!$I14</f>
        <v>Barisal Burners</v>
      </c>
      <c r="J14">
        <v>130</v>
      </c>
      <c r="K14">
        <v>8</v>
      </c>
      <c r="L14" s="9" t="s">
        <v>63</v>
      </c>
      <c r="M14" s="9" t="s">
        <v>53</v>
      </c>
      <c r="N14" s="9" t="s">
        <v>26</v>
      </c>
      <c r="O14" s="9" t="s">
        <v>64</v>
      </c>
      <c r="P14" s="9" t="s">
        <v>62</v>
      </c>
      <c r="Q14" s="9" t="s">
        <v>28</v>
      </c>
      <c r="R14" s="9" t="s">
        <v>29</v>
      </c>
      <c r="S14">
        <v>0</v>
      </c>
      <c r="T14">
        <v>35</v>
      </c>
      <c r="U14" s="9" t="s">
        <v>65</v>
      </c>
      <c r="V14" s="9" t="s">
        <v>756</v>
      </c>
      <c r="W14">
        <v>35</v>
      </c>
      <c r="X14" s="9" t="s">
        <v>757</v>
      </c>
      <c r="Y14">
        <v>295</v>
      </c>
      <c r="Z14" s="9" t="s">
        <v>754</v>
      </c>
      <c r="AA14" s="9" t="s">
        <v>31</v>
      </c>
      <c r="AB14" s="9" t="s">
        <v>66</v>
      </c>
      <c r="AC14" s="9" t="s">
        <v>3</v>
      </c>
      <c r="AD14" s="9" t="s">
        <v>62</v>
      </c>
      <c r="AE14" s="9">
        <f>IF(Table5[[#This Row],[Team_Name]]=Table5[[#This Row],[Correct_Winner]],1,0)</f>
        <v>1</v>
      </c>
    </row>
    <row r="15" spans="1:31" x14ac:dyDescent="0.3">
      <c r="A15" s="9" t="s">
        <v>20</v>
      </c>
      <c r="B15">
        <v>2011</v>
      </c>
      <c r="C15" s="9" t="s">
        <v>60</v>
      </c>
      <c r="D15" s="9" t="s">
        <v>755</v>
      </c>
      <c r="E15" s="9" t="s">
        <v>61</v>
      </c>
      <c r="F15" s="3" t="s">
        <v>62</v>
      </c>
      <c r="G15">
        <v>165</v>
      </c>
      <c r="H15">
        <v>3</v>
      </c>
      <c r="I15" t="str">
        <f>Clean_Data!$I15</f>
        <v>Dhaka Gladiators</v>
      </c>
      <c r="J15">
        <v>130</v>
      </c>
      <c r="K15">
        <v>8</v>
      </c>
      <c r="L15" s="9" t="s">
        <v>63</v>
      </c>
      <c r="M15" s="9" t="s">
        <v>53</v>
      </c>
      <c r="N15" s="9" t="s">
        <v>26</v>
      </c>
      <c r="O15" s="9" t="s">
        <v>64</v>
      </c>
      <c r="P15" s="9" t="s">
        <v>62</v>
      </c>
      <c r="Q15" s="9" t="s">
        <v>28</v>
      </c>
      <c r="R15" s="9" t="s">
        <v>29</v>
      </c>
      <c r="S15">
        <v>0</v>
      </c>
      <c r="T15">
        <v>35</v>
      </c>
      <c r="U15" s="9" t="s">
        <v>65</v>
      </c>
      <c r="V15" s="9" t="s">
        <v>756</v>
      </c>
      <c r="W15">
        <v>35</v>
      </c>
      <c r="X15" s="9" t="s">
        <v>757</v>
      </c>
      <c r="Y15">
        <v>295</v>
      </c>
      <c r="Z15" s="9" t="s">
        <v>754</v>
      </c>
      <c r="AA15" s="9" t="s">
        <v>31</v>
      </c>
      <c r="AB15" s="9" t="s">
        <v>66</v>
      </c>
      <c r="AC15" s="9" t="s">
        <v>6</v>
      </c>
      <c r="AD15" s="9" t="s">
        <v>53</v>
      </c>
      <c r="AE15" s="9">
        <f>IF(Table5[[#This Row],[Team_Name]]=Table5[[#This Row],[Correct_Winner]],1,0)</f>
        <v>0</v>
      </c>
    </row>
    <row r="16" spans="1:31" x14ac:dyDescent="0.3">
      <c r="A16" s="9" t="s">
        <v>20</v>
      </c>
      <c r="B16">
        <v>2011</v>
      </c>
      <c r="C16" s="9" t="s">
        <v>67</v>
      </c>
      <c r="D16" s="9" t="s">
        <v>755</v>
      </c>
      <c r="E16" s="9" t="s">
        <v>61</v>
      </c>
      <c r="F16" s="2" t="s">
        <v>41</v>
      </c>
      <c r="G16">
        <v>156</v>
      </c>
      <c r="H16">
        <v>6</v>
      </c>
      <c r="I16" t="str">
        <f>Clean_Data!$I16</f>
        <v>Chittagong Kings</v>
      </c>
      <c r="J16">
        <v>160</v>
      </c>
      <c r="K16">
        <v>5</v>
      </c>
      <c r="L16" s="9" t="s">
        <v>25</v>
      </c>
      <c r="M16" s="9" t="s">
        <v>24</v>
      </c>
      <c r="N16" s="9" t="s">
        <v>26</v>
      </c>
      <c r="O16" s="9" t="s">
        <v>27</v>
      </c>
      <c r="P16" s="9" t="s">
        <v>24</v>
      </c>
      <c r="Q16" s="9" t="s">
        <v>28</v>
      </c>
      <c r="R16" s="9" t="s">
        <v>29</v>
      </c>
      <c r="S16">
        <v>5</v>
      </c>
      <c r="T16">
        <v>0</v>
      </c>
      <c r="U16" s="9" t="s">
        <v>55</v>
      </c>
      <c r="V16" s="9" t="s">
        <v>752</v>
      </c>
      <c r="W16">
        <v>5</v>
      </c>
      <c r="X16" s="9" t="s">
        <v>753</v>
      </c>
      <c r="Y16">
        <v>316</v>
      </c>
      <c r="Z16" s="9" t="s">
        <v>754</v>
      </c>
      <c r="AA16" s="9" t="s">
        <v>57</v>
      </c>
      <c r="AB16" s="9" t="s">
        <v>39</v>
      </c>
      <c r="AC16" s="9" t="s">
        <v>3</v>
      </c>
      <c r="AD16" s="9" t="s">
        <v>23</v>
      </c>
      <c r="AE16" s="9">
        <f>IF(Table5[[#This Row],[Team_Name]]=Table5[[#This Row],[Correct_Winner]],1,0)</f>
        <v>0</v>
      </c>
    </row>
    <row r="17" spans="1:31" x14ac:dyDescent="0.3">
      <c r="A17" s="9" t="s">
        <v>20</v>
      </c>
      <c r="B17">
        <v>2011</v>
      </c>
      <c r="C17" s="9" t="s">
        <v>67</v>
      </c>
      <c r="D17" s="9" t="s">
        <v>755</v>
      </c>
      <c r="E17" s="9" t="s">
        <v>61</v>
      </c>
      <c r="F17" s="3" t="s">
        <v>35</v>
      </c>
      <c r="G17">
        <v>156</v>
      </c>
      <c r="H17">
        <v>6</v>
      </c>
      <c r="I17" t="str">
        <f>Clean_Data!$I17</f>
        <v>Chittagong Kings</v>
      </c>
      <c r="J17">
        <v>160</v>
      </c>
      <c r="K17">
        <v>5</v>
      </c>
      <c r="L17" s="9" t="s">
        <v>25</v>
      </c>
      <c r="M17" s="9" t="s">
        <v>24</v>
      </c>
      <c r="N17" s="9" t="s">
        <v>26</v>
      </c>
      <c r="O17" s="9" t="s">
        <v>27</v>
      </c>
      <c r="P17" s="9" t="s">
        <v>24</v>
      </c>
      <c r="Q17" s="9" t="s">
        <v>28</v>
      </c>
      <c r="R17" s="9" t="s">
        <v>29</v>
      </c>
      <c r="S17">
        <v>5</v>
      </c>
      <c r="T17">
        <v>0</v>
      </c>
      <c r="U17" s="9" t="s">
        <v>55</v>
      </c>
      <c r="V17" s="9" t="s">
        <v>752</v>
      </c>
      <c r="W17">
        <v>5</v>
      </c>
      <c r="X17" s="9" t="s">
        <v>753</v>
      </c>
      <c r="Y17">
        <v>316</v>
      </c>
      <c r="Z17" s="9" t="s">
        <v>754</v>
      </c>
      <c r="AA17" s="9" t="s">
        <v>57</v>
      </c>
      <c r="AB17" s="9" t="s">
        <v>39</v>
      </c>
      <c r="AC17" s="9" t="s">
        <v>6</v>
      </c>
      <c r="AD17" s="9" t="s">
        <v>24</v>
      </c>
      <c r="AE17" s="9">
        <f>IF(Table5[[#This Row],[Team_Name]]=Table5[[#This Row],[Correct_Winner]],1,0)</f>
        <v>1</v>
      </c>
    </row>
    <row r="18" spans="1:31" x14ac:dyDescent="0.3">
      <c r="A18" s="9" t="s">
        <v>20</v>
      </c>
      <c r="B18">
        <v>2011</v>
      </c>
      <c r="C18" s="9" t="s">
        <v>68</v>
      </c>
      <c r="D18" s="9" t="s">
        <v>755</v>
      </c>
      <c r="E18" s="9" t="s">
        <v>69</v>
      </c>
      <c r="F18" s="2" t="s">
        <v>24</v>
      </c>
      <c r="G18">
        <v>124</v>
      </c>
      <c r="H18">
        <v>9</v>
      </c>
      <c r="I18" t="str">
        <f>Clean_Data!$I18</f>
        <v>Sylhet Royals</v>
      </c>
      <c r="J18">
        <v>125</v>
      </c>
      <c r="K18">
        <v>1</v>
      </c>
      <c r="L18" s="9" t="s">
        <v>70</v>
      </c>
      <c r="M18" s="9" t="s">
        <v>62</v>
      </c>
      <c r="N18" s="9" t="s">
        <v>26</v>
      </c>
      <c r="O18" s="9" t="s">
        <v>64</v>
      </c>
      <c r="P18" s="9" t="s">
        <v>62</v>
      </c>
      <c r="Q18" s="9" t="s">
        <v>28</v>
      </c>
      <c r="R18" s="9" t="s">
        <v>29</v>
      </c>
      <c r="S18">
        <v>9</v>
      </c>
      <c r="T18">
        <v>0</v>
      </c>
      <c r="U18" s="9" t="s">
        <v>71</v>
      </c>
      <c r="V18" s="9" t="s">
        <v>752</v>
      </c>
      <c r="W18">
        <v>9</v>
      </c>
      <c r="X18" s="9" t="s">
        <v>753</v>
      </c>
      <c r="Y18">
        <v>249</v>
      </c>
      <c r="Z18" s="9" t="s">
        <v>754</v>
      </c>
      <c r="AA18" s="9" t="s">
        <v>72</v>
      </c>
      <c r="AB18" s="9" t="s">
        <v>57</v>
      </c>
      <c r="AC18" s="9" t="s">
        <v>3</v>
      </c>
      <c r="AD18" s="9" t="s">
        <v>41</v>
      </c>
      <c r="AE18" s="9">
        <f>IF(Table5[[#This Row],[Team_Name]]=Table5[[#This Row],[Correct_Winner]],1,0)</f>
        <v>0</v>
      </c>
    </row>
    <row r="19" spans="1:31" x14ac:dyDescent="0.3">
      <c r="A19" s="9" t="s">
        <v>20</v>
      </c>
      <c r="B19">
        <v>2011</v>
      </c>
      <c r="C19" s="9" t="s">
        <v>68</v>
      </c>
      <c r="D19" s="9" t="s">
        <v>755</v>
      </c>
      <c r="E19" s="9" t="s">
        <v>69</v>
      </c>
      <c r="F19" s="3" t="s">
        <v>23</v>
      </c>
      <c r="G19">
        <v>124</v>
      </c>
      <c r="H19">
        <v>9</v>
      </c>
      <c r="I19" t="str">
        <f>Clean_Data!$I19</f>
        <v>Duronto Rajshahi</v>
      </c>
      <c r="J19">
        <v>125</v>
      </c>
      <c r="K19">
        <v>1</v>
      </c>
      <c r="L19" s="9" t="s">
        <v>70</v>
      </c>
      <c r="M19" s="9" t="s">
        <v>62</v>
      </c>
      <c r="N19" s="9" t="s">
        <v>26</v>
      </c>
      <c r="O19" s="9" t="s">
        <v>64</v>
      </c>
      <c r="P19" s="9" t="s">
        <v>62</v>
      </c>
      <c r="Q19" s="9" t="s">
        <v>28</v>
      </c>
      <c r="R19" s="9" t="s">
        <v>29</v>
      </c>
      <c r="S19">
        <v>9</v>
      </c>
      <c r="T19">
        <v>0</v>
      </c>
      <c r="U19" s="9" t="s">
        <v>71</v>
      </c>
      <c r="V19" s="9" t="s">
        <v>752</v>
      </c>
      <c r="W19">
        <v>9</v>
      </c>
      <c r="X19" s="9" t="s">
        <v>753</v>
      </c>
      <c r="Y19">
        <v>249</v>
      </c>
      <c r="Z19" s="9" t="s">
        <v>754</v>
      </c>
      <c r="AA19" s="9" t="s">
        <v>72</v>
      </c>
      <c r="AB19" s="9" t="s">
        <v>57</v>
      </c>
      <c r="AC19" s="9" t="s">
        <v>6</v>
      </c>
      <c r="AD19" s="9" t="s">
        <v>62</v>
      </c>
      <c r="AE19" s="9">
        <f>IF(Table5[[#This Row],[Team_Name]]=Table5[[#This Row],[Correct_Winner]],1,0)</f>
        <v>1</v>
      </c>
    </row>
    <row r="20" spans="1:31" x14ac:dyDescent="0.3">
      <c r="A20" s="9" t="s">
        <v>73</v>
      </c>
      <c r="B20">
        <v>2012</v>
      </c>
      <c r="C20" s="9" t="s">
        <v>21</v>
      </c>
      <c r="D20" s="9" t="s">
        <v>21</v>
      </c>
      <c r="E20" s="9" t="s">
        <v>74</v>
      </c>
      <c r="F20" s="2" t="s">
        <v>24</v>
      </c>
      <c r="G20">
        <v>172</v>
      </c>
      <c r="H20">
        <v>9</v>
      </c>
      <c r="I20" t="str">
        <f>Clean_Data!$I20</f>
        <v>Chittagong Kings</v>
      </c>
      <c r="J20">
        <v>129</v>
      </c>
      <c r="K20">
        <v>10</v>
      </c>
      <c r="L20" s="9" t="s">
        <v>75</v>
      </c>
      <c r="M20" s="9" t="s">
        <v>53</v>
      </c>
      <c r="N20" s="9" t="s">
        <v>26</v>
      </c>
      <c r="O20" s="9" t="s">
        <v>27</v>
      </c>
      <c r="P20" s="9" t="s">
        <v>24</v>
      </c>
      <c r="Q20" s="9" t="s">
        <v>28</v>
      </c>
      <c r="R20" s="9" t="s">
        <v>29</v>
      </c>
      <c r="S20">
        <v>0</v>
      </c>
      <c r="T20">
        <v>43</v>
      </c>
      <c r="U20" s="9" t="s">
        <v>76</v>
      </c>
      <c r="V20" s="9" t="s">
        <v>756</v>
      </c>
      <c r="W20">
        <v>43</v>
      </c>
      <c r="X20" s="9" t="s">
        <v>757</v>
      </c>
      <c r="Y20">
        <v>301</v>
      </c>
      <c r="Z20" s="9" t="s">
        <v>754</v>
      </c>
      <c r="AA20" s="9" t="s">
        <v>32</v>
      </c>
      <c r="AB20" s="9" t="s">
        <v>77</v>
      </c>
      <c r="AC20" s="9" t="s">
        <v>3</v>
      </c>
      <c r="AD20" s="9" t="s">
        <v>24</v>
      </c>
      <c r="AE20" s="9">
        <f>IF(Table5[[#This Row],[Team_Name]]=Table5[[#This Row],[Correct_Winner]],1,0)</f>
        <v>1</v>
      </c>
    </row>
    <row r="21" spans="1:31" x14ac:dyDescent="0.3">
      <c r="A21" s="9" t="s">
        <v>73</v>
      </c>
      <c r="B21">
        <v>2012</v>
      </c>
      <c r="C21" s="9" t="s">
        <v>21</v>
      </c>
      <c r="D21" s="9" t="s">
        <v>21</v>
      </c>
      <c r="E21" s="9" t="s">
        <v>74</v>
      </c>
      <c r="F21" s="3" t="s">
        <v>62</v>
      </c>
      <c r="G21">
        <v>172</v>
      </c>
      <c r="H21">
        <v>9</v>
      </c>
      <c r="I21" t="str">
        <f>Clean_Data!$I21</f>
        <v>Barisal Burners</v>
      </c>
      <c r="J21">
        <v>129</v>
      </c>
      <c r="K21">
        <v>10</v>
      </c>
      <c r="L21" s="9" t="s">
        <v>75</v>
      </c>
      <c r="M21" s="9" t="s">
        <v>53</v>
      </c>
      <c r="N21" s="9" t="s">
        <v>26</v>
      </c>
      <c r="O21" s="9" t="s">
        <v>27</v>
      </c>
      <c r="P21" s="9" t="s">
        <v>24</v>
      </c>
      <c r="Q21" s="9" t="s">
        <v>28</v>
      </c>
      <c r="R21" s="9" t="s">
        <v>29</v>
      </c>
      <c r="S21">
        <v>0</v>
      </c>
      <c r="T21">
        <v>43</v>
      </c>
      <c r="U21" s="9" t="s">
        <v>76</v>
      </c>
      <c r="V21" s="9" t="s">
        <v>756</v>
      </c>
      <c r="W21">
        <v>43</v>
      </c>
      <c r="X21" s="9" t="s">
        <v>757</v>
      </c>
      <c r="Y21">
        <v>301</v>
      </c>
      <c r="Z21" s="9" t="s">
        <v>754</v>
      </c>
      <c r="AA21" s="9" t="s">
        <v>32</v>
      </c>
      <c r="AB21" s="9" t="s">
        <v>77</v>
      </c>
      <c r="AC21" s="9" t="s">
        <v>6</v>
      </c>
      <c r="AD21" s="9" t="s">
        <v>53</v>
      </c>
      <c r="AE21" s="9">
        <f>IF(Table5[[#This Row],[Team_Name]]=Table5[[#This Row],[Correct_Winner]],1,0)</f>
        <v>0</v>
      </c>
    </row>
    <row r="22" spans="1:31" x14ac:dyDescent="0.3">
      <c r="A22" s="9" t="s">
        <v>20</v>
      </c>
      <c r="B22">
        <v>2011</v>
      </c>
      <c r="C22" s="9" t="s">
        <v>78</v>
      </c>
      <c r="D22" s="9" t="s">
        <v>755</v>
      </c>
      <c r="E22" s="9" t="s">
        <v>69</v>
      </c>
      <c r="F22" s="2" t="s">
        <v>23</v>
      </c>
      <c r="G22">
        <v>120</v>
      </c>
      <c r="H22">
        <v>6</v>
      </c>
      <c r="I22" t="str">
        <f>Clean_Data!$I22</f>
        <v>Rangpur Riders</v>
      </c>
      <c r="J22">
        <v>107</v>
      </c>
      <c r="K22">
        <v>9</v>
      </c>
      <c r="L22" s="9" t="s">
        <v>79</v>
      </c>
      <c r="M22" s="9" t="s">
        <v>24</v>
      </c>
      <c r="N22" s="9" t="s">
        <v>26</v>
      </c>
      <c r="O22" s="9" t="s">
        <v>80</v>
      </c>
      <c r="P22" s="9" t="s">
        <v>53</v>
      </c>
      <c r="Q22" s="9" t="s">
        <v>28</v>
      </c>
      <c r="R22" s="9" t="s">
        <v>29</v>
      </c>
      <c r="S22">
        <v>0</v>
      </c>
      <c r="T22">
        <v>13</v>
      </c>
      <c r="U22" s="9" t="s">
        <v>81</v>
      </c>
      <c r="V22" s="9" t="s">
        <v>756</v>
      </c>
      <c r="W22">
        <v>13</v>
      </c>
      <c r="X22" s="9" t="s">
        <v>757</v>
      </c>
      <c r="Y22">
        <v>227</v>
      </c>
      <c r="Z22" s="9" t="s">
        <v>754</v>
      </c>
      <c r="AA22" s="9" t="s">
        <v>31</v>
      </c>
      <c r="AB22" s="9" t="s">
        <v>39</v>
      </c>
      <c r="AC22" s="9" t="s">
        <v>3</v>
      </c>
      <c r="AD22" s="9" t="s">
        <v>53</v>
      </c>
      <c r="AE22" s="9">
        <f>IF(Table5[[#This Row],[Team_Name]]=Table5[[#This Row],[Correct_Winner]],1,0)</f>
        <v>1</v>
      </c>
    </row>
    <row r="23" spans="1:31" x14ac:dyDescent="0.3">
      <c r="A23" s="9" t="s">
        <v>20</v>
      </c>
      <c r="B23">
        <v>2011</v>
      </c>
      <c r="C23" s="9" t="s">
        <v>78</v>
      </c>
      <c r="D23" s="9" t="s">
        <v>755</v>
      </c>
      <c r="E23" s="9" t="s">
        <v>69</v>
      </c>
      <c r="F23" s="3" t="s">
        <v>24</v>
      </c>
      <c r="G23">
        <v>120</v>
      </c>
      <c r="H23">
        <v>6</v>
      </c>
      <c r="I23" t="str">
        <f>Clean_Data!$I23</f>
        <v>Khulna Royal Bengals</v>
      </c>
      <c r="J23">
        <v>107</v>
      </c>
      <c r="K23">
        <v>9</v>
      </c>
      <c r="L23" s="9" t="s">
        <v>79</v>
      </c>
      <c r="M23" s="9" t="s">
        <v>24</v>
      </c>
      <c r="N23" s="9" t="s">
        <v>26</v>
      </c>
      <c r="O23" s="9" t="s">
        <v>80</v>
      </c>
      <c r="P23" s="9" t="s">
        <v>53</v>
      </c>
      <c r="Q23" s="9" t="s">
        <v>28</v>
      </c>
      <c r="R23" s="9" t="s">
        <v>29</v>
      </c>
      <c r="S23">
        <v>0</v>
      </c>
      <c r="T23">
        <v>13</v>
      </c>
      <c r="U23" s="9" t="s">
        <v>81</v>
      </c>
      <c r="V23" s="9" t="s">
        <v>756</v>
      </c>
      <c r="W23">
        <v>13</v>
      </c>
      <c r="X23" s="9" t="s">
        <v>757</v>
      </c>
      <c r="Y23">
        <v>227</v>
      </c>
      <c r="Z23" s="9" t="s">
        <v>754</v>
      </c>
      <c r="AA23" s="9" t="s">
        <v>31</v>
      </c>
      <c r="AB23" s="9" t="s">
        <v>39</v>
      </c>
      <c r="AC23" s="9" t="s">
        <v>6</v>
      </c>
      <c r="AD23" s="9" t="s">
        <v>24</v>
      </c>
      <c r="AE23" s="9">
        <f>IF(Table5[[#This Row],[Team_Name]]=Table5[[#This Row],[Correct_Winner]],1,0)</f>
        <v>0</v>
      </c>
    </row>
    <row r="24" spans="1:31" x14ac:dyDescent="0.3">
      <c r="A24" s="9" t="s">
        <v>73</v>
      </c>
      <c r="B24">
        <v>2012</v>
      </c>
      <c r="C24" s="9" t="s">
        <v>82</v>
      </c>
      <c r="D24" s="9" t="s">
        <v>21</v>
      </c>
      <c r="E24" s="9" t="s">
        <v>83</v>
      </c>
      <c r="F24" s="2" t="s">
        <v>23</v>
      </c>
      <c r="G24">
        <v>149</v>
      </c>
      <c r="H24">
        <v>7</v>
      </c>
      <c r="I24" t="str">
        <f>Clean_Data!$I24</f>
        <v>Sylhet Royals</v>
      </c>
      <c r="J24">
        <v>150</v>
      </c>
      <c r="K24">
        <v>7</v>
      </c>
      <c r="L24" s="9" t="s">
        <v>84</v>
      </c>
      <c r="M24" s="9" t="s">
        <v>53</v>
      </c>
      <c r="N24" s="9" t="s">
        <v>26</v>
      </c>
      <c r="O24" s="9" t="s">
        <v>80</v>
      </c>
      <c r="P24" s="9" t="s">
        <v>53</v>
      </c>
      <c r="Q24" s="9" t="s">
        <v>28</v>
      </c>
      <c r="R24" s="9" t="s">
        <v>29</v>
      </c>
      <c r="S24">
        <v>3</v>
      </c>
      <c r="T24">
        <v>0</v>
      </c>
      <c r="U24" s="9" t="s">
        <v>49</v>
      </c>
      <c r="V24" s="9" t="s">
        <v>752</v>
      </c>
      <c r="W24">
        <v>3</v>
      </c>
      <c r="X24" s="9" t="s">
        <v>753</v>
      </c>
      <c r="Y24">
        <v>299</v>
      </c>
      <c r="Z24" s="9" t="s">
        <v>754</v>
      </c>
      <c r="AA24" s="9" t="s">
        <v>32</v>
      </c>
      <c r="AB24" s="9" t="s">
        <v>57</v>
      </c>
      <c r="AC24" s="9" t="s">
        <v>3</v>
      </c>
      <c r="AD24" s="9" t="s">
        <v>62</v>
      </c>
      <c r="AE24" s="9">
        <f>IF(Table5[[#This Row],[Team_Name]]=Table5[[#This Row],[Correct_Winner]],1,0)</f>
        <v>0</v>
      </c>
    </row>
    <row r="25" spans="1:31" x14ac:dyDescent="0.3">
      <c r="A25" s="9" t="s">
        <v>73</v>
      </c>
      <c r="B25">
        <v>2012</v>
      </c>
      <c r="C25" s="9" t="s">
        <v>82</v>
      </c>
      <c r="D25" s="9" t="s">
        <v>21</v>
      </c>
      <c r="E25" s="9" t="s">
        <v>83</v>
      </c>
      <c r="F25" s="3" t="s">
        <v>41</v>
      </c>
      <c r="G25">
        <v>149</v>
      </c>
      <c r="H25">
        <v>7</v>
      </c>
      <c r="I25" t="str">
        <f>Clean_Data!$I25</f>
        <v>Chittagong Kings</v>
      </c>
      <c r="J25">
        <v>150</v>
      </c>
      <c r="K25">
        <v>7</v>
      </c>
      <c r="L25" s="9" t="s">
        <v>84</v>
      </c>
      <c r="M25" s="9" t="s">
        <v>53</v>
      </c>
      <c r="N25" s="9" t="s">
        <v>26</v>
      </c>
      <c r="O25" s="9" t="s">
        <v>80</v>
      </c>
      <c r="P25" s="9" t="s">
        <v>53</v>
      </c>
      <c r="Q25" s="9" t="s">
        <v>28</v>
      </c>
      <c r="R25" s="9" t="s">
        <v>29</v>
      </c>
      <c r="S25">
        <v>3</v>
      </c>
      <c r="T25">
        <v>0</v>
      </c>
      <c r="U25" s="9" t="s">
        <v>49</v>
      </c>
      <c r="V25" s="9" t="s">
        <v>752</v>
      </c>
      <c r="W25">
        <v>3</v>
      </c>
      <c r="X25" s="9" t="s">
        <v>753</v>
      </c>
      <c r="Y25">
        <v>299</v>
      </c>
      <c r="Z25" s="9" t="s">
        <v>754</v>
      </c>
      <c r="AA25" s="9" t="s">
        <v>32</v>
      </c>
      <c r="AB25" s="9" t="s">
        <v>57</v>
      </c>
      <c r="AC25" s="9" t="s">
        <v>6</v>
      </c>
      <c r="AD25" s="9" t="s">
        <v>53</v>
      </c>
      <c r="AE25" s="9">
        <f>IF(Table5[[#This Row],[Team_Name]]=Table5[[#This Row],[Correct_Winner]],1,0)</f>
        <v>1</v>
      </c>
    </row>
    <row r="26" spans="1:31" x14ac:dyDescent="0.3">
      <c r="A26" s="9" t="s">
        <v>20</v>
      </c>
      <c r="B26">
        <v>2011</v>
      </c>
      <c r="C26" s="9" t="s">
        <v>85</v>
      </c>
      <c r="D26" s="9" t="s">
        <v>755</v>
      </c>
      <c r="E26" s="9" t="s">
        <v>86</v>
      </c>
      <c r="F26" s="2" t="s">
        <v>35</v>
      </c>
      <c r="G26">
        <v>161</v>
      </c>
      <c r="H26">
        <v>7</v>
      </c>
      <c r="I26" t="str">
        <f>Clean_Data!$I26</f>
        <v>Sylhet Royals</v>
      </c>
      <c r="J26">
        <v>162</v>
      </c>
      <c r="K26">
        <v>6</v>
      </c>
      <c r="L26" s="9" t="s">
        <v>87</v>
      </c>
      <c r="M26" s="9" t="s">
        <v>35</v>
      </c>
      <c r="N26" s="9" t="s">
        <v>37</v>
      </c>
      <c r="O26" s="9" t="s">
        <v>43</v>
      </c>
      <c r="P26" s="9" t="s">
        <v>23</v>
      </c>
      <c r="Q26" s="9" t="s">
        <v>88</v>
      </c>
      <c r="R26" s="9" t="s">
        <v>89</v>
      </c>
      <c r="S26">
        <v>4</v>
      </c>
      <c r="T26">
        <v>0</v>
      </c>
      <c r="U26" s="9" t="s">
        <v>90</v>
      </c>
      <c r="V26" s="9" t="s">
        <v>752</v>
      </c>
      <c r="W26">
        <v>4</v>
      </c>
      <c r="X26" s="9" t="s">
        <v>753</v>
      </c>
      <c r="Y26">
        <v>323</v>
      </c>
      <c r="Z26" s="9" t="s">
        <v>754</v>
      </c>
      <c r="AA26" s="9" t="s">
        <v>32</v>
      </c>
      <c r="AB26" s="9" t="s">
        <v>57</v>
      </c>
      <c r="AC26" s="9" t="s">
        <v>3</v>
      </c>
      <c r="AD26" s="9" t="s">
        <v>35</v>
      </c>
      <c r="AE26" s="9">
        <f>IF(Table5[[#This Row],[Team_Name]]=Table5[[#This Row],[Correct_Winner]],1,0)</f>
        <v>0</v>
      </c>
    </row>
    <row r="27" spans="1:31" x14ac:dyDescent="0.3">
      <c r="A27" s="9" t="s">
        <v>20</v>
      </c>
      <c r="B27">
        <v>2011</v>
      </c>
      <c r="C27" s="9" t="s">
        <v>85</v>
      </c>
      <c r="D27" s="9" t="s">
        <v>755</v>
      </c>
      <c r="E27" s="9" t="s">
        <v>86</v>
      </c>
      <c r="F27" s="3" t="s">
        <v>53</v>
      </c>
      <c r="G27">
        <v>161</v>
      </c>
      <c r="H27">
        <v>7</v>
      </c>
      <c r="I27" t="str">
        <f>Clean_Data!$I27</f>
        <v>Duronto Rajshahi</v>
      </c>
      <c r="J27">
        <v>162</v>
      </c>
      <c r="K27">
        <v>6</v>
      </c>
      <c r="L27" s="9" t="s">
        <v>87</v>
      </c>
      <c r="M27" s="9" t="s">
        <v>35</v>
      </c>
      <c r="N27" s="9" t="s">
        <v>37</v>
      </c>
      <c r="O27" s="9" t="s">
        <v>43</v>
      </c>
      <c r="P27" s="9" t="s">
        <v>23</v>
      </c>
      <c r="Q27" s="9" t="s">
        <v>88</v>
      </c>
      <c r="R27" s="9" t="s">
        <v>89</v>
      </c>
      <c r="S27">
        <v>4</v>
      </c>
      <c r="T27">
        <v>0</v>
      </c>
      <c r="U27" s="9" t="s">
        <v>90</v>
      </c>
      <c r="V27" s="9" t="s">
        <v>752</v>
      </c>
      <c r="W27">
        <v>4</v>
      </c>
      <c r="X27" s="9" t="s">
        <v>753</v>
      </c>
      <c r="Y27">
        <v>323</v>
      </c>
      <c r="Z27" s="9" t="s">
        <v>754</v>
      </c>
      <c r="AA27" s="9" t="s">
        <v>32</v>
      </c>
      <c r="AB27" s="9" t="s">
        <v>57</v>
      </c>
      <c r="AC27" s="9" t="s">
        <v>6</v>
      </c>
      <c r="AD27" s="9" t="s">
        <v>23</v>
      </c>
      <c r="AE27" s="9">
        <f>IF(Table5[[#This Row],[Team_Name]]=Table5[[#This Row],[Correct_Winner]],1,0)</f>
        <v>1</v>
      </c>
    </row>
    <row r="28" spans="1:31" x14ac:dyDescent="0.3">
      <c r="A28" s="9" t="s">
        <v>20</v>
      </c>
      <c r="B28">
        <v>2011</v>
      </c>
      <c r="C28" s="9" t="s">
        <v>91</v>
      </c>
      <c r="D28" s="9" t="s">
        <v>755</v>
      </c>
      <c r="E28" s="9" t="s">
        <v>86</v>
      </c>
      <c r="F28" s="2" t="s">
        <v>41</v>
      </c>
      <c r="G28">
        <v>128</v>
      </c>
      <c r="H28">
        <v>7</v>
      </c>
      <c r="I28" t="str">
        <f>Clean_Data!$I28</f>
        <v>Dhaka Gladiators</v>
      </c>
      <c r="J28">
        <v>132</v>
      </c>
      <c r="K28">
        <v>2</v>
      </c>
      <c r="L28" s="9" t="s">
        <v>36</v>
      </c>
      <c r="M28" s="9" t="s">
        <v>24</v>
      </c>
      <c r="N28" s="9" t="s">
        <v>26</v>
      </c>
      <c r="O28" s="9" t="s">
        <v>27</v>
      </c>
      <c r="P28" s="9" t="s">
        <v>24</v>
      </c>
      <c r="Q28" s="9" t="s">
        <v>88</v>
      </c>
      <c r="R28" s="9" t="s">
        <v>89</v>
      </c>
      <c r="S28">
        <v>8</v>
      </c>
      <c r="T28">
        <v>0</v>
      </c>
      <c r="U28" s="9" t="s">
        <v>30</v>
      </c>
      <c r="V28" s="9" t="s">
        <v>752</v>
      </c>
      <c r="W28">
        <v>8</v>
      </c>
      <c r="X28" s="9" t="s">
        <v>753</v>
      </c>
      <c r="Y28">
        <v>260</v>
      </c>
      <c r="Z28" s="9" t="s">
        <v>754</v>
      </c>
      <c r="AA28" s="9" t="s">
        <v>31</v>
      </c>
      <c r="AB28" s="9" t="s">
        <v>44</v>
      </c>
      <c r="AC28" s="9" t="s">
        <v>3</v>
      </c>
      <c r="AD28" s="9" t="s">
        <v>62</v>
      </c>
      <c r="AE28" s="9">
        <f>IF(Table5[[#This Row],[Team_Name]]=Table5[[#This Row],[Correct_Winner]],1,0)</f>
        <v>0</v>
      </c>
    </row>
    <row r="29" spans="1:31" x14ac:dyDescent="0.3">
      <c r="A29" s="9" t="s">
        <v>20</v>
      </c>
      <c r="B29">
        <v>2011</v>
      </c>
      <c r="C29" s="9" t="s">
        <v>91</v>
      </c>
      <c r="D29" s="9" t="s">
        <v>755</v>
      </c>
      <c r="E29" s="9" t="s">
        <v>86</v>
      </c>
      <c r="F29" s="3" t="s">
        <v>24</v>
      </c>
      <c r="G29">
        <v>128</v>
      </c>
      <c r="H29">
        <v>7</v>
      </c>
      <c r="I29" t="str">
        <f>Clean_Data!$I29</f>
        <v>Barisal Burners</v>
      </c>
      <c r="J29">
        <v>132</v>
      </c>
      <c r="K29">
        <v>2</v>
      </c>
      <c r="L29" s="9" t="s">
        <v>36</v>
      </c>
      <c r="M29" s="9" t="s">
        <v>24</v>
      </c>
      <c r="N29" s="9" t="s">
        <v>26</v>
      </c>
      <c r="O29" s="9" t="s">
        <v>27</v>
      </c>
      <c r="P29" s="9" t="s">
        <v>24</v>
      </c>
      <c r="Q29" s="9" t="s">
        <v>88</v>
      </c>
      <c r="R29" s="9" t="s">
        <v>89</v>
      </c>
      <c r="S29">
        <v>8</v>
      </c>
      <c r="T29">
        <v>0</v>
      </c>
      <c r="U29" s="9" t="s">
        <v>30</v>
      </c>
      <c r="V29" s="9" t="s">
        <v>752</v>
      </c>
      <c r="W29">
        <v>8</v>
      </c>
      <c r="X29" s="9" t="s">
        <v>753</v>
      </c>
      <c r="Y29">
        <v>260</v>
      </c>
      <c r="Z29" s="9" t="s">
        <v>754</v>
      </c>
      <c r="AA29" s="9" t="s">
        <v>31</v>
      </c>
      <c r="AB29" s="9" t="s">
        <v>44</v>
      </c>
      <c r="AC29" s="9" t="s">
        <v>6</v>
      </c>
      <c r="AD29" s="9" t="s">
        <v>24</v>
      </c>
      <c r="AE29" s="9">
        <f>IF(Table5[[#This Row],[Team_Name]]=Table5[[#This Row],[Correct_Winner]],1,0)</f>
        <v>1</v>
      </c>
    </row>
    <row r="30" spans="1:31" x14ac:dyDescent="0.3">
      <c r="A30" s="9" t="s">
        <v>73</v>
      </c>
      <c r="B30">
        <v>2012</v>
      </c>
      <c r="C30" s="9" t="s">
        <v>92</v>
      </c>
      <c r="D30" s="9" t="s">
        <v>158</v>
      </c>
      <c r="E30" s="9" t="s">
        <v>93</v>
      </c>
      <c r="F30" s="2" t="s">
        <v>23</v>
      </c>
      <c r="G30">
        <v>107</v>
      </c>
      <c r="H30">
        <v>7</v>
      </c>
      <c r="I30" t="str">
        <f>Clean_Data!$I30</f>
        <v>Chittagong Kings</v>
      </c>
      <c r="J30">
        <v>108</v>
      </c>
      <c r="K30">
        <v>6</v>
      </c>
      <c r="L30" s="9" t="s">
        <v>94</v>
      </c>
      <c r="M30" s="9" t="s">
        <v>41</v>
      </c>
      <c r="N30" s="9" t="s">
        <v>37</v>
      </c>
      <c r="O30" s="9" t="s">
        <v>80</v>
      </c>
      <c r="P30" s="9" t="s">
        <v>53</v>
      </c>
      <c r="Q30" s="9" t="s">
        <v>28</v>
      </c>
      <c r="R30" s="9" t="s">
        <v>29</v>
      </c>
      <c r="S30">
        <v>4</v>
      </c>
      <c r="T30">
        <v>0</v>
      </c>
      <c r="U30" s="9" t="s">
        <v>90</v>
      </c>
      <c r="V30" s="9" t="s">
        <v>752</v>
      </c>
      <c r="W30">
        <v>4</v>
      </c>
      <c r="X30" s="9" t="s">
        <v>753</v>
      </c>
      <c r="Y30">
        <v>215</v>
      </c>
      <c r="Z30" s="9" t="s">
        <v>754</v>
      </c>
      <c r="AA30" s="9" t="s">
        <v>72</v>
      </c>
      <c r="AB30" s="9" t="s">
        <v>77</v>
      </c>
      <c r="AC30" s="9" t="s">
        <v>3</v>
      </c>
      <c r="AD30" s="9" t="s">
        <v>41</v>
      </c>
      <c r="AE30" s="9">
        <f>IF(Table5[[#This Row],[Team_Name]]=Table5[[#This Row],[Correct_Winner]],1,0)</f>
        <v>0</v>
      </c>
    </row>
    <row r="31" spans="1:31" x14ac:dyDescent="0.3">
      <c r="A31" s="9" t="s">
        <v>73</v>
      </c>
      <c r="B31">
        <v>2012</v>
      </c>
      <c r="C31" s="9" t="s">
        <v>92</v>
      </c>
      <c r="D31" s="9" t="s">
        <v>158</v>
      </c>
      <c r="E31" s="9" t="s">
        <v>93</v>
      </c>
      <c r="F31" s="3" t="s">
        <v>142</v>
      </c>
      <c r="G31">
        <v>107</v>
      </c>
      <c r="H31">
        <v>7</v>
      </c>
      <c r="I31" t="str">
        <f>Clean_Data!$I31</f>
        <v>Comilla Victorians</v>
      </c>
      <c r="J31">
        <v>108</v>
      </c>
      <c r="K31">
        <v>6</v>
      </c>
      <c r="L31" s="9" t="s">
        <v>94</v>
      </c>
      <c r="M31" s="9" t="s">
        <v>41</v>
      </c>
      <c r="N31" s="9" t="s">
        <v>37</v>
      </c>
      <c r="O31" s="9" t="s">
        <v>80</v>
      </c>
      <c r="P31" s="9" t="s">
        <v>53</v>
      </c>
      <c r="Q31" s="9" t="s">
        <v>28</v>
      </c>
      <c r="R31" s="9" t="s">
        <v>29</v>
      </c>
      <c r="S31">
        <v>4</v>
      </c>
      <c r="T31">
        <v>0</v>
      </c>
      <c r="U31" s="9" t="s">
        <v>90</v>
      </c>
      <c r="V31" s="9" t="s">
        <v>752</v>
      </c>
      <c r="W31">
        <v>4</v>
      </c>
      <c r="X31" s="9" t="s">
        <v>753</v>
      </c>
      <c r="Y31">
        <v>215</v>
      </c>
      <c r="Z31" s="9" t="s">
        <v>754</v>
      </c>
      <c r="AA31" s="9" t="s">
        <v>72</v>
      </c>
      <c r="AB31" s="9" t="s">
        <v>77</v>
      </c>
      <c r="AC31" s="9" t="s">
        <v>6</v>
      </c>
      <c r="AD31" s="9" t="s">
        <v>53</v>
      </c>
      <c r="AE31" s="9">
        <f>IF(Table5[[#This Row],[Team_Name]]=Table5[[#This Row],[Correct_Winner]],1,0)</f>
        <v>1</v>
      </c>
    </row>
    <row r="32" spans="1:31" x14ac:dyDescent="0.3">
      <c r="A32" s="9" t="s">
        <v>20</v>
      </c>
      <c r="B32">
        <v>2011</v>
      </c>
      <c r="C32" s="9" t="s">
        <v>95</v>
      </c>
      <c r="D32" s="9" t="s">
        <v>755</v>
      </c>
      <c r="E32" s="9" t="s">
        <v>96</v>
      </c>
      <c r="F32" s="2" t="s">
        <v>35</v>
      </c>
      <c r="G32">
        <v>137</v>
      </c>
      <c r="H32">
        <v>6</v>
      </c>
      <c r="I32" t="str">
        <f>Clean_Data!$I32</f>
        <v>Duronto Rajshahi</v>
      </c>
      <c r="J32">
        <v>93</v>
      </c>
      <c r="K32">
        <v>10</v>
      </c>
      <c r="L32" s="9" t="s">
        <v>97</v>
      </c>
      <c r="M32" s="9" t="s">
        <v>53</v>
      </c>
      <c r="N32" s="9" t="s">
        <v>26</v>
      </c>
      <c r="O32" s="9" t="s">
        <v>98</v>
      </c>
      <c r="P32" s="9" t="s">
        <v>35</v>
      </c>
      <c r="Q32" s="9" t="s">
        <v>88</v>
      </c>
      <c r="R32" s="9" t="s">
        <v>89</v>
      </c>
      <c r="S32">
        <v>0</v>
      </c>
      <c r="T32">
        <v>44</v>
      </c>
      <c r="U32" s="9" t="s">
        <v>99</v>
      </c>
      <c r="V32" s="9" t="s">
        <v>756</v>
      </c>
      <c r="W32">
        <v>44</v>
      </c>
      <c r="X32" s="9" t="s">
        <v>757</v>
      </c>
      <c r="Y32">
        <v>230</v>
      </c>
      <c r="Z32" s="9" t="s">
        <v>754</v>
      </c>
      <c r="AA32" s="9" t="s">
        <v>31</v>
      </c>
      <c r="AB32" s="9" t="s">
        <v>44</v>
      </c>
      <c r="AC32" s="9" t="s">
        <v>3</v>
      </c>
      <c r="AD32" s="9" t="s">
        <v>35</v>
      </c>
      <c r="AE32" s="9">
        <f>IF(Table5[[#This Row],[Team_Name]]=Table5[[#This Row],[Correct_Winner]],1,0)</f>
        <v>1</v>
      </c>
    </row>
    <row r="33" spans="1:31" x14ac:dyDescent="0.3">
      <c r="A33" s="9" t="s">
        <v>20</v>
      </c>
      <c r="B33">
        <v>2011</v>
      </c>
      <c r="C33" s="9" t="s">
        <v>95</v>
      </c>
      <c r="D33" s="9" t="s">
        <v>755</v>
      </c>
      <c r="E33" s="9" t="s">
        <v>96</v>
      </c>
      <c r="F33" s="3" t="s">
        <v>113</v>
      </c>
      <c r="G33">
        <v>137</v>
      </c>
      <c r="H33">
        <v>6</v>
      </c>
      <c r="I33" t="str">
        <f>Clean_Data!$I33</f>
        <v>Barisal Bulls</v>
      </c>
      <c r="J33">
        <v>93</v>
      </c>
      <c r="K33">
        <v>10</v>
      </c>
      <c r="L33" s="9" t="s">
        <v>97</v>
      </c>
      <c r="M33" s="9" t="s">
        <v>53</v>
      </c>
      <c r="N33" s="9" t="s">
        <v>26</v>
      </c>
      <c r="O33" s="9" t="s">
        <v>98</v>
      </c>
      <c r="P33" s="9" t="s">
        <v>35</v>
      </c>
      <c r="Q33" s="9" t="s">
        <v>88</v>
      </c>
      <c r="R33" s="9" t="s">
        <v>89</v>
      </c>
      <c r="S33">
        <v>0</v>
      </c>
      <c r="T33">
        <v>44</v>
      </c>
      <c r="U33" s="9" t="s">
        <v>99</v>
      </c>
      <c r="V33" s="9" t="s">
        <v>756</v>
      </c>
      <c r="W33">
        <v>44</v>
      </c>
      <c r="X33" s="9" t="s">
        <v>757</v>
      </c>
      <c r="Y33">
        <v>230</v>
      </c>
      <c r="Z33" s="9" t="s">
        <v>754</v>
      </c>
      <c r="AA33" s="9" t="s">
        <v>31</v>
      </c>
      <c r="AB33" s="9" t="s">
        <v>44</v>
      </c>
      <c r="AC33" s="9" t="s">
        <v>6</v>
      </c>
      <c r="AD33" s="9" t="s">
        <v>53</v>
      </c>
      <c r="AE33" s="9">
        <f>IF(Table5[[#This Row],[Team_Name]]=Table5[[#This Row],[Correct_Winner]],1,0)</f>
        <v>0</v>
      </c>
    </row>
    <row r="34" spans="1:31" x14ac:dyDescent="0.3">
      <c r="A34" s="9" t="s">
        <v>73</v>
      </c>
      <c r="B34">
        <v>2012</v>
      </c>
      <c r="C34" s="9" t="s">
        <v>100</v>
      </c>
      <c r="D34" s="9" t="s">
        <v>755</v>
      </c>
      <c r="E34" s="9" t="s">
        <v>101</v>
      </c>
      <c r="F34" s="2" t="s">
        <v>62</v>
      </c>
      <c r="G34">
        <v>197</v>
      </c>
      <c r="H34">
        <v>9</v>
      </c>
      <c r="I34" t="str">
        <f>Clean_Data!$I34</f>
        <v>Chittagong Kings</v>
      </c>
      <c r="J34">
        <v>193</v>
      </c>
      <c r="K34">
        <v>6</v>
      </c>
      <c r="L34" s="9" t="s">
        <v>102</v>
      </c>
      <c r="M34" s="9" t="s">
        <v>62</v>
      </c>
      <c r="N34" s="9" t="s">
        <v>26</v>
      </c>
      <c r="O34" s="9" t="s">
        <v>27</v>
      </c>
      <c r="P34" s="9" t="s">
        <v>24</v>
      </c>
      <c r="Q34" s="9" t="s">
        <v>28</v>
      </c>
      <c r="R34" s="9" t="s">
        <v>29</v>
      </c>
      <c r="S34">
        <v>0</v>
      </c>
      <c r="T34">
        <v>4</v>
      </c>
      <c r="U34" s="9" t="s">
        <v>103</v>
      </c>
      <c r="V34" s="9" t="s">
        <v>756</v>
      </c>
      <c r="W34">
        <v>4</v>
      </c>
      <c r="X34" s="9" t="s">
        <v>753</v>
      </c>
      <c r="Y34">
        <v>390</v>
      </c>
      <c r="Z34" s="9" t="s">
        <v>754</v>
      </c>
      <c r="AA34" s="9" t="s">
        <v>32</v>
      </c>
      <c r="AB34" s="9" t="s">
        <v>57</v>
      </c>
      <c r="AC34" s="9" t="s">
        <v>3</v>
      </c>
      <c r="AD34" s="9" t="s">
        <v>24</v>
      </c>
      <c r="AE34" s="9">
        <f>IF(Table5[[#This Row],[Team_Name]]=Table5[[#This Row],[Correct_Winner]],1,0)</f>
        <v>1</v>
      </c>
    </row>
    <row r="35" spans="1:31" x14ac:dyDescent="0.3">
      <c r="A35" s="9" t="s">
        <v>73</v>
      </c>
      <c r="B35">
        <v>2012</v>
      </c>
      <c r="C35" s="9" t="s">
        <v>100</v>
      </c>
      <c r="D35" s="9" t="s">
        <v>755</v>
      </c>
      <c r="E35" s="9" t="s">
        <v>101</v>
      </c>
      <c r="F35" s="3" t="s">
        <v>142</v>
      </c>
      <c r="G35">
        <v>197</v>
      </c>
      <c r="H35">
        <v>9</v>
      </c>
      <c r="I35" t="str">
        <f>Clean_Data!$I35</f>
        <v>Dhaka Dynamites</v>
      </c>
      <c r="J35">
        <v>193</v>
      </c>
      <c r="K35">
        <v>6</v>
      </c>
      <c r="L35" s="9" t="s">
        <v>102</v>
      </c>
      <c r="M35" s="9" t="s">
        <v>62</v>
      </c>
      <c r="N35" s="9" t="s">
        <v>26</v>
      </c>
      <c r="O35" s="9" t="s">
        <v>27</v>
      </c>
      <c r="P35" s="9" t="s">
        <v>24</v>
      </c>
      <c r="Q35" s="9" t="s">
        <v>28</v>
      </c>
      <c r="R35" s="9" t="s">
        <v>29</v>
      </c>
      <c r="S35">
        <v>0</v>
      </c>
      <c r="T35">
        <v>4</v>
      </c>
      <c r="U35" s="9" t="s">
        <v>103</v>
      </c>
      <c r="V35" s="9" t="s">
        <v>756</v>
      </c>
      <c r="W35">
        <v>4</v>
      </c>
      <c r="X35" s="9" t="s">
        <v>753</v>
      </c>
      <c r="Y35">
        <v>390</v>
      </c>
      <c r="Z35" s="9" t="s">
        <v>754</v>
      </c>
      <c r="AA35" s="9" t="s">
        <v>32</v>
      </c>
      <c r="AB35" s="9" t="s">
        <v>57</v>
      </c>
      <c r="AC35" s="9" t="s">
        <v>6</v>
      </c>
      <c r="AD35" s="9" t="s">
        <v>62</v>
      </c>
      <c r="AE35" s="9">
        <f>IF(Table5[[#This Row],[Team_Name]]=Table5[[#This Row],[Correct_Winner]],1,0)</f>
        <v>0</v>
      </c>
    </row>
    <row r="36" spans="1:31" x14ac:dyDescent="0.3">
      <c r="A36" s="9" t="s">
        <v>20</v>
      </c>
      <c r="B36">
        <v>2011</v>
      </c>
      <c r="C36" s="9" t="s">
        <v>104</v>
      </c>
      <c r="D36" s="9" t="s">
        <v>755</v>
      </c>
      <c r="E36" s="9" t="s">
        <v>96</v>
      </c>
      <c r="F36" s="2" t="s">
        <v>24</v>
      </c>
      <c r="G36">
        <v>192</v>
      </c>
      <c r="H36">
        <v>3</v>
      </c>
      <c r="I36" t="str">
        <f>Clean_Data!$I36</f>
        <v>Barisal Burners</v>
      </c>
      <c r="J36">
        <v>193</v>
      </c>
      <c r="K36">
        <v>1</v>
      </c>
      <c r="L36" s="9" t="s">
        <v>105</v>
      </c>
      <c r="M36" s="9" t="s">
        <v>23</v>
      </c>
      <c r="N36" s="9" t="s">
        <v>37</v>
      </c>
      <c r="O36" s="9" t="s">
        <v>48</v>
      </c>
      <c r="P36" s="9" t="s">
        <v>41</v>
      </c>
      <c r="Q36" s="9" t="s">
        <v>88</v>
      </c>
      <c r="R36" s="9" t="s">
        <v>89</v>
      </c>
      <c r="S36">
        <v>9</v>
      </c>
      <c r="T36">
        <v>0</v>
      </c>
      <c r="U36" s="9" t="s">
        <v>71</v>
      </c>
      <c r="V36" s="9" t="s">
        <v>752</v>
      </c>
      <c r="W36">
        <v>9</v>
      </c>
      <c r="X36" s="9" t="s">
        <v>753</v>
      </c>
      <c r="Y36">
        <v>385</v>
      </c>
      <c r="Z36" s="9" t="s">
        <v>754</v>
      </c>
      <c r="AA36" s="9" t="s">
        <v>32</v>
      </c>
      <c r="AB36" s="9" t="s">
        <v>57</v>
      </c>
      <c r="AC36" s="9" t="s">
        <v>3</v>
      </c>
      <c r="AD36" s="9" t="s">
        <v>23</v>
      </c>
      <c r="AE36" s="9">
        <f>IF(Table5[[#This Row],[Team_Name]]=Table5[[#This Row],[Correct_Winner]],1,0)</f>
        <v>0</v>
      </c>
    </row>
    <row r="37" spans="1:31" x14ac:dyDescent="0.3">
      <c r="A37" s="9" t="s">
        <v>20</v>
      </c>
      <c r="B37">
        <v>2011</v>
      </c>
      <c r="C37" s="9" t="s">
        <v>104</v>
      </c>
      <c r="D37" s="9" t="s">
        <v>755</v>
      </c>
      <c r="E37" s="9" t="s">
        <v>96</v>
      </c>
      <c r="F37" s="3" t="s">
        <v>143</v>
      </c>
      <c r="G37">
        <v>192</v>
      </c>
      <c r="H37">
        <v>3</v>
      </c>
      <c r="I37" t="str">
        <f>Clean_Data!$I37</f>
        <v>Rangpur Riders</v>
      </c>
      <c r="J37">
        <v>193</v>
      </c>
      <c r="K37">
        <v>1</v>
      </c>
      <c r="L37" s="9" t="s">
        <v>105</v>
      </c>
      <c r="M37" s="9" t="s">
        <v>23</v>
      </c>
      <c r="N37" s="9" t="s">
        <v>37</v>
      </c>
      <c r="O37" s="9" t="s">
        <v>48</v>
      </c>
      <c r="P37" s="9" t="s">
        <v>41</v>
      </c>
      <c r="Q37" s="9" t="s">
        <v>88</v>
      </c>
      <c r="R37" s="9" t="s">
        <v>89</v>
      </c>
      <c r="S37">
        <v>9</v>
      </c>
      <c r="T37">
        <v>0</v>
      </c>
      <c r="U37" s="9" t="s">
        <v>71</v>
      </c>
      <c r="V37" s="9" t="s">
        <v>752</v>
      </c>
      <c r="W37">
        <v>9</v>
      </c>
      <c r="X37" s="9" t="s">
        <v>753</v>
      </c>
      <c r="Y37">
        <v>385</v>
      </c>
      <c r="Z37" s="9" t="s">
        <v>754</v>
      </c>
      <c r="AA37" s="9" t="s">
        <v>32</v>
      </c>
      <c r="AB37" s="9" t="s">
        <v>57</v>
      </c>
      <c r="AC37" s="9" t="s">
        <v>6</v>
      </c>
      <c r="AD37" s="9" t="s">
        <v>41</v>
      </c>
      <c r="AE37" s="9">
        <f>IF(Table5[[#This Row],[Team_Name]]=Table5[[#This Row],[Correct_Winner]],1,0)</f>
        <v>1</v>
      </c>
    </row>
    <row r="38" spans="1:31" x14ac:dyDescent="0.3">
      <c r="A38" s="9" t="s">
        <v>73</v>
      </c>
      <c r="B38">
        <v>2012</v>
      </c>
      <c r="C38" s="9" t="s">
        <v>106</v>
      </c>
      <c r="D38" s="9" t="s">
        <v>755</v>
      </c>
      <c r="E38" s="9" t="s">
        <v>107</v>
      </c>
      <c r="F38" s="2" t="s">
        <v>41</v>
      </c>
      <c r="G38">
        <v>168</v>
      </c>
      <c r="H38">
        <v>6</v>
      </c>
      <c r="I38" t="str">
        <f>Clean_Data!$I38</f>
        <v>Sylhet Royals</v>
      </c>
      <c r="J38">
        <v>139</v>
      </c>
      <c r="K38">
        <v>9</v>
      </c>
      <c r="L38" s="9" t="s">
        <v>108</v>
      </c>
      <c r="M38" s="9" t="s">
        <v>53</v>
      </c>
      <c r="N38" s="9" t="s">
        <v>26</v>
      </c>
      <c r="O38" s="9" t="s">
        <v>27</v>
      </c>
      <c r="P38" s="9" t="s">
        <v>24</v>
      </c>
      <c r="Q38" s="9" t="s">
        <v>28</v>
      </c>
      <c r="R38" s="9" t="s">
        <v>29</v>
      </c>
      <c r="S38">
        <v>0</v>
      </c>
      <c r="T38">
        <v>29</v>
      </c>
      <c r="U38" s="9" t="s">
        <v>109</v>
      </c>
      <c r="V38" s="9" t="s">
        <v>756</v>
      </c>
      <c r="W38">
        <v>29</v>
      </c>
      <c r="X38" s="9" t="s">
        <v>757</v>
      </c>
      <c r="Y38">
        <v>307</v>
      </c>
      <c r="Z38" s="9" t="s">
        <v>754</v>
      </c>
      <c r="AA38" s="9" t="s">
        <v>72</v>
      </c>
      <c r="AB38" s="9" t="s">
        <v>57</v>
      </c>
      <c r="AC38" s="9" t="s">
        <v>3</v>
      </c>
      <c r="AD38" s="9" t="s">
        <v>24</v>
      </c>
      <c r="AE38" s="9">
        <f>IF(Table5[[#This Row],[Team_Name]]=Table5[[#This Row],[Correct_Winner]],1,0)</f>
        <v>1</v>
      </c>
    </row>
    <row r="39" spans="1:31" x14ac:dyDescent="0.3">
      <c r="A39" s="9" t="s">
        <v>73</v>
      </c>
      <c r="B39">
        <v>2012</v>
      </c>
      <c r="C39" s="9" t="s">
        <v>106</v>
      </c>
      <c r="D39" s="9" t="s">
        <v>755</v>
      </c>
      <c r="E39" s="9" t="s">
        <v>107</v>
      </c>
      <c r="F39" s="3" t="s">
        <v>53</v>
      </c>
      <c r="G39">
        <v>168</v>
      </c>
      <c r="H39">
        <v>6</v>
      </c>
      <c r="I39" t="str">
        <f>Clean_Data!$I39</f>
        <v>Dhaka Gladiators</v>
      </c>
      <c r="J39">
        <v>139</v>
      </c>
      <c r="K39">
        <v>9</v>
      </c>
      <c r="L39" s="9" t="s">
        <v>108</v>
      </c>
      <c r="M39" s="9" t="s">
        <v>53</v>
      </c>
      <c r="N39" s="9" t="s">
        <v>26</v>
      </c>
      <c r="O39" s="9" t="s">
        <v>27</v>
      </c>
      <c r="P39" s="9" t="s">
        <v>24</v>
      </c>
      <c r="Q39" s="9" t="s">
        <v>28</v>
      </c>
      <c r="R39" s="9" t="s">
        <v>29</v>
      </c>
      <c r="S39">
        <v>0</v>
      </c>
      <c r="T39">
        <v>29</v>
      </c>
      <c r="U39" s="9" t="s">
        <v>109</v>
      </c>
      <c r="V39" s="9" t="s">
        <v>756</v>
      </c>
      <c r="W39">
        <v>29</v>
      </c>
      <c r="X39" s="9" t="s">
        <v>757</v>
      </c>
      <c r="Y39">
        <v>307</v>
      </c>
      <c r="Z39" s="9" t="s">
        <v>754</v>
      </c>
      <c r="AA39" s="9" t="s">
        <v>72</v>
      </c>
      <c r="AB39" s="9" t="s">
        <v>57</v>
      </c>
      <c r="AC39" s="9" t="s">
        <v>6</v>
      </c>
      <c r="AD39" s="9" t="s">
        <v>53</v>
      </c>
      <c r="AE39" s="9">
        <f>IF(Table5[[#This Row],[Team_Name]]=Table5[[#This Row],[Correct_Winner]],1,0)</f>
        <v>0</v>
      </c>
    </row>
    <row r="40" spans="1:31" x14ac:dyDescent="0.3">
      <c r="A40" s="9" t="s">
        <v>20</v>
      </c>
      <c r="B40">
        <v>2011</v>
      </c>
      <c r="C40" s="9" t="s">
        <v>110</v>
      </c>
      <c r="D40" s="9" t="s">
        <v>755</v>
      </c>
      <c r="E40" s="9" t="s">
        <v>111</v>
      </c>
      <c r="F40" s="2" t="s">
        <v>143</v>
      </c>
      <c r="G40">
        <v>120</v>
      </c>
      <c r="H40">
        <v>7</v>
      </c>
      <c r="I40" t="str">
        <f>Clean_Data!$I40</f>
        <v>Sylhet Super Stars</v>
      </c>
      <c r="J40">
        <v>121</v>
      </c>
      <c r="K40">
        <v>1</v>
      </c>
      <c r="L40" s="9" t="s">
        <v>54</v>
      </c>
      <c r="M40" s="9" t="s">
        <v>62</v>
      </c>
      <c r="N40" s="9" t="s">
        <v>37</v>
      </c>
      <c r="O40" s="9" t="s">
        <v>43</v>
      </c>
      <c r="P40" s="9" t="s">
        <v>23</v>
      </c>
      <c r="Q40" s="9" t="s">
        <v>88</v>
      </c>
      <c r="R40" s="9" t="s">
        <v>89</v>
      </c>
      <c r="S40">
        <v>9</v>
      </c>
      <c r="T40">
        <v>0</v>
      </c>
      <c r="U40" s="9" t="s">
        <v>71</v>
      </c>
      <c r="V40" s="9" t="s">
        <v>752</v>
      </c>
      <c r="W40">
        <v>9</v>
      </c>
      <c r="X40" s="9" t="s">
        <v>753</v>
      </c>
      <c r="Y40">
        <v>241</v>
      </c>
      <c r="Z40" s="9" t="s">
        <v>754</v>
      </c>
      <c r="AA40" s="9" t="s">
        <v>32</v>
      </c>
      <c r="AB40" s="9" t="s">
        <v>57</v>
      </c>
      <c r="AC40" s="9" t="s">
        <v>3</v>
      </c>
      <c r="AD40" s="9" t="s">
        <v>62</v>
      </c>
      <c r="AE40" s="9">
        <f>IF(Table5[[#This Row],[Team_Name]]=Table5[[#This Row],[Correct_Winner]],1,0)</f>
        <v>0</v>
      </c>
    </row>
    <row r="41" spans="1:31" x14ac:dyDescent="0.3">
      <c r="A41" s="9" t="s">
        <v>20</v>
      </c>
      <c r="B41">
        <v>2011</v>
      </c>
      <c r="C41" s="9" t="s">
        <v>110</v>
      </c>
      <c r="D41" s="9" t="s">
        <v>755</v>
      </c>
      <c r="E41" s="9" t="s">
        <v>111</v>
      </c>
      <c r="F41" s="3" t="s">
        <v>23</v>
      </c>
      <c r="G41">
        <v>120</v>
      </c>
      <c r="H41">
        <v>7</v>
      </c>
      <c r="I41" t="str">
        <f>Clean_Data!$I41</f>
        <v>Khulna Royal Bengals</v>
      </c>
      <c r="J41">
        <v>121</v>
      </c>
      <c r="K41">
        <v>1</v>
      </c>
      <c r="L41" s="9" t="s">
        <v>54</v>
      </c>
      <c r="M41" s="9" t="s">
        <v>62</v>
      </c>
      <c r="N41" s="9" t="s">
        <v>37</v>
      </c>
      <c r="O41" s="9" t="s">
        <v>43</v>
      </c>
      <c r="P41" s="9" t="s">
        <v>23</v>
      </c>
      <c r="Q41" s="9" t="s">
        <v>88</v>
      </c>
      <c r="R41" s="9" t="s">
        <v>89</v>
      </c>
      <c r="S41">
        <v>9</v>
      </c>
      <c r="T41">
        <v>0</v>
      </c>
      <c r="U41" s="9" t="s">
        <v>71</v>
      </c>
      <c r="V41" s="9" t="s">
        <v>752</v>
      </c>
      <c r="W41">
        <v>9</v>
      </c>
      <c r="X41" s="9" t="s">
        <v>753</v>
      </c>
      <c r="Y41">
        <v>241</v>
      </c>
      <c r="Z41" s="9" t="s">
        <v>754</v>
      </c>
      <c r="AA41" s="9" t="s">
        <v>32</v>
      </c>
      <c r="AB41" s="9" t="s">
        <v>57</v>
      </c>
      <c r="AC41" s="9" t="s">
        <v>6</v>
      </c>
      <c r="AD41" s="9" t="s">
        <v>23</v>
      </c>
      <c r="AE41" s="9">
        <f>IF(Table5[[#This Row],[Team_Name]]=Table5[[#This Row],[Correct_Winner]],1,0)</f>
        <v>1</v>
      </c>
    </row>
    <row r="42" spans="1:31" x14ac:dyDescent="0.3">
      <c r="A42" s="9" t="s">
        <v>73</v>
      </c>
      <c r="B42">
        <v>2012</v>
      </c>
      <c r="C42" s="9" t="s">
        <v>112</v>
      </c>
      <c r="D42" s="9" t="s">
        <v>755</v>
      </c>
      <c r="E42" s="9" t="s">
        <v>107</v>
      </c>
      <c r="F42" s="2" t="s">
        <v>179</v>
      </c>
      <c r="G42">
        <v>139</v>
      </c>
      <c r="H42">
        <v>7</v>
      </c>
      <c r="I42" t="str">
        <f>Clean_Data!$I42</f>
        <v>Barisal Bulls</v>
      </c>
      <c r="J42">
        <v>113</v>
      </c>
      <c r="K42">
        <v>10</v>
      </c>
      <c r="L42" s="9" t="s">
        <v>114</v>
      </c>
      <c r="M42" s="9" t="s">
        <v>23</v>
      </c>
      <c r="N42" s="9" t="s">
        <v>37</v>
      </c>
      <c r="O42" s="9" t="s">
        <v>43</v>
      </c>
      <c r="P42" s="9" t="s">
        <v>23</v>
      </c>
      <c r="Q42" s="9" t="s">
        <v>28</v>
      </c>
      <c r="R42" s="9" t="s">
        <v>29</v>
      </c>
      <c r="S42">
        <v>0</v>
      </c>
      <c r="T42">
        <v>26</v>
      </c>
      <c r="U42" s="9" t="s">
        <v>115</v>
      </c>
      <c r="V42" s="9" t="s">
        <v>756</v>
      </c>
      <c r="W42">
        <v>26</v>
      </c>
      <c r="X42" s="9" t="s">
        <v>757</v>
      </c>
      <c r="Y42">
        <v>252</v>
      </c>
      <c r="Z42" s="9" t="s">
        <v>754</v>
      </c>
      <c r="AA42" s="9" t="s">
        <v>32</v>
      </c>
      <c r="AB42" s="9" t="s">
        <v>57</v>
      </c>
      <c r="AC42" s="9" t="s">
        <v>3</v>
      </c>
      <c r="AD42" s="9" t="s">
        <v>23</v>
      </c>
      <c r="AE42" s="9">
        <f>IF(Table5[[#This Row],[Team_Name]]=Table5[[#This Row],[Correct_Winner]],1,0)</f>
        <v>1</v>
      </c>
    </row>
    <row r="43" spans="1:31" x14ac:dyDescent="0.3">
      <c r="A43" s="9" t="s">
        <v>73</v>
      </c>
      <c r="B43">
        <v>2012</v>
      </c>
      <c r="C43" s="9" t="s">
        <v>112</v>
      </c>
      <c r="D43" s="9" t="s">
        <v>755</v>
      </c>
      <c r="E43" s="9" t="s">
        <v>107</v>
      </c>
      <c r="F43" s="3" t="s">
        <v>62</v>
      </c>
      <c r="G43">
        <v>139</v>
      </c>
      <c r="H43">
        <v>7</v>
      </c>
      <c r="I43" t="str">
        <f>Clean_Data!$I43</f>
        <v>Dhaka Gladiators</v>
      </c>
      <c r="J43">
        <v>113</v>
      </c>
      <c r="K43">
        <v>10</v>
      </c>
      <c r="L43" s="9" t="s">
        <v>114</v>
      </c>
      <c r="M43" s="9" t="s">
        <v>23</v>
      </c>
      <c r="N43" s="9" t="s">
        <v>37</v>
      </c>
      <c r="O43" s="9" t="s">
        <v>43</v>
      </c>
      <c r="P43" s="9" t="s">
        <v>23</v>
      </c>
      <c r="Q43" s="9" t="s">
        <v>28</v>
      </c>
      <c r="R43" s="9" t="s">
        <v>29</v>
      </c>
      <c r="S43">
        <v>0</v>
      </c>
      <c r="T43">
        <v>26</v>
      </c>
      <c r="U43" s="9" t="s">
        <v>115</v>
      </c>
      <c r="V43" s="9" t="s">
        <v>756</v>
      </c>
      <c r="W43">
        <v>26</v>
      </c>
      <c r="X43" s="9" t="s">
        <v>757</v>
      </c>
      <c r="Y43">
        <v>252</v>
      </c>
      <c r="Z43" s="9" t="s">
        <v>754</v>
      </c>
      <c r="AA43" s="9" t="s">
        <v>32</v>
      </c>
      <c r="AB43" s="9" t="s">
        <v>57</v>
      </c>
      <c r="AC43" s="9" t="s">
        <v>6</v>
      </c>
      <c r="AD43" s="9" t="s">
        <v>113</v>
      </c>
      <c r="AE43" s="9">
        <f>IF(Table5[[#This Row],[Team_Name]]=Table5[[#This Row],[Correct_Winner]],1,0)</f>
        <v>0</v>
      </c>
    </row>
    <row r="44" spans="1:31" x14ac:dyDescent="0.3">
      <c r="A44" s="9" t="s">
        <v>20</v>
      </c>
      <c r="B44">
        <v>2011</v>
      </c>
      <c r="C44" s="9" t="s">
        <v>116</v>
      </c>
      <c r="D44" s="9" t="s">
        <v>755</v>
      </c>
      <c r="E44" s="9" t="s">
        <v>111</v>
      </c>
      <c r="F44" s="2" t="s">
        <v>160</v>
      </c>
      <c r="G44">
        <v>140</v>
      </c>
      <c r="H44">
        <v>8</v>
      </c>
      <c r="I44" t="str">
        <f>Clean_Data!$I44</f>
        <v>Sylhet Super Stars</v>
      </c>
      <c r="J44">
        <v>141</v>
      </c>
      <c r="K44">
        <v>3</v>
      </c>
      <c r="L44" s="9" t="s">
        <v>117</v>
      </c>
      <c r="M44" s="9" t="s">
        <v>24</v>
      </c>
      <c r="N44" s="9" t="s">
        <v>37</v>
      </c>
      <c r="O44" s="9" t="s">
        <v>98</v>
      </c>
      <c r="P44" s="9" t="s">
        <v>35</v>
      </c>
      <c r="Q44" s="9" t="s">
        <v>88</v>
      </c>
      <c r="R44" s="9" t="s">
        <v>89</v>
      </c>
      <c r="S44">
        <v>7</v>
      </c>
      <c r="T44">
        <v>0</v>
      </c>
      <c r="U44" s="9" t="s">
        <v>118</v>
      </c>
      <c r="V44" s="9" t="s">
        <v>752</v>
      </c>
      <c r="W44">
        <v>7</v>
      </c>
      <c r="X44" s="9" t="s">
        <v>753</v>
      </c>
      <c r="Y44">
        <v>281</v>
      </c>
      <c r="Z44" s="9" t="s">
        <v>754</v>
      </c>
      <c r="AA44" s="9" t="s">
        <v>31</v>
      </c>
      <c r="AB44" s="9" t="s">
        <v>44</v>
      </c>
      <c r="AC44" s="9" t="s">
        <v>3</v>
      </c>
      <c r="AD44" s="9" t="s">
        <v>24</v>
      </c>
      <c r="AE44" s="9">
        <f>IF(Table5[[#This Row],[Team_Name]]=Table5[[#This Row],[Correct_Winner]],1,0)</f>
        <v>0</v>
      </c>
    </row>
    <row r="45" spans="1:31" x14ac:dyDescent="0.3">
      <c r="A45" s="9" t="s">
        <v>20</v>
      </c>
      <c r="B45">
        <v>2011</v>
      </c>
      <c r="C45" s="9" t="s">
        <v>116</v>
      </c>
      <c r="D45" s="9" t="s">
        <v>755</v>
      </c>
      <c r="E45" s="9" t="s">
        <v>111</v>
      </c>
      <c r="F45" s="3" t="s">
        <v>35</v>
      </c>
      <c r="G45">
        <v>140</v>
      </c>
      <c r="H45">
        <v>8</v>
      </c>
      <c r="I45" t="str">
        <f>Clean_Data!$I45</f>
        <v>Chittagong Kings</v>
      </c>
      <c r="J45">
        <v>141</v>
      </c>
      <c r="K45">
        <v>3</v>
      </c>
      <c r="L45" s="9" t="s">
        <v>117</v>
      </c>
      <c r="M45" s="9" t="s">
        <v>24</v>
      </c>
      <c r="N45" s="9" t="s">
        <v>37</v>
      </c>
      <c r="O45" s="9" t="s">
        <v>98</v>
      </c>
      <c r="P45" s="9" t="s">
        <v>35</v>
      </c>
      <c r="Q45" s="9" t="s">
        <v>88</v>
      </c>
      <c r="R45" s="9" t="s">
        <v>89</v>
      </c>
      <c r="S45">
        <v>7</v>
      </c>
      <c r="T45">
        <v>0</v>
      </c>
      <c r="U45" s="9" t="s">
        <v>118</v>
      </c>
      <c r="V45" s="9" t="s">
        <v>752</v>
      </c>
      <c r="W45">
        <v>7</v>
      </c>
      <c r="X45" s="9" t="s">
        <v>753</v>
      </c>
      <c r="Y45">
        <v>281</v>
      </c>
      <c r="Z45" s="9" t="s">
        <v>754</v>
      </c>
      <c r="AA45" s="9" t="s">
        <v>31</v>
      </c>
      <c r="AB45" s="9" t="s">
        <v>44</v>
      </c>
      <c r="AC45" s="9" t="s">
        <v>6</v>
      </c>
      <c r="AD45" s="9" t="s">
        <v>35</v>
      </c>
      <c r="AE45" s="9">
        <f>IF(Table5[[#This Row],[Team_Name]]=Table5[[#This Row],[Correct_Winner]],1,0)</f>
        <v>1</v>
      </c>
    </row>
    <row r="46" spans="1:31" x14ac:dyDescent="0.3">
      <c r="A46" s="9" t="s">
        <v>73</v>
      </c>
      <c r="B46">
        <v>2012</v>
      </c>
      <c r="C46" s="9" t="s">
        <v>119</v>
      </c>
      <c r="D46" s="9" t="s">
        <v>755</v>
      </c>
      <c r="E46" s="9" t="s">
        <v>120</v>
      </c>
      <c r="F46" s="2" t="s">
        <v>113</v>
      </c>
      <c r="G46">
        <v>144</v>
      </c>
      <c r="H46">
        <v>9</v>
      </c>
      <c r="I46" t="str">
        <f>Clean_Data!$I46</f>
        <v>Comilla Victorians</v>
      </c>
      <c r="J46">
        <v>145</v>
      </c>
      <c r="K46">
        <v>9</v>
      </c>
      <c r="L46" s="9" t="s">
        <v>121</v>
      </c>
      <c r="M46" s="9" t="s">
        <v>62</v>
      </c>
      <c r="N46" s="9" t="s">
        <v>26</v>
      </c>
      <c r="O46" s="9" t="s">
        <v>64</v>
      </c>
      <c r="P46" s="9" t="s">
        <v>62</v>
      </c>
      <c r="Q46" s="9" t="s">
        <v>28</v>
      </c>
      <c r="R46" s="9" t="s">
        <v>29</v>
      </c>
      <c r="S46">
        <v>0</v>
      </c>
      <c r="T46">
        <v>0</v>
      </c>
      <c r="U46" s="9" t="s">
        <v>122</v>
      </c>
      <c r="V46" s="9" t="s">
        <v>752</v>
      </c>
      <c r="W46">
        <v>0</v>
      </c>
      <c r="X46" s="9" t="s">
        <v>753</v>
      </c>
      <c r="Y46">
        <v>289</v>
      </c>
      <c r="Z46" s="9" t="s">
        <v>754</v>
      </c>
      <c r="AA46" s="9" t="s">
        <v>32</v>
      </c>
      <c r="AB46" s="9" t="s">
        <v>57</v>
      </c>
      <c r="AC46" s="9" t="s">
        <v>3</v>
      </c>
      <c r="AD46" s="9" t="s">
        <v>23</v>
      </c>
      <c r="AE46" s="9">
        <f>IF(Table5[[#This Row],[Team_Name]]=Table5[[#This Row],[Correct_Winner]],1,0)</f>
        <v>0</v>
      </c>
    </row>
    <row r="47" spans="1:31" x14ac:dyDescent="0.3">
      <c r="A47" s="9" t="s">
        <v>73</v>
      </c>
      <c r="B47">
        <v>2012</v>
      </c>
      <c r="C47" s="9" t="s">
        <v>119</v>
      </c>
      <c r="D47" s="9" t="s">
        <v>755</v>
      </c>
      <c r="E47" s="9" t="s">
        <v>120</v>
      </c>
      <c r="F47" s="3" t="s">
        <v>23</v>
      </c>
      <c r="G47">
        <v>144</v>
      </c>
      <c r="H47">
        <v>9</v>
      </c>
      <c r="I47" t="str">
        <f>Clean_Data!$I47</f>
        <v>Duronto Rajshahi</v>
      </c>
      <c r="J47">
        <v>145</v>
      </c>
      <c r="K47">
        <v>9</v>
      </c>
      <c r="L47" s="9" t="s">
        <v>121</v>
      </c>
      <c r="M47" s="9" t="s">
        <v>62</v>
      </c>
      <c r="N47" s="9" t="s">
        <v>26</v>
      </c>
      <c r="O47" s="9" t="s">
        <v>64</v>
      </c>
      <c r="P47" s="9" t="s">
        <v>62</v>
      </c>
      <c r="Q47" s="9" t="s">
        <v>28</v>
      </c>
      <c r="R47" s="9" t="s">
        <v>29</v>
      </c>
      <c r="S47">
        <v>0</v>
      </c>
      <c r="T47">
        <v>0</v>
      </c>
      <c r="U47" s="9" t="s">
        <v>122</v>
      </c>
      <c r="V47" s="9" t="s">
        <v>752</v>
      </c>
      <c r="W47">
        <v>0</v>
      </c>
      <c r="X47" s="9" t="s">
        <v>753</v>
      </c>
      <c r="Y47">
        <v>289</v>
      </c>
      <c r="Z47" s="9" t="s">
        <v>754</v>
      </c>
      <c r="AA47" s="9" t="s">
        <v>32</v>
      </c>
      <c r="AB47" s="9" t="s">
        <v>57</v>
      </c>
      <c r="AC47" s="9" t="s">
        <v>6</v>
      </c>
      <c r="AD47" s="9" t="s">
        <v>62</v>
      </c>
      <c r="AE47" s="9">
        <f>IF(Table5[[#This Row],[Team_Name]]=Table5[[#This Row],[Correct_Winner]],1,0)</f>
        <v>1</v>
      </c>
    </row>
    <row r="48" spans="1:31" x14ac:dyDescent="0.3">
      <c r="A48" s="9" t="s">
        <v>20</v>
      </c>
      <c r="B48">
        <v>2011</v>
      </c>
      <c r="C48" s="9" t="s">
        <v>123</v>
      </c>
      <c r="D48" s="9" t="s">
        <v>755</v>
      </c>
      <c r="E48" s="9" t="s">
        <v>124</v>
      </c>
      <c r="F48" s="2" t="s">
        <v>160</v>
      </c>
      <c r="G48">
        <v>126</v>
      </c>
      <c r="H48">
        <v>6</v>
      </c>
      <c r="I48" t="str">
        <f>Clean_Data!$I48</f>
        <v>Chittagong Vikings</v>
      </c>
      <c r="J48">
        <v>117</v>
      </c>
      <c r="K48">
        <v>9</v>
      </c>
      <c r="L48" s="9" t="s">
        <v>125</v>
      </c>
      <c r="M48" s="9" t="s">
        <v>41</v>
      </c>
      <c r="N48" s="9" t="s">
        <v>37</v>
      </c>
      <c r="O48" s="9" t="s">
        <v>48</v>
      </c>
      <c r="P48" s="9" t="s">
        <v>41</v>
      </c>
      <c r="Q48" s="9" t="s">
        <v>88</v>
      </c>
      <c r="R48" s="9" t="s">
        <v>89</v>
      </c>
      <c r="S48">
        <v>0</v>
      </c>
      <c r="T48">
        <v>9</v>
      </c>
      <c r="U48" s="9" t="s">
        <v>38</v>
      </c>
      <c r="V48" s="9" t="s">
        <v>756</v>
      </c>
      <c r="W48">
        <v>9</v>
      </c>
      <c r="X48" s="9" t="s">
        <v>753</v>
      </c>
      <c r="Y48">
        <v>243</v>
      </c>
      <c r="Z48" s="9" t="s">
        <v>754</v>
      </c>
      <c r="AA48" s="9" t="s">
        <v>31</v>
      </c>
      <c r="AB48" s="9" t="s">
        <v>44</v>
      </c>
      <c r="AC48" s="9" t="s">
        <v>3</v>
      </c>
      <c r="AD48" s="9" t="s">
        <v>41</v>
      </c>
      <c r="AE48" s="9">
        <f>IF(Table5[[#This Row],[Team_Name]]=Table5[[#This Row],[Correct_Winner]],1,0)</f>
        <v>1</v>
      </c>
    </row>
    <row r="49" spans="1:31" x14ac:dyDescent="0.3">
      <c r="A49" s="9" t="s">
        <v>20</v>
      </c>
      <c r="B49">
        <v>2011</v>
      </c>
      <c r="C49" s="9" t="s">
        <v>123</v>
      </c>
      <c r="D49" s="9" t="s">
        <v>755</v>
      </c>
      <c r="E49" s="9" t="s">
        <v>124</v>
      </c>
      <c r="F49" s="3" t="s">
        <v>35</v>
      </c>
      <c r="G49">
        <v>126</v>
      </c>
      <c r="H49">
        <v>6</v>
      </c>
      <c r="I49" t="str">
        <f>Clean_Data!$I49</f>
        <v>Dhaka Gladiators</v>
      </c>
      <c r="J49">
        <v>117</v>
      </c>
      <c r="K49">
        <v>9</v>
      </c>
      <c r="L49" s="9" t="s">
        <v>125</v>
      </c>
      <c r="M49" s="9" t="s">
        <v>41</v>
      </c>
      <c r="N49" s="9" t="s">
        <v>37</v>
      </c>
      <c r="O49" s="9" t="s">
        <v>48</v>
      </c>
      <c r="P49" s="9" t="s">
        <v>41</v>
      </c>
      <c r="Q49" s="9" t="s">
        <v>88</v>
      </c>
      <c r="R49" s="9" t="s">
        <v>89</v>
      </c>
      <c r="S49">
        <v>0</v>
      </c>
      <c r="T49">
        <v>9</v>
      </c>
      <c r="U49" s="9" t="s">
        <v>38</v>
      </c>
      <c r="V49" s="9" t="s">
        <v>756</v>
      </c>
      <c r="W49">
        <v>9</v>
      </c>
      <c r="X49" s="9" t="s">
        <v>753</v>
      </c>
      <c r="Y49">
        <v>243</v>
      </c>
      <c r="Z49" s="9" t="s">
        <v>754</v>
      </c>
      <c r="AA49" s="9" t="s">
        <v>31</v>
      </c>
      <c r="AB49" s="9" t="s">
        <v>44</v>
      </c>
      <c r="AC49" s="9" t="s">
        <v>6</v>
      </c>
      <c r="AD49" s="9" t="s">
        <v>53</v>
      </c>
      <c r="AE49" s="9">
        <f>IF(Table5[[#This Row],[Team_Name]]=Table5[[#This Row],[Correct_Winner]],1,0)</f>
        <v>0</v>
      </c>
    </row>
    <row r="50" spans="1:31" x14ac:dyDescent="0.3">
      <c r="A50" s="9" t="s">
        <v>20</v>
      </c>
      <c r="B50">
        <v>2011</v>
      </c>
      <c r="C50" s="9" t="s">
        <v>126</v>
      </c>
      <c r="D50" s="9" t="s">
        <v>755</v>
      </c>
      <c r="E50" s="9" t="s">
        <v>124</v>
      </c>
      <c r="F50" s="2" t="s">
        <v>160</v>
      </c>
      <c r="G50">
        <v>171</v>
      </c>
      <c r="H50">
        <v>6</v>
      </c>
      <c r="I50" t="str">
        <f>Clean_Data!$I50</f>
        <v>Rajshahi Kings</v>
      </c>
      <c r="J50">
        <v>169</v>
      </c>
      <c r="K50">
        <v>8</v>
      </c>
      <c r="L50" s="9" t="s">
        <v>127</v>
      </c>
      <c r="M50" s="9" t="s">
        <v>62</v>
      </c>
      <c r="N50" s="9" t="s">
        <v>26</v>
      </c>
      <c r="O50" s="9" t="s">
        <v>98</v>
      </c>
      <c r="P50" s="9" t="s">
        <v>35</v>
      </c>
      <c r="Q50" s="9" t="s">
        <v>88</v>
      </c>
      <c r="R50" s="9" t="s">
        <v>89</v>
      </c>
      <c r="S50">
        <v>0</v>
      </c>
      <c r="T50">
        <v>2</v>
      </c>
      <c r="U50" s="9" t="s">
        <v>128</v>
      </c>
      <c r="V50" s="9" t="s">
        <v>756</v>
      </c>
      <c r="W50">
        <v>2</v>
      </c>
      <c r="X50" s="9" t="s">
        <v>753</v>
      </c>
      <c r="Y50">
        <v>340</v>
      </c>
      <c r="Z50" s="9" t="s">
        <v>754</v>
      </c>
      <c r="AA50" s="9" t="s">
        <v>32</v>
      </c>
      <c r="AB50" s="9" t="s">
        <v>57</v>
      </c>
      <c r="AC50" s="9" t="s">
        <v>3</v>
      </c>
      <c r="AD50" s="9" t="s">
        <v>35</v>
      </c>
      <c r="AE50" s="9">
        <f>IF(Table5[[#This Row],[Team_Name]]=Table5[[#This Row],[Correct_Winner]],1,0)</f>
        <v>1</v>
      </c>
    </row>
    <row r="51" spans="1:31" x14ac:dyDescent="0.3">
      <c r="A51" s="9" t="s">
        <v>20</v>
      </c>
      <c r="B51">
        <v>2011</v>
      </c>
      <c r="C51" s="9" t="s">
        <v>126</v>
      </c>
      <c r="D51" s="9" t="s">
        <v>755</v>
      </c>
      <c r="E51" s="9" t="s">
        <v>124</v>
      </c>
      <c r="F51" s="3" t="s">
        <v>53</v>
      </c>
      <c r="G51">
        <v>171</v>
      </c>
      <c r="H51">
        <v>6</v>
      </c>
      <c r="I51" t="str">
        <f>Clean_Data!$I51</f>
        <v>Duronto Rajshahi</v>
      </c>
      <c r="J51">
        <v>169</v>
      </c>
      <c r="K51">
        <v>8</v>
      </c>
      <c r="L51" s="9" t="s">
        <v>127</v>
      </c>
      <c r="M51" s="9" t="s">
        <v>62</v>
      </c>
      <c r="N51" s="9" t="s">
        <v>26</v>
      </c>
      <c r="O51" s="9" t="s">
        <v>98</v>
      </c>
      <c r="P51" s="9" t="s">
        <v>35</v>
      </c>
      <c r="Q51" s="9" t="s">
        <v>88</v>
      </c>
      <c r="R51" s="9" t="s">
        <v>89</v>
      </c>
      <c r="S51">
        <v>0</v>
      </c>
      <c r="T51">
        <v>2</v>
      </c>
      <c r="U51" s="9" t="s">
        <v>128</v>
      </c>
      <c r="V51" s="9" t="s">
        <v>756</v>
      </c>
      <c r="W51">
        <v>2</v>
      </c>
      <c r="X51" s="9" t="s">
        <v>753</v>
      </c>
      <c r="Y51">
        <v>340</v>
      </c>
      <c r="Z51" s="9" t="s">
        <v>754</v>
      </c>
      <c r="AA51" s="9" t="s">
        <v>32</v>
      </c>
      <c r="AB51" s="9" t="s">
        <v>57</v>
      </c>
      <c r="AC51" s="9" t="s">
        <v>6</v>
      </c>
      <c r="AD51" s="9" t="s">
        <v>62</v>
      </c>
      <c r="AE51" s="9">
        <f>IF(Table5[[#This Row],[Team_Name]]=Table5[[#This Row],[Correct_Winner]],1,0)</f>
        <v>0</v>
      </c>
    </row>
    <row r="52" spans="1:31" x14ac:dyDescent="0.3">
      <c r="A52" s="9" t="s">
        <v>73</v>
      </c>
      <c r="B52">
        <v>2012</v>
      </c>
      <c r="C52" s="9" t="s">
        <v>129</v>
      </c>
      <c r="D52" s="9" t="s">
        <v>755</v>
      </c>
      <c r="E52" s="9" t="s">
        <v>120</v>
      </c>
      <c r="F52" s="2" t="s">
        <v>206</v>
      </c>
      <c r="G52">
        <v>193</v>
      </c>
      <c r="H52">
        <v>3</v>
      </c>
      <c r="I52" t="str">
        <f>Clean_Data!$I52</f>
        <v>Rajshahi Kings</v>
      </c>
      <c r="J52">
        <v>160</v>
      </c>
      <c r="K52">
        <v>6</v>
      </c>
      <c r="L52" s="9" t="s">
        <v>130</v>
      </c>
      <c r="M52" s="9" t="s">
        <v>41</v>
      </c>
      <c r="N52" s="9" t="s">
        <v>26</v>
      </c>
      <c r="O52" s="9" t="s">
        <v>80</v>
      </c>
      <c r="P52" s="9" t="s">
        <v>53</v>
      </c>
      <c r="Q52" s="9" t="s">
        <v>28</v>
      </c>
      <c r="R52" s="9" t="s">
        <v>29</v>
      </c>
      <c r="S52">
        <v>0</v>
      </c>
      <c r="T52">
        <v>33</v>
      </c>
      <c r="U52" s="9" t="s">
        <v>131</v>
      </c>
      <c r="V52" s="9" t="s">
        <v>756</v>
      </c>
      <c r="W52">
        <v>33</v>
      </c>
      <c r="X52" s="9" t="s">
        <v>757</v>
      </c>
      <c r="Y52">
        <v>353</v>
      </c>
      <c r="Z52" s="9" t="s">
        <v>754</v>
      </c>
      <c r="AA52" s="9" t="s">
        <v>56</v>
      </c>
      <c r="AB52" s="9" t="s">
        <v>77</v>
      </c>
      <c r="AC52" s="9" t="s">
        <v>3</v>
      </c>
      <c r="AD52" s="9" t="s">
        <v>53</v>
      </c>
      <c r="AE52" s="9">
        <f>IF(Table5[[#This Row],[Team_Name]]=Table5[[#This Row],[Correct_Winner]],1,0)</f>
        <v>1</v>
      </c>
    </row>
    <row r="53" spans="1:31" x14ac:dyDescent="0.3">
      <c r="A53" s="9" t="s">
        <v>73</v>
      </c>
      <c r="B53">
        <v>2012</v>
      </c>
      <c r="C53" s="9" t="s">
        <v>129</v>
      </c>
      <c r="D53" s="9" t="s">
        <v>755</v>
      </c>
      <c r="E53" s="9" t="s">
        <v>120</v>
      </c>
      <c r="F53" s="3" t="s">
        <v>62</v>
      </c>
      <c r="G53">
        <v>193</v>
      </c>
      <c r="H53">
        <v>3</v>
      </c>
      <c r="I53" t="str">
        <f>Clean_Data!$I53</f>
        <v>Barisal Burners</v>
      </c>
      <c r="J53">
        <v>160</v>
      </c>
      <c r="K53">
        <v>6</v>
      </c>
      <c r="L53" s="9" t="s">
        <v>130</v>
      </c>
      <c r="M53" s="9" t="s">
        <v>41</v>
      </c>
      <c r="N53" s="9" t="s">
        <v>26</v>
      </c>
      <c r="O53" s="9" t="s">
        <v>80</v>
      </c>
      <c r="P53" s="9" t="s">
        <v>53</v>
      </c>
      <c r="Q53" s="9" t="s">
        <v>28</v>
      </c>
      <c r="R53" s="9" t="s">
        <v>29</v>
      </c>
      <c r="S53">
        <v>0</v>
      </c>
      <c r="T53">
        <v>33</v>
      </c>
      <c r="U53" s="9" t="s">
        <v>131</v>
      </c>
      <c r="V53" s="9" t="s">
        <v>756</v>
      </c>
      <c r="W53">
        <v>33</v>
      </c>
      <c r="X53" s="9" t="s">
        <v>757</v>
      </c>
      <c r="Y53">
        <v>353</v>
      </c>
      <c r="Z53" s="9" t="s">
        <v>754</v>
      </c>
      <c r="AA53" s="9" t="s">
        <v>56</v>
      </c>
      <c r="AB53" s="9" t="s">
        <v>77</v>
      </c>
      <c r="AC53" s="9" t="s">
        <v>6</v>
      </c>
      <c r="AD53" s="9" t="s">
        <v>41</v>
      </c>
      <c r="AE53" s="9">
        <f>IF(Table5[[#This Row],[Team_Name]]=Table5[[#This Row],[Correct_Winner]],1,0)</f>
        <v>0</v>
      </c>
    </row>
    <row r="54" spans="1:31" x14ac:dyDescent="0.3">
      <c r="A54" s="9" t="s">
        <v>20</v>
      </c>
      <c r="B54">
        <v>2011</v>
      </c>
      <c r="C54" s="9" t="s">
        <v>132</v>
      </c>
      <c r="D54" s="9" t="s">
        <v>755</v>
      </c>
      <c r="E54" s="9" t="s">
        <v>133</v>
      </c>
      <c r="F54" s="2" t="s">
        <v>160</v>
      </c>
      <c r="G54">
        <v>144</v>
      </c>
      <c r="H54">
        <v>9</v>
      </c>
      <c r="I54" t="str">
        <f>Clean_Data!$I54</f>
        <v>Khulna Titans</v>
      </c>
      <c r="J54">
        <v>130</v>
      </c>
      <c r="K54">
        <v>7</v>
      </c>
      <c r="L54" s="9" t="s">
        <v>134</v>
      </c>
      <c r="M54" s="9" t="s">
        <v>24</v>
      </c>
      <c r="N54" s="9" t="s">
        <v>26</v>
      </c>
      <c r="O54" s="9" t="s">
        <v>48</v>
      </c>
      <c r="P54" s="9" t="s">
        <v>41</v>
      </c>
      <c r="Q54" s="9" t="s">
        <v>28</v>
      </c>
      <c r="R54" s="9" t="s">
        <v>29</v>
      </c>
      <c r="S54">
        <v>0</v>
      </c>
      <c r="T54">
        <v>14</v>
      </c>
      <c r="U54" s="9" t="s">
        <v>135</v>
      </c>
      <c r="V54" s="9" t="s">
        <v>756</v>
      </c>
      <c r="W54">
        <v>14</v>
      </c>
      <c r="X54" s="9" t="s">
        <v>757</v>
      </c>
      <c r="Y54">
        <v>274</v>
      </c>
      <c r="Z54" s="9" t="s">
        <v>754</v>
      </c>
      <c r="AA54" s="9" t="s">
        <v>57</v>
      </c>
      <c r="AB54" s="9" t="s">
        <v>44</v>
      </c>
      <c r="AC54" s="9" t="s">
        <v>3</v>
      </c>
      <c r="AD54" s="9" t="s">
        <v>41</v>
      </c>
      <c r="AE54" s="9">
        <f>IF(Table5[[#This Row],[Team_Name]]=Table5[[#This Row],[Correct_Winner]],1,0)</f>
        <v>1</v>
      </c>
    </row>
    <row r="55" spans="1:31" x14ac:dyDescent="0.3">
      <c r="A55" s="9" t="s">
        <v>20</v>
      </c>
      <c r="B55">
        <v>2011</v>
      </c>
      <c r="C55" s="9" t="s">
        <v>132</v>
      </c>
      <c r="D55" s="9" t="s">
        <v>755</v>
      </c>
      <c r="E55" s="9" t="s">
        <v>133</v>
      </c>
      <c r="F55" s="3" t="s">
        <v>179</v>
      </c>
      <c r="G55">
        <v>144</v>
      </c>
      <c r="H55">
        <v>9</v>
      </c>
      <c r="I55" t="str">
        <f>Clean_Data!$I55</f>
        <v>Rajshahi Kings</v>
      </c>
      <c r="J55">
        <v>130</v>
      </c>
      <c r="K55">
        <v>7</v>
      </c>
      <c r="L55" s="9" t="s">
        <v>134</v>
      </c>
      <c r="M55" s="9" t="s">
        <v>24</v>
      </c>
      <c r="N55" s="9" t="s">
        <v>26</v>
      </c>
      <c r="O55" s="9" t="s">
        <v>48</v>
      </c>
      <c r="P55" s="9" t="s">
        <v>41</v>
      </c>
      <c r="Q55" s="9" t="s">
        <v>28</v>
      </c>
      <c r="R55" s="9" t="s">
        <v>29</v>
      </c>
      <c r="S55">
        <v>0</v>
      </c>
      <c r="T55">
        <v>14</v>
      </c>
      <c r="U55" s="9" t="s">
        <v>135</v>
      </c>
      <c r="V55" s="9" t="s">
        <v>756</v>
      </c>
      <c r="W55">
        <v>14</v>
      </c>
      <c r="X55" s="9" t="s">
        <v>757</v>
      </c>
      <c r="Y55">
        <v>274</v>
      </c>
      <c r="Z55" s="9" t="s">
        <v>754</v>
      </c>
      <c r="AA55" s="9" t="s">
        <v>57</v>
      </c>
      <c r="AB55" s="9" t="s">
        <v>44</v>
      </c>
      <c r="AC55" s="9" t="s">
        <v>6</v>
      </c>
      <c r="AD55" s="9" t="s">
        <v>24</v>
      </c>
      <c r="AE55" s="9">
        <f>IF(Table5[[#This Row],[Team_Name]]=Table5[[#This Row],[Correct_Winner]],1,0)</f>
        <v>0</v>
      </c>
    </row>
    <row r="56" spans="1:31" x14ac:dyDescent="0.3">
      <c r="A56" s="9" t="s">
        <v>73</v>
      </c>
      <c r="B56">
        <v>2012</v>
      </c>
      <c r="C56" s="9" t="s">
        <v>136</v>
      </c>
      <c r="D56" s="9" t="s">
        <v>755</v>
      </c>
      <c r="E56" s="9" t="s">
        <v>137</v>
      </c>
      <c r="F56" s="2" t="s">
        <v>160</v>
      </c>
      <c r="G56">
        <v>114</v>
      </c>
      <c r="H56">
        <v>10</v>
      </c>
      <c r="I56" t="str">
        <f>Clean_Data!$I56</f>
        <v>Khulna Titans</v>
      </c>
      <c r="J56">
        <v>117</v>
      </c>
      <c r="K56">
        <v>3</v>
      </c>
      <c r="L56" s="9" t="s">
        <v>54</v>
      </c>
      <c r="M56" s="9" t="s">
        <v>24</v>
      </c>
      <c r="N56" s="9" t="s">
        <v>37</v>
      </c>
      <c r="O56" s="9" t="s">
        <v>43</v>
      </c>
      <c r="P56" s="9" t="s">
        <v>23</v>
      </c>
      <c r="Q56" s="9" t="s">
        <v>28</v>
      </c>
      <c r="R56" s="9" t="s">
        <v>29</v>
      </c>
      <c r="S56">
        <v>7</v>
      </c>
      <c r="T56">
        <v>0</v>
      </c>
      <c r="U56" s="9" t="s">
        <v>118</v>
      </c>
      <c r="V56" s="9" t="s">
        <v>752</v>
      </c>
      <c r="W56">
        <v>7</v>
      </c>
      <c r="X56" s="9" t="s">
        <v>753</v>
      </c>
      <c r="Y56">
        <v>231</v>
      </c>
      <c r="Z56" s="9" t="s">
        <v>754</v>
      </c>
      <c r="AA56" s="9" t="s">
        <v>32</v>
      </c>
      <c r="AB56" s="9" t="s">
        <v>77</v>
      </c>
      <c r="AC56" s="9" t="s">
        <v>3</v>
      </c>
      <c r="AD56" s="9" t="s">
        <v>24</v>
      </c>
      <c r="AE56" s="9">
        <f>IF(Table5[[#This Row],[Team_Name]]=Table5[[#This Row],[Correct_Winner]],1,0)</f>
        <v>0</v>
      </c>
    </row>
    <row r="57" spans="1:31" x14ac:dyDescent="0.3">
      <c r="A57" s="9" t="s">
        <v>73</v>
      </c>
      <c r="B57">
        <v>2012</v>
      </c>
      <c r="C57" s="9" t="s">
        <v>136</v>
      </c>
      <c r="D57" s="9" t="s">
        <v>755</v>
      </c>
      <c r="E57" s="9" t="s">
        <v>137</v>
      </c>
      <c r="F57" s="3" t="s">
        <v>143</v>
      </c>
      <c r="G57">
        <v>114</v>
      </c>
      <c r="H57">
        <v>10</v>
      </c>
      <c r="I57" t="str">
        <f>Clean_Data!$I57</f>
        <v>Rangpur Riders</v>
      </c>
      <c r="J57">
        <v>117</v>
      </c>
      <c r="K57">
        <v>3</v>
      </c>
      <c r="L57" s="9" t="s">
        <v>54</v>
      </c>
      <c r="M57" s="9" t="s">
        <v>24</v>
      </c>
      <c r="N57" s="9" t="s">
        <v>37</v>
      </c>
      <c r="O57" s="9" t="s">
        <v>43</v>
      </c>
      <c r="P57" s="9" t="s">
        <v>23</v>
      </c>
      <c r="Q57" s="9" t="s">
        <v>28</v>
      </c>
      <c r="R57" s="9" t="s">
        <v>29</v>
      </c>
      <c r="S57">
        <v>7</v>
      </c>
      <c r="T57">
        <v>0</v>
      </c>
      <c r="U57" s="9" t="s">
        <v>118</v>
      </c>
      <c r="V57" s="9" t="s">
        <v>752</v>
      </c>
      <c r="W57">
        <v>7</v>
      </c>
      <c r="X57" s="9" t="s">
        <v>753</v>
      </c>
      <c r="Y57">
        <v>231</v>
      </c>
      <c r="Z57" s="9" t="s">
        <v>754</v>
      </c>
      <c r="AA57" s="9" t="s">
        <v>32</v>
      </c>
      <c r="AB57" s="9" t="s">
        <v>77</v>
      </c>
      <c r="AC57" s="9" t="s">
        <v>6</v>
      </c>
      <c r="AD57" s="9" t="s">
        <v>23</v>
      </c>
      <c r="AE57" s="9">
        <f>IF(Table5[[#This Row],[Team_Name]]=Table5[[#This Row],[Correct_Winner]],1,0)</f>
        <v>1</v>
      </c>
    </row>
    <row r="58" spans="1:31" x14ac:dyDescent="0.3">
      <c r="A58" s="9" t="s">
        <v>20</v>
      </c>
      <c r="B58">
        <v>2011</v>
      </c>
      <c r="C58" s="9" t="s">
        <v>138</v>
      </c>
      <c r="D58" s="9" t="s">
        <v>755</v>
      </c>
      <c r="E58" s="9" t="s">
        <v>133</v>
      </c>
      <c r="F58" s="2" t="s">
        <v>179</v>
      </c>
      <c r="G58">
        <v>125</v>
      </c>
      <c r="H58">
        <v>6</v>
      </c>
      <c r="I58" t="str">
        <f>Clean_Data!$I58</f>
        <v>Rajshahi Kings</v>
      </c>
      <c r="J58">
        <v>126</v>
      </c>
      <c r="K58">
        <v>2</v>
      </c>
      <c r="L58" s="9" t="s">
        <v>139</v>
      </c>
      <c r="M58" s="9" t="s">
        <v>53</v>
      </c>
      <c r="N58" s="9" t="s">
        <v>26</v>
      </c>
      <c r="O58" s="9" t="s">
        <v>80</v>
      </c>
      <c r="P58" s="9" t="s">
        <v>53</v>
      </c>
      <c r="Q58" s="9" t="s">
        <v>28</v>
      </c>
      <c r="R58" s="9" t="s">
        <v>29</v>
      </c>
      <c r="S58">
        <v>8</v>
      </c>
      <c r="T58">
        <v>0</v>
      </c>
      <c r="U58" s="9" t="s">
        <v>30</v>
      </c>
      <c r="V58" s="9" t="s">
        <v>752</v>
      </c>
      <c r="W58">
        <v>8</v>
      </c>
      <c r="X58" s="9" t="s">
        <v>753</v>
      </c>
      <c r="Y58">
        <v>251</v>
      </c>
      <c r="Z58" s="9" t="s">
        <v>754</v>
      </c>
      <c r="AA58" s="9" t="s">
        <v>31</v>
      </c>
      <c r="AB58" s="9" t="s">
        <v>32</v>
      </c>
      <c r="AC58" s="9" t="s">
        <v>3</v>
      </c>
      <c r="AD58" s="9" t="s">
        <v>23</v>
      </c>
      <c r="AE58" s="9">
        <f>IF(Table5[[#This Row],[Team_Name]]=Table5[[#This Row],[Correct_Winner]],1,0)</f>
        <v>0</v>
      </c>
    </row>
    <row r="59" spans="1:31" x14ac:dyDescent="0.3">
      <c r="A59" s="9" t="s">
        <v>20</v>
      </c>
      <c r="B59">
        <v>2011</v>
      </c>
      <c r="C59" s="9" t="s">
        <v>138</v>
      </c>
      <c r="D59" s="9" t="s">
        <v>755</v>
      </c>
      <c r="E59" s="9" t="s">
        <v>133</v>
      </c>
      <c r="F59" s="3" t="s">
        <v>113</v>
      </c>
      <c r="G59">
        <v>125</v>
      </c>
      <c r="H59">
        <v>6</v>
      </c>
      <c r="I59" t="str">
        <f>Clean_Data!$I59</f>
        <v>Barisal Bulls</v>
      </c>
      <c r="J59">
        <v>126</v>
      </c>
      <c r="K59">
        <v>2</v>
      </c>
      <c r="L59" s="9" t="s">
        <v>139</v>
      </c>
      <c r="M59" s="9" t="s">
        <v>53</v>
      </c>
      <c r="N59" s="9" t="s">
        <v>26</v>
      </c>
      <c r="O59" s="9" t="s">
        <v>80</v>
      </c>
      <c r="P59" s="9" t="s">
        <v>53</v>
      </c>
      <c r="Q59" s="9" t="s">
        <v>28</v>
      </c>
      <c r="R59" s="9" t="s">
        <v>29</v>
      </c>
      <c r="S59">
        <v>8</v>
      </c>
      <c r="T59">
        <v>0</v>
      </c>
      <c r="U59" s="9" t="s">
        <v>30</v>
      </c>
      <c r="V59" s="9" t="s">
        <v>752</v>
      </c>
      <c r="W59">
        <v>8</v>
      </c>
      <c r="X59" s="9" t="s">
        <v>753</v>
      </c>
      <c r="Y59">
        <v>251</v>
      </c>
      <c r="Z59" s="9" t="s">
        <v>754</v>
      </c>
      <c r="AA59" s="9" t="s">
        <v>31</v>
      </c>
      <c r="AB59" s="9" t="s">
        <v>32</v>
      </c>
      <c r="AC59" s="9" t="s">
        <v>6</v>
      </c>
      <c r="AD59" s="9" t="s">
        <v>53</v>
      </c>
      <c r="AE59" s="9">
        <f>IF(Table5[[#This Row],[Team_Name]]=Table5[[#This Row],[Correct_Winner]],1,0)</f>
        <v>1</v>
      </c>
    </row>
    <row r="60" spans="1:31" x14ac:dyDescent="0.3">
      <c r="A60" s="9" t="s">
        <v>140</v>
      </c>
      <c r="B60">
        <v>2015</v>
      </c>
      <c r="C60" s="9" t="s">
        <v>21</v>
      </c>
      <c r="D60" s="9" t="s">
        <v>21</v>
      </c>
      <c r="E60" s="9" t="s">
        <v>141</v>
      </c>
      <c r="F60" s="2" t="s">
        <v>179</v>
      </c>
      <c r="G60">
        <v>156</v>
      </c>
      <c r="H60">
        <v>4</v>
      </c>
      <c r="I60" t="str">
        <f>Clean_Data!$I60</f>
        <v>Dhaka Dynamites</v>
      </c>
      <c r="J60">
        <v>157</v>
      </c>
      <c r="K60">
        <v>7</v>
      </c>
      <c r="L60" s="9" t="s">
        <v>144</v>
      </c>
      <c r="M60" s="9" t="s">
        <v>143</v>
      </c>
      <c r="N60" s="9" t="s">
        <v>26</v>
      </c>
      <c r="O60" s="9" t="s">
        <v>145</v>
      </c>
      <c r="P60" s="9" t="s">
        <v>143</v>
      </c>
      <c r="Q60" s="9" t="s">
        <v>28</v>
      </c>
      <c r="R60" s="9" t="s">
        <v>29</v>
      </c>
      <c r="S60">
        <v>3</v>
      </c>
      <c r="T60">
        <v>0</v>
      </c>
      <c r="U60" s="9" t="s">
        <v>49</v>
      </c>
      <c r="V60" s="9" t="s">
        <v>752</v>
      </c>
      <c r="W60">
        <v>3</v>
      </c>
      <c r="X60" s="9" t="s">
        <v>753</v>
      </c>
      <c r="Y60">
        <v>313</v>
      </c>
      <c r="Z60" s="9" t="s">
        <v>754</v>
      </c>
      <c r="AA60" s="9" t="s">
        <v>146</v>
      </c>
      <c r="AB60" s="9" t="s">
        <v>147</v>
      </c>
      <c r="AC60" s="9" t="s">
        <v>3</v>
      </c>
      <c r="AD60" s="9" t="s">
        <v>142</v>
      </c>
      <c r="AE60" s="9">
        <f>IF(Table5[[#This Row],[Team_Name]]=Table5[[#This Row],[Correct_Winner]],1,0)</f>
        <v>0</v>
      </c>
    </row>
    <row r="61" spans="1:31" x14ac:dyDescent="0.3">
      <c r="A61" s="9" t="s">
        <v>140</v>
      </c>
      <c r="B61">
        <v>2015</v>
      </c>
      <c r="C61" s="9" t="s">
        <v>21</v>
      </c>
      <c r="D61" s="9" t="s">
        <v>21</v>
      </c>
      <c r="E61" s="9" t="s">
        <v>141</v>
      </c>
      <c r="F61" s="3" t="s">
        <v>206</v>
      </c>
      <c r="G61">
        <v>156</v>
      </c>
      <c r="H61">
        <v>4</v>
      </c>
      <c r="I61" t="str">
        <f>Clean_Data!$I61</f>
        <v>Comilla Victorians</v>
      </c>
      <c r="J61">
        <v>157</v>
      </c>
      <c r="K61">
        <v>7</v>
      </c>
      <c r="L61" s="9" t="s">
        <v>144</v>
      </c>
      <c r="M61" s="9" t="s">
        <v>143</v>
      </c>
      <c r="N61" s="9" t="s">
        <v>26</v>
      </c>
      <c r="O61" s="9" t="s">
        <v>145</v>
      </c>
      <c r="P61" s="9" t="s">
        <v>143</v>
      </c>
      <c r="Q61" s="9" t="s">
        <v>28</v>
      </c>
      <c r="R61" s="9" t="s">
        <v>29</v>
      </c>
      <c r="S61">
        <v>3</v>
      </c>
      <c r="T61">
        <v>0</v>
      </c>
      <c r="U61" s="9" t="s">
        <v>49</v>
      </c>
      <c r="V61" s="9" t="s">
        <v>752</v>
      </c>
      <c r="W61">
        <v>3</v>
      </c>
      <c r="X61" s="9" t="s">
        <v>753</v>
      </c>
      <c r="Y61">
        <v>313</v>
      </c>
      <c r="Z61" s="9" t="s">
        <v>754</v>
      </c>
      <c r="AA61" s="9" t="s">
        <v>146</v>
      </c>
      <c r="AB61" s="9" t="s">
        <v>147</v>
      </c>
      <c r="AC61" s="9" t="s">
        <v>6</v>
      </c>
      <c r="AD61" s="9" t="s">
        <v>143</v>
      </c>
      <c r="AE61" s="9">
        <f>IF(Table5[[#This Row],[Team_Name]]=Table5[[#This Row],[Correct_Winner]],1,0)</f>
        <v>1</v>
      </c>
    </row>
    <row r="62" spans="1:31" x14ac:dyDescent="0.3">
      <c r="A62" s="9" t="s">
        <v>20</v>
      </c>
      <c r="B62">
        <v>2011</v>
      </c>
      <c r="C62" s="9" t="s">
        <v>148</v>
      </c>
      <c r="D62" s="9" t="s">
        <v>755</v>
      </c>
      <c r="E62" s="9" t="s">
        <v>149</v>
      </c>
      <c r="F62" s="2" t="s">
        <v>113</v>
      </c>
      <c r="G62">
        <v>145</v>
      </c>
      <c r="H62">
        <v>7</v>
      </c>
      <c r="I62" t="str">
        <f>Clean_Data!$I62</f>
        <v>Dhaka Dynamites</v>
      </c>
      <c r="J62">
        <v>146</v>
      </c>
      <c r="K62">
        <v>4</v>
      </c>
      <c r="L62" s="9" t="s">
        <v>150</v>
      </c>
      <c r="M62" s="9" t="s">
        <v>35</v>
      </c>
      <c r="N62" s="9" t="s">
        <v>37</v>
      </c>
      <c r="O62" s="9" t="s">
        <v>48</v>
      </c>
      <c r="P62" s="9" t="s">
        <v>41</v>
      </c>
      <c r="Q62" s="9" t="s">
        <v>28</v>
      </c>
      <c r="R62" s="9" t="s">
        <v>29</v>
      </c>
      <c r="S62">
        <v>6</v>
      </c>
      <c r="T62">
        <v>0</v>
      </c>
      <c r="U62" s="9" t="s">
        <v>151</v>
      </c>
      <c r="V62" s="9" t="s">
        <v>752</v>
      </c>
      <c r="W62">
        <v>6</v>
      </c>
      <c r="X62" s="9" t="s">
        <v>753</v>
      </c>
      <c r="Y62">
        <v>291</v>
      </c>
      <c r="Z62" s="9" t="s">
        <v>754</v>
      </c>
      <c r="AA62" s="9" t="s">
        <v>31</v>
      </c>
      <c r="AB62" s="9" t="s">
        <v>66</v>
      </c>
      <c r="AC62" s="9" t="s">
        <v>3</v>
      </c>
      <c r="AD62" s="9" t="s">
        <v>35</v>
      </c>
      <c r="AE62" s="9">
        <f>IF(Table5[[#This Row],[Team_Name]]=Table5[[#This Row],[Correct_Winner]],1,0)</f>
        <v>0</v>
      </c>
    </row>
    <row r="63" spans="1:31" x14ac:dyDescent="0.3">
      <c r="A63" s="9" t="s">
        <v>20</v>
      </c>
      <c r="B63">
        <v>2011</v>
      </c>
      <c r="C63" s="9" t="s">
        <v>148</v>
      </c>
      <c r="D63" s="9" t="s">
        <v>755</v>
      </c>
      <c r="E63" s="9" t="s">
        <v>149</v>
      </c>
      <c r="F63" s="3" t="s">
        <v>113</v>
      </c>
      <c r="G63">
        <v>145</v>
      </c>
      <c r="H63">
        <v>7</v>
      </c>
      <c r="I63" t="str">
        <f>Clean_Data!$I63</f>
        <v>Comilla Victorians</v>
      </c>
      <c r="J63">
        <v>146</v>
      </c>
      <c r="K63">
        <v>4</v>
      </c>
      <c r="L63" s="9" t="s">
        <v>150</v>
      </c>
      <c r="M63" s="9" t="s">
        <v>35</v>
      </c>
      <c r="N63" s="9" t="s">
        <v>37</v>
      </c>
      <c r="O63" s="9" t="s">
        <v>48</v>
      </c>
      <c r="P63" s="9" t="s">
        <v>41</v>
      </c>
      <c r="Q63" s="9" t="s">
        <v>28</v>
      </c>
      <c r="R63" s="9" t="s">
        <v>29</v>
      </c>
      <c r="S63">
        <v>6</v>
      </c>
      <c r="T63">
        <v>0</v>
      </c>
      <c r="U63" s="9" t="s">
        <v>151</v>
      </c>
      <c r="V63" s="9" t="s">
        <v>752</v>
      </c>
      <c r="W63">
        <v>6</v>
      </c>
      <c r="X63" s="9" t="s">
        <v>753</v>
      </c>
      <c r="Y63">
        <v>291</v>
      </c>
      <c r="Z63" s="9" t="s">
        <v>754</v>
      </c>
      <c r="AA63" s="9" t="s">
        <v>31</v>
      </c>
      <c r="AB63" s="9" t="s">
        <v>66</v>
      </c>
      <c r="AC63" s="9" t="s">
        <v>6</v>
      </c>
      <c r="AD63" s="9" t="s">
        <v>41</v>
      </c>
      <c r="AE63" s="9">
        <f>IF(Table5[[#This Row],[Team_Name]]=Table5[[#This Row],[Correct_Winner]],1,0)</f>
        <v>1</v>
      </c>
    </row>
    <row r="64" spans="1:31" x14ac:dyDescent="0.3">
      <c r="A64" s="9" t="s">
        <v>140</v>
      </c>
      <c r="B64">
        <v>2015</v>
      </c>
      <c r="C64" s="9" t="s">
        <v>152</v>
      </c>
      <c r="D64" s="9" t="s">
        <v>755</v>
      </c>
      <c r="E64" s="9" t="s">
        <v>153</v>
      </c>
      <c r="F64" s="2" t="s">
        <v>160</v>
      </c>
      <c r="G64">
        <v>160</v>
      </c>
      <c r="H64">
        <v>9</v>
      </c>
      <c r="I64" t="str">
        <f>Clean_Data!$I64</f>
        <v>Comilla Victorians</v>
      </c>
      <c r="J64">
        <v>163</v>
      </c>
      <c r="K64">
        <v>5</v>
      </c>
      <c r="L64" s="9" t="s">
        <v>154</v>
      </c>
      <c r="M64" s="9" t="s">
        <v>113</v>
      </c>
      <c r="N64" s="9" t="s">
        <v>37</v>
      </c>
      <c r="O64" s="9" t="s">
        <v>155</v>
      </c>
      <c r="P64" s="9" t="s">
        <v>142</v>
      </c>
      <c r="Q64" s="9" t="s">
        <v>28</v>
      </c>
      <c r="R64" s="9" t="s">
        <v>29</v>
      </c>
      <c r="S64">
        <v>5</v>
      </c>
      <c r="T64">
        <v>0</v>
      </c>
      <c r="U64" s="9" t="s">
        <v>55</v>
      </c>
      <c r="V64" s="9" t="s">
        <v>752</v>
      </c>
      <c r="W64">
        <v>5</v>
      </c>
      <c r="X64" s="9" t="s">
        <v>753</v>
      </c>
      <c r="Y64">
        <v>323</v>
      </c>
      <c r="Z64" s="9" t="s">
        <v>754</v>
      </c>
      <c r="AA64" s="9" t="s">
        <v>32</v>
      </c>
      <c r="AB64" s="9" t="s">
        <v>147</v>
      </c>
      <c r="AC64" s="9" t="s">
        <v>3</v>
      </c>
      <c r="AD64" s="9" t="s">
        <v>113</v>
      </c>
      <c r="AE64" s="9">
        <f>IF(Table5[[#This Row],[Team_Name]]=Table5[[#This Row],[Correct_Winner]],1,0)</f>
        <v>0</v>
      </c>
    </row>
    <row r="65" spans="1:31" x14ac:dyDescent="0.3">
      <c r="A65" s="9" t="s">
        <v>140</v>
      </c>
      <c r="B65">
        <v>2015</v>
      </c>
      <c r="C65" s="9" t="s">
        <v>152</v>
      </c>
      <c r="D65" s="9" t="s">
        <v>755</v>
      </c>
      <c r="E65" s="9" t="s">
        <v>153</v>
      </c>
      <c r="F65" s="3" t="s">
        <v>206</v>
      </c>
      <c r="G65">
        <v>160</v>
      </c>
      <c r="H65">
        <v>9</v>
      </c>
      <c r="I65" t="str">
        <f>Clean_Data!$I65</f>
        <v>Rangpur Riders</v>
      </c>
      <c r="J65">
        <v>163</v>
      </c>
      <c r="K65">
        <v>5</v>
      </c>
      <c r="L65" s="9" t="s">
        <v>154</v>
      </c>
      <c r="M65" s="9" t="s">
        <v>113</v>
      </c>
      <c r="N65" s="9" t="s">
        <v>37</v>
      </c>
      <c r="O65" s="9" t="s">
        <v>155</v>
      </c>
      <c r="P65" s="9" t="s">
        <v>142</v>
      </c>
      <c r="Q65" s="9" t="s">
        <v>28</v>
      </c>
      <c r="R65" s="9" t="s">
        <v>29</v>
      </c>
      <c r="S65">
        <v>5</v>
      </c>
      <c r="T65">
        <v>0</v>
      </c>
      <c r="U65" s="9" t="s">
        <v>55</v>
      </c>
      <c r="V65" s="9" t="s">
        <v>752</v>
      </c>
      <c r="W65">
        <v>5</v>
      </c>
      <c r="X65" s="9" t="s">
        <v>753</v>
      </c>
      <c r="Y65">
        <v>323</v>
      </c>
      <c r="Z65" s="9" t="s">
        <v>754</v>
      </c>
      <c r="AA65" s="9" t="s">
        <v>32</v>
      </c>
      <c r="AB65" s="9" t="s">
        <v>147</v>
      </c>
      <c r="AC65" s="9" t="s">
        <v>6</v>
      </c>
      <c r="AD65" s="9" t="s">
        <v>142</v>
      </c>
      <c r="AE65" s="9">
        <f>IF(Table5[[#This Row],[Team_Name]]=Table5[[#This Row],[Correct_Winner]],1,0)</f>
        <v>1</v>
      </c>
    </row>
    <row r="66" spans="1:31" x14ac:dyDescent="0.3">
      <c r="A66" s="9" t="s">
        <v>20</v>
      </c>
      <c r="B66">
        <v>2011</v>
      </c>
      <c r="C66" s="9" t="s">
        <v>156</v>
      </c>
      <c r="D66" s="9" t="s">
        <v>755</v>
      </c>
      <c r="E66" s="9" t="s">
        <v>149</v>
      </c>
      <c r="F66" s="2" t="s">
        <v>143</v>
      </c>
      <c r="G66">
        <v>152</v>
      </c>
      <c r="H66">
        <v>4</v>
      </c>
      <c r="I66" t="str">
        <f>Clean_Data!$I66</f>
        <v>Sylhet Sixers</v>
      </c>
      <c r="J66">
        <v>154</v>
      </c>
      <c r="K66">
        <v>3</v>
      </c>
      <c r="L66" s="9" t="s">
        <v>157</v>
      </c>
      <c r="M66" s="9" t="s">
        <v>62</v>
      </c>
      <c r="N66" s="9" t="s">
        <v>37</v>
      </c>
      <c r="O66" s="9" t="s">
        <v>80</v>
      </c>
      <c r="P66" s="9" t="s">
        <v>53</v>
      </c>
      <c r="Q66" s="9" t="s">
        <v>28</v>
      </c>
      <c r="R66" s="9" t="s">
        <v>29</v>
      </c>
      <c r="S66">
        <v>7</v>
      </c>
      <c r="T66">
        <v>0</v>
      </c>
      <c r="U66" s="9" t="s">
        <v>118</v>
      </c>
      <c r="V66" s="9" t="s">
        <v>752</v>
      </c>
      <c r="W66">
        <v>7</v>
      </c>
      <c r="X66" s="9" t="s">
        <v>753</v>
      </c>
      <c r="Y66">
        <v>306</v>
      </c>
      <c r="Z66" s="9" t="s">
        <v>754</v>
      </c>
      <c r="AA66" s="9" t="s">
        <v>32</v>
      </c>
      <c r="AB66" s="9" t="s">
        <v>57</v>
      </c>
      <c r="AC66" s="9" t="s">
        <v>3</v>
      </c>
      <c r="AD66" s="9" t="s">
        <v>62</v>
      </c>
      <c r="AE66" s="9">
        <f>IF(Table5[[#This Row],[Team_Name]]=Table5[[#This Row],[Correct_Winner]],1,0)</f>
        <v>0</v>
      </c>
    </row>
    <row r="67" spans="1:31" x14ac:dyDescent="0.3">
      <c r="A67" s="9" t="s">
        <v>20</v>
      </c>
      <c r="B67">
        <v>2011</v>
      </c>
      <c r="C67" s="9" t="s">
        <v>156</v>
      </c>
      <c r="D67" s="9" t="s">
        <v>755</v>
      </c>
      <c r="E67" s="9" t="s">
        <v>149</v>
      </c>
      <c r="F67" s="3" t="s">
        <v>160</v>
      </c>
      <c r="G67">
        <v>152</v>
      </c>
      <c r="H67">
        <v>4</v>
      </c>
      <c r="I67" t="str">
        <f>Clean_Data!$I67</f>
        <v>Rangpur Riders</v>
      </c>
      <c r="J67">
        <v>154</v>
      </c>
      <c r="K67">
        <v>3</v>
      </c>
      <c r="L67" s="9" t="s">
        <v>157</v>
      </c>
      <c r="M67" s="9" t="s">
        <v>62</v>
      </c>
      <c r="N67" s="9" t="s">
        <v>37</v>
      </c>
      <c r="O67" s="9" t="s">
        <v>80</v>
      </c>
      <c r="P67" s="9" t="s">
        <v>53</v>
      </c>
      <c r="Q67" s="9" t="s">
        <v>28</v>
      </c>
      <c r="R67" s="9" t="s">
        <v>29</v>
      </c>
      <c r="S67">
        <v>7</v>
      </c>
      <c r="T67">
        <v>0</v>
      </c>
      <c r="U67" s="9" t="s">
        <v>118</v>
      </c>
      <c r="V67" s="9" t="s">
        <v>752</v>
      </c>
      <c r="W67">
        <v>7</v>
      </c>
      <c r="X67" s="9" t="s">
        <v>753</v>
      </c>
      <c r="Y67">
        <v>306</v>
      </c>
      <c r="Z67" s="9" t="s">
        <v>754</v>
      </c>
      <c r="AA67" s="9" t="s">
        <v>32</v>
      </c>
      <c r="AB67" s="9" t="s">
        <v>57</v>
      </c>
      <c r="AC67" s="9" t="s">
        <v>6</v>
      </c>
      <c r="AD67" s="9" t="s">
        <v>53</v>
      </c>
      <c r="AE67" s="9">
        <f>IF(Table5[[#This Row],[Team_Name]]=Table5[[#This Row],[Correct_Winner]],1,0)</f>
        <v>1</v>
      </c>
    </row>
    <row r="68" spans="1:31" x14ac:dyDescent="0.3">
      <c r="A68" s="9" t="s">
        <v>140</v>
      </c>
      <c r="B68">
        <v>2015</v>
      </c>
      <c r="C68" s="9" t="s">
        <v>158</v>
      </c>
      <c r="D68" s="9" t="s">
        <v>755</v>
      </c>
      <c r="E68" s="9" t="s">
        <v>159</v>
      </c>
      <c r="F68" s="2" t="s">
        <v>179</v>
      </c>
      <c r="G68">
        <v>135</v>
      </c>
      <c r="H68">
        <v>5</v>
      </c>
      <c r="I68" t="str">
        <f>Clean_Data!$I68</f>
        <v>Rajshahi Kings</v>
      </c>
      <c r="J68">
        <v>117</v>
      </c>
      <c r="K68">
        <v>8</v>
      </c>
      <c r="L68" s="9" t="s">
        <v>161</v>
      </c>
      <c r="M68" s="9" t="s">
        <v>160</v>
      </c>
      <c r="N68" s="9" t="s">
        <v>26</v>
      </c>
      <c r="O68" s="9" t="s">
        <v>155</v>
      </c>
      <c r="P68" s="9" t="s">
        <v>142</v>
      </c>
      <c r="Q68" s="9" t="s">
        <v>28</v>
      </c>
      <c r="R68" s="9" t="s">
        <v>29</v>
      </c>
      <c r="S68">
        <v>0</v>
      </c>
      <c r="T68">
        <v>18</v>
      </c>
      <c r="U68" s="9" t="s">
        <v>162</v>
      </c>
      <c r="V68" s="9" t="s">
        <v>756</v>
      </c>
      <c r="W68">
        <v>18</v>
      </c>
      <c r="X68" s="9" t="s">
        <v>757</v>
      </c>
      <c r="Y68">
        <v>252</v>
      </c>
      <c r="Z68" s="9" t="s">
        <v>754</v>
      </c>
      <c r="AA68" s="9" t="s">
        <v>146</v>
      </c>
      <c r="AB68" s="9" t="s">
        <v>56</v>
      </c>
      <c r="AC68" s="9" t="s">
        <v>3</v>
      </c>
      <c r="AD68" s="9" t="s">
        <v>142</v>
      </c>
      <c r="AE68" s="9">
        <f>IF(Table5[[#This Row],[Team_Name]]=Table5[[#This Row],[Correct_Winner]],1,0)</f>
        <v>1</v>
      </c>
    </row>
    <row r="69" spans="1:31" x14ac:dyDescent="0.3">
      <c r="A69" s="9" t="s">
        <v>140</v>
      </c>
      <c r="B69">
        <v>2015</v>
      </c>
      <c r="C69" s="9" t="s">
        <v>158</v>
      </c>
      <c r="D69" s="9" t="s">
        <v>755</v>
      </c>
      <c r="E69" s="9" t="s">
        <v>159</v>
      </c>
      <c r="F69" s="3" t="s">
        <v>206</v>
      </c>
      <c r="G69">
        <v>135</v>
      </c>
      <c r="H69">
        <v>5</v>
      </c>
      <c r="I69" t="str">
        <f>Clean_Data!$I69</f>
        <v>Comilla Victorians</v>
      </c>
      <c r="J69">
        <v>117</v>
      </c>
      <c r="K69">
        <v>8</v>
      </c>
      <c r="L69" s="9" t="s">
        <v>161</v>
      </c>
      <c r="M69" s="9" t="s">
        <v>160</v>
      </c>
      <c r="N69" s="9" t="s">
        <v>26</v>
      </c>
      <c r="O69" s="9" t="s">
        <v>155</v>
      </c>
      <c r="P69" s="9" t="s">
        <v>142</v>
      </c>
      <c r="Q69" s="9" t="s">
        <v>28</v>
      </c>
      <c r="R69" s="9" t="s">
        <v>29</v>
      </c>
      <c r="S69">
        <v>0</v>
      </c>
      <c r="T69">
        <v>18</v>
      </c>
      <c r="U69" s="9" t="s">
        <v>162</v>
      </c>
      <c r="V69" s="9" t="s">
        <v>756</v>
      </c>
      <c r="W69">
        <v>18</v>
      </c>
      <c r="X69" s="9" t="s">
        <v>757</v>
      </c>
      <c r="Y69">
        <v>252</v>
      </c>
      <c r="Z69" s="9" t="s">
        <v>754</v>
      </c>
      <c r="AA69" s="9" t="s">
        <v>146</v>
      </c>
      <c r="AB69" s="9" t="s">
        <v>56</v>
      </c>
      <c r="AC69" s="9" t="s">
        <v>6</v>
      </c>
      <c r="AD69" s="9" t="s">
        <v>160</v>
      </c>
      <c r="AE69" s="9">
        <f>IF(Table5[[#This Row],[Team_Name]]=Table5[[#This Row],[Correct_Winner]],1,0)</f>
        <v>0</v>
      </c>
    </row>
    <row r="70" spans="1:31" x14ac:dyDescent="0.3">
      <c r="A70" s="9" t="s">
        <v>20</v>
      </c>
      <c r="B70">
        <v>2011</v>
      </c>
      <c r="C70" s="9" t="s">
        <v>163</v>
      </c>
      <c r="D70" s="9" t="s">
        <v>755</v>
      </c>
      <c r="E70" s="9" t="s">
        <v>164</v>
      </c>
      <c r="F70" s="2" t="s">
        <v>113</v>
      </c>
      <c r="G70">
        <v>208</v>
      </c>
      <c r="H70">
        <v>5</v>
      </c>
      <c r="I70" t="str">
        <f>Clean_Data!$I70</f>
        <v>Khulna Titans</v>
      </c>
      <c r="J70">
        <v>187</v>
      </c>
      <c r="K70">
        <v>5</v>
      </c>
      <c r="L70" s="9" t="s">
        <v>36</v>
      </c>
      <c r="M70" s="9" t="s">
        <v>23</v>
      </c>
      <c r="N70" s="9" t="s">
        <v>26</v>
      </c>
      <c r="O70" s="9" t="s">
        <v>27</v>
      </c>
      <c r="P70" s="9" t="s">
        <v>24</v>
      </c>
      <c r="Q70" s="9" t="s">
        <v>28</v>
      </c>
      <c r="R70" s="9" t="s">
        <v>29</v>
      </c>
      <c r="S70">
        <v>0</v>
      </c>
      <c r="T70">
        <v>21</v>
      </c>
      <c r="U70" s="9" t="s">
        <v>165</v>
      </c>
      <c r="V70" s="9" t="s">
        <v>756</v>
      </c>
      <c r="W70">
        <v>21</v>
      </c>
      <c r="X70" s="9" t="s">
        <v>757</v>
      </c>
      <c r="Y70">
        <v>395</v>
      </c>
      <c r="Z70" s="9" t="s">
        <v>754</v>
      </c>
      <c r="AA70" s="9" t="s">
        <v>57</v>
      </c>
      <c r="AB70" s="9" t="s">
        <v>44</v>
      </c>
      <c r="AC70" s="9" t="s">
        <v>3</v>
      </c>
      <c r="AD70" s="9" t="s">
        <v>24</v>
      </c>
      <c r="AE70" s="9">
        <f>IF(Table5[[#This Row],[Team_Name]]=Table5[[#This Row],[Correct_Winner]],1,0)</f>
        <v>1</v>
      </c>
    </row>
    <row r="71" spans="1:31" x14ac:dyDescent="0.3">
      <c r="A71" s="9" t="s">
        <v>20</v>
      </c>
      <c r="B71">
        <v>2011</v>
      </c>
      <c r="C71" s="9" t="s">
        <v>163</v>
      </c>
      <c r="D71" s="9" t="s">
        <v>755</v>
      </c>
      <c r="E71" s="9" t="s">
        <v>164</v>
      </c>
      <c r="F71" s="3" t="s">
        <v>179</v>
      </c>
      <c r="G71">
        <v>208</v>
      </c>
      <c r="H71">
        <v>5</v>
      </c>
      <c r="I71" t="str">
        <f>Clean_Data!$I71</f>
        <v>Sylhet Sixers</v>
      </c>
      <c r="J71">
        <v>187</v>
      </c>
      <c r="K71">
        <v>5</v>
      </c>
      <c r="L71" s="9" t="s">
        <v>36</v>
      </c>
      <c r="M71" s="9" t="s">
        <v>23</v>
      </c>
      <c r="N71" s="9" t="s">
        <v>26</v>
      </c>
      <c r="O71" s="9" t="s">
        <v>27</v>
      </c>
      <c r="P71" s="9" t="s">
        <v>24</v>
      </c>
      <c r="Q71" s="9" t="s">
        <v>28</v>
      </c>
      <c r="R71" s="9" t="s">
        <v>29</v>
      </c>
      <c r="S71">
        <v>0</v>
      </c>
      <c r="T71">
        <v>21</v>
      </c>
      <c r="U71" s="9" t="s">
        <v>165</v>
      </c>
      <c r="V71" s="9" t="s">
        <v>756</v>
      </c>
      <c r="W71">
        <v>21</v>
      </c>
      <c r="X71" s="9" t="s">
        <v>757</v>
      </c>
      <c r="Y71">
        <v>395</v>
      </c>
      <c r="Z71" s="9" t="s">
        <v>754</v>
      </c>
      <c r="AA71" s="9" t="s">
        <v>57</v>
      </c>
      <c r="AB71" s="9" t="s">
        <v>44</v>
      </c>
      <c r="AC71" s="9" t="s">
        <v>6</v>
      </c>
      <c r="AD71" s="9" t="s">
        <v>23</v>
      </c>
      <c r="AE71" s="9">
        <f>IF(Table5[[#This Row],[Team_Name]]=Table5[[#This Row],[Correct_Winner]],1,0)</f>
        <v>0</v>
      </c>
    </row>
    <row r="72" spans="1:31" x14ac:dyDescent="0.3">
      <c r="A72" s="9" t="s">
        <v>140</v>
      </c>
      <c r="B72">
        <v>2015</v>
      </c>
      <c r="C72" s="9" t="s">
        <v>152</v>
      </c>
      <c r="D72" s="9" t="s">
        <v>755</v>
      </c>
      <c r="E72" s="9" t="s">
        <v>159</v>
      </c>
      <c r="F72" s="2" t="s">
        <v>143</v>
      </c>
      <c r="G72">
        <v>163</v>
      </c>
      <c r="H72">
        <v>7</v>
      </c>
      <c r="I72" t="str">
        <f>Clean_Data!$I72</f>
        <v>Dhaka Dynamites</v>
      </c>
      <c r="J72">
        <v>91</v>
      </c>
      <c r="K72">
        <v>10</v>
      </c>
      <c r="L72" s="9" t="s">
        <v>166</v>
      </c>
      <c r="M72" s="9" t="s">
        <v>113</v>
      </c>
      <c r="N72" s="9" t="s">
        <v>26</v>
      </c>
      <c r="O72" s="9" t="s">
        <v>145</v>
      </c>
      <c r="P72" s="9" t="s">
        <v>143</v>
      </c>
      <c r="Q72" s="9" t="s">
        <v>28</v>
      </c>
      <c r="R72" s="9" t="s">
        <v>29</v>
      </c>
      <c r="S72">
        <v>0</v>
      </c>
      <c r="T72">
        <v>72</v>
      </c>
      <c r="U72" s="9" t="s">
        <v>167</v>
      </c>
      <c r="V72" s="9" t="s">
        <v>756</v>
      </c>
      <c r="W72">
        <v>72</v>
      </c>
      <c r="X72" s="9" t="s">
        <v>757</v>
      </c>
      <c r="Y72">
        <v>254</v>
      </c>
      <c r="Z72" s="9" t="s">
        <v>754</v>
      </c>
      <c r="AA72" s="9" t="s">
        <v>32</v>
      </c>
      <c r="AB72" s="9" t="s">
        <v>147</v>
      </c>
      <c r="AC72" s="9" t="s">
        <v>3</v>
      </c>
      <c r="AD72" s="9" t="s">
        <v>143</v>
      </c>
      <c r="AE72" s="9">
        <f>IF(Table5[[#This Row],[Team_Name]]=Table5[[#This Row],[Correct_Winner]],1,0)</f>
        <v>1</v>
      </c>
    </row>
    <row r="73" spans="1:31" x14ac:dyDescent="0.3">
      <c r="A73" s="9" t="s">
        <v>140</v>
      </c>
      <c r="B73">
        <v>2015</v>
      </c>
      <c r="C73" s="9" t="s">
        <v>152</v>
      </c>
      <c r="D73" s="9" t="s">
        <v>755</v>
      </c>
      <c r="E73" s="9" t="s">
        <v>159</v>
      </c>
      <c r="F73" s="3" t="s">
        <v>113</v>
      </c>
      <c r="G73">
        <v>163</v>
      </c>
      <c r="H73">
        <v>7</v>
      </c>
      <c r="I73" t="str">
        <f>Clean_Data!$I73</f>
        <v>Dhaka Dynamites</v>
      </c>
      <c r="J73">
        <v>91</v>
      </c>
      <c r="K73">
        <v>10</v>
      </c>
      <c r="L73" s="9" t="s">
        <v>166</v>
      </c>
      <c r="M73" s="9" t="s">
        <v>113</v>
      </c>
      <c r="N73" s="9" t="s">
        <v>26</v>
      </c>
      <c r="O73" s="9" t="s">
        <v>145</v>
      </c>
      <c r="P73" s="9" t="s">
        <v>143</v>
      </c>
      <c r="Q73" s="9" t="s">
        <v>28</v>
      </c>
      <c r="R73" s="9" t="s">
        <v>29</v>
      </c>
      <c r="S73">
        <v>0</v>
      </c>
      <c r="T73">
        <v>72</v>
      </c>
      <c r="U73" s="9" t="s">
        <v>167</v>
      </c>
      <c r="V73" s="9" t="s">
        <v>756</v>
      </c>
      <c r="W73">
        <v>72</v>
      </c>
      <c r="X73" s="9" t="s">
        <v>757</v>
      </c>
      <c r="Y73">
        <v>254</v>
      </c>
      <c r="Z73" s="9" t="s">
        <v>754</v>
      </c>
      <c r="AA73" s="9" t="s">
        <v>32</v>
      </c>
      <c r="AB73" s="9" t="s">
        <v>147</v>
      </c>
      <c r="AC73" s="9" t="s">
        <v>6</v>
      </c>
      <c r="AD73" s="9" t="s">
        <v>113</v>
      </c>
      <c r="AE73" s="9">
        <f>IF(Table5[[#This Row],[Team_Name]]=Table5[[#This Row],[Correct_Winner]],1,0)</f>
        <v>0</v>
      </c>
    </row>
    <row r="74" spans="1:31" x14ac:dyDescent="0.3">
      <c r="A74" s="9" t="s">
        <v>20</v>
      </c>
      <c r="B74">
        <v>2011</v>
      </c>
      <c r="C74" s="9" t="s">
        <v>168</v>
      </c>
      <c r="D74" s="9" t="s">
        <v>755</v>
      </c>
      <c r="E74" s="9" t="s">
        <v>164</v>
      </c>
      <c r="F74" s="2" t="s">
        <v>113</v>
      </c>
      <c r="G74">
        <v>171</v>
      </c>
      <c r="H74">
        <v>8</v>
      </c>
      <c r="I74" t="str">
        <f>Clean_Data!$I74</f>
        <v>Comilla Victorians</v>
      </c>
      <c r="J74">
        <v>155</v>
      </c>
      <c r="K74">
        <v>4</v>
      </c>
      <c r="L74" s="9" t="s">
        <v>134</v>
      </c>
      <c r="M74" s="9" t="s">
        <v>41</v>
      </c>
      <c r="N74" s="9" t="s">
        <v>37</v>
      </c>
      <c r="O74" s="9" t="s">
        <v>48</v>
      </c>
      <c r="P74" s="9" t="s">
        <v>41</v>
      </c>
      <c r="Q74" s="9" t="s">
        <v>28</v>
      </c>
      <c r="R74" s="9" t="s">
        <v>29</v>
      </c>
      <c r="S74">
        <v>0</v>
      </c>
      <c r="T74">
        <v>16</v>
      </c>
      <c r="U74" s="9" t="s">
        <v>169</v>
      </c>
      <c r="V74" s="9" t="s">
        <v>756</v>
      </c>
      <c r="W74">
        <v>16</v>
      </c>
      <c r="X74" s="9" t="s">
        <v>757</v>
      </c>
      <c r="Y74">
        <v>326</v>
      </c>
      <c r="Z74" s="9" t="s">
        <v>754</v>
      </c>
      <c r="AA74" s="9" t="s">
        <v>31</v>
      </c>
      <c r="AB74" s="9" t="s">
        <v>32</v>
      </c>
      <c r="AC74" s="9" t="s">
        <v>3</v>
      </c>
      <c r="AD74" s="9" t="s">
        <v>41</v>
      </c>
      <c r="AE74" s="9">
        <f>IF(Table5[[#This Row],[Team_Name]]=Table5[[#This Row],[Correct_Winner]],1,0)</f>
        <v>1</v>
      </c>
    </row>
    <row r="75" spans="1:31" x14ac:dyDescent="0.3">
      <c r="A75" s="9" t="s">
        <v>20</v>
      </c>
      <c r="B75">
        <v>2011</v>
      </c>
      <c r="C75" s="9" t="s">
        <v>168</v>
      </c>
      <c r="D75" s="9" t="s">
        <v>755</v>
      </c>
      <c r="E75" s="9" t="s">
        <v>164</v>
      </c>
      <c r="F75" s="3" t="s">
        <v>179</v>
      </c>
      <c r="G75">
        <v>171</v>
      </c>
      <c r="H75">
        <v>8</v>
      </c>
      <c r="I75" t="str">
        <f>Clean_Data!$I75</f>
        <v>Dhaka Dynamites</v>
      </c>
      <c r="J75">
        <v>155</v>
      </c>
      <c r="K75">
        <v>4</v>
      </c>
      <c r="L75" s="9" t="s">
        <v>134</v>
      </c>
      <c r="M75" s="9" t="s">
        <v>41</v>
      </c>
      <c r="N75" s="9" t="s">
        <v>37</v>
      </c>
      <c r="O75" s="9" t="s">
        <v>48</v>
      </c>
      <c r="P75" s="9" t="s">
        <v>41</v>
      </c>
      <c r="Q75" s="9" t="s">
        <v>28</v>
      </c>
      <c r="R75" s="9" t="s">
        <v>29</v>
      </c>
      <c r="S75">
        <v>0</v>
      </c>
      <c r="T75">
        <v>16</v>
      </c>
      <c r="U75" s="9" t="s">
        <v>169</v>
      </c>
      <c r="V75" s="9" t="s">
        <v>756</v>
      </c>
      <c r="W75">
        <v>16</v>
      </c>
      <c r="X75" s="9" t="s">
        <v>757</v>
      </c>
      <c r="Y75">
        <v>326</v>
      </c>
      <c r="Z75" s="9" t="s">
        <v>754</v>
      </c>
      <c r="AA75" s="9" t="s">
        <v>31</v>
      </c>
      <c r="AB75" s="9" t="s">
        <v>32</v>
      </c>
      <c r="AC75" s="9" t="s">
        <v>6</v>
      </c>
      <c r="AD75" s="9" t="s">
        <v>62</v>
      </c>
      <c r="AE75" s="9">
        <f>IF(Table5[[#This Row],[Team_Name]]=Table5[[#This Row],[Correct_Winner]],1,0)</f>
        <v>0</v>
      </c>
    </row>
    <row r="76" spans="1:31" x14ac:dyDescent="0.3">
      <c r="A76" s="9" t="s">
        <v>20</v>
      </c>
      <c r="B76">
        <v>2011</v>
      </c>
      <c r="C76" s="9" t="s">
        <v>170</v>
      </c>
      <c r="D76" s="9" t="s">
        <v>755</v>
      </c>
      <c r="E76" s="9" t="s">
        <v>171</v>
      </c>
      <c r="F76" s="2" t="s">
        <v>206</v>
      </c>
      <c r="G76">
        <v>153</v>
      </c>
      <c r="H76">
        <v>6</v>
      </c>
      <c r="I76" t="str">
        <f>Clean_Data!$I76</f>
        <v>Dhaka Dynamites</v>
      </c>
      <c r="J76">
        <v>156</v>
      </c>
      <c r="K76">
        <v>4</v>
      </c>
      <c r="L76" s="9" t="s">
        <v>172</v>
      </c>
      <c r="M76" s="9" t="s">
        <v>53</v>
      </c>
      <c r="N76" s="9" t="s">
        <v>37</v>
      </c>
      <c r="O76" s="9" t="s">
        <v>27</v>
      </c>
      <c r="P76" s="9" t="s">
        <v>24</v>
      </c>
      <c r="Q76" s="9" t="s">
        <v>28</v>
      </c>
      <c r="R76" s="9" t="s">
        <v>29</v>
      </c>
      <c r="S76">
        <v>6</v>
      </c>
      <c r="T76">
        <v>0</v>
      </c>
      <c r="U76" s="9" t="s">
        <v>151</v>
      </c>
      <c r="V76" s="9" t="s">
        <v>752</v>
      </c>
      <c r="W76">
        <v>6</v>
      </c>
      <c r="X76" s="9" t="s">
        <v>753</v>
      </c>
      <c r="Y76">
        <v>309</v>
      </c>
      <c r="Z76" s="9" t="s">
        <v>754</v>
      </c>
      <c r="AA76" s="9" t="s">
        <v>31</v>
      </c>
      <c r="AB76" s="9" t="s">
        <v>44</v>
      </c>
      <c r="AC76" s="9" t="s">
        <v>3</v>
      </c>
      <c r="AD76" s="9" t="s">
        <v>53</v>
      </c>
      <c r="AE76" s="9">
        <f>IF(Table5[[#This Row],[Team_Name]]=Table5[[#This Row],[Correct_Winner]],1,0)</f>
        <v>0</v>
      </c>
    </row>
    <row r="77" spans="1:31" x14ac:dyDescent="0.3">
      <c r="A77" s="9" t="s">
        <v>20</v>
      </c>
      <c r="B77">
        <v>2011</v>
      </c>
      <c r="C77" s="9" t="s">
        <v>170</v>
      </c>
      <c r="D77" s="9" t="s">
        <v>755</v>
      </c>
      <c r="E77" s="9" t="s">
        <v>171</v>
      </c>
      <c r="F77" s="3" t="s">
        <v>143</v>
      </c>
      <c r="G77">
        <v>153</v>
      </c>
      <c r="H77">
        <v>6</v>
      </c>
      <c r="I77" t="str">
        <f>Clean_Data!$I77</f>
        <v>Rangpur Riders</v>
      </c>
      <c r="J77">
        <v>156</v>
      </c>
      <c r="K77">
        <v>4</v>
      </c>
      <c r="L77" s="9" t="s">
        <v>172</v>
      </c>
      <c r="M77" s="9" t="s">
        <v>53</v>
      </c>
      <c r="N77" s="9" t="s">
        <v>37</v>
      </c>
      <c r="O77" s="9" t="s">
        <v>27</v>
      </c>
      <c r="P77" s="9" t="s">
        <v>24</v>
      </c>
      <c r="Q77" s="9" t="s">
        <v>28</v>
      </c>
      <c r="R77" s="9" t="s">
        <v>29</v>
      </c>
      <c r="S77">
        <v>6</v>
      </c>
      <c r="T77">
        <v>0</v>
      </c>
      <c r="U77" s="9" t="s">
        <v>151</v>
      </c>
      <c r="V77" s="9" t="s">
        <v>752</v>
      </c>
      <c r="W77">
        <v>6</v>
      </c>
      <c r="X77" s="9" t="s">
        <v>753</v>
      </c>
      <c r="Y77">
        <v>309</v>
      </c>
      <c r="Z77" s="9" t="s">
        <v>754</v>
      </c>
      <c r="AA77" s="9" t="s">
        <v>31</v>
      </c>
      <c r="AB77" s="9" t="s">
        <v>44</v>
      </c>
      <c r="AC77" s="9" t="s">
        <v>6</v>
      </c>
      <c r="AD77" s="9" t="s">
        <v>24</v>
      </c>
      <c r="AE77" s="9">
        <f>IF(Table5[[#This Row],[Team_Name]]=Table5[[#This Row],[Correct_Winner]],1,0)</f>
        <v>1</v>
      </c>
    </row>
    <row r="78" spans="1:31" x14ac:dyDescent="0.3">
      <c r="A78" s="9" t="s">
        <v>140</v>
      </c>
      <c r="B78">
        <v>2015</v>
      </c>
      <c r="C78" s="9" t="s">
        <v>45</v>
      </c>
      <c r="D78" s="9" t="s">
        <v>755</v>
      </c>
      <c r="E78" s="9" t="s">
        <v>173</v>
      </c>
      <c r="F78" s="2" t="s">
        <v>238</v>
      </c>
      <c r="G78">
        <v>150</v>
      </c>
      <c r="H78">
        <v>4</v>
      </c>
      <c r="I78" t="str">
        <f>Clean_Data!$I78</f>
        <v>Chittagong Vikings</v>
      </c>
      <c r="J78">
        <v>79</v>
      </c>
      <c r="K78">
        <v>10</v>
      </c>
      <c r="L78" s="9" t="s">
        <v>42</v>
      </c>
      <c r="M78" s="9" t="s">
        <v>174</v>
      </c>
      <c r="N78" s="9" t="s">
        <v>26</v>
      </c>
      <c r="O78" s="9" t="s">
        <v>145</v>
      </c>
      <c r="P78" s="9" t="s">
        <v>143</v>
      </c>
      <c r="Q78" s="9" t="s">
        <v>28</v>
      </c>
      <c r="R78" s="9" t="s">
        <v>29</v>
      </c>
      <c r="S78">
        <v>0</v>
      </c>
      <c r="T78">
        <v>71</v>
      </c>
      <c r="U78" s="9" t="s">
        <v>175</v>
      </c>
      <c r="V78" s="9" t="s">
        <v>756</v>
      </c>
      <c r="W78">
        <v>71</v>
      </c>
      <c r="X78" s="9" t="s">
        <v>757</v>
      </c>
      <c r="Y78">
        <v>229</v>
      </c>
      <c r="Z78" s="9" t="s">
        <v>754</v>
      </c>
      <c r="AA78" s="9" t="s">
        <v>146</v>
      </c>
      <c r="AB78" s="9" t="s">
        <v>32</v>
      </c>
      <c r="AC78" s="9" t="s">
        <v>3</v>
      </c>
      <c r="AD78" s="9" t="s">
        <v>143</v>
      </c>
      <c r="AE78" s="9">
        <f>IF(Table5[[#This Row],[Team_Name]]=Table5[[#This Row],[Correct_Winner]],1,0)</f>
        <v>1</v>
      </c>
    </row>
    <row r="79" spans="1:31" x14ac:dyDescent="0.3">
      <c r="A79" s="9" t="s">
        <v>140</v>
      </c>
      <c r="B79">
        <v>2015</v>
      </c>
      <c r="C79" s="9" t="s">
        <v>45</v>
      </c>
      <c r="D79" s="9" t="s">
        <v>755</v>
      </c>
      <c r="E79" s="9" t="s">
        <v>173</v>
      </c>
      <c r="F79" s="3" t="s">
        <v>143</v>
      </c>
      <c r="G79">
        <v>150</v>
      </c>
      <c r="H79">
        <v>4</v>
      </c>
      <c r="I79" t="str">
        <f>Clean_Data!$I79</f>
        <v>Dhaka Dynamites</v>
      </c>
      <c r="J79">
        <v>79</v>
      </c>
      <c r="K79">
        <v>10</v>
      </c>
      <c r="L79" s="9" t="s">
        <v>42</v>
      </c>
      <c r="M79" s="9" t="s">
        <v>174</v>
      </c>
      <c r="N79" s="9" t="s">
        <v>26</v>
      </c>
      <c r="O79" s="9" t="s">
        <v>145</v>
      </c>
      <c r="P79" s="9" t="s">
        <v>143</v>
      </c>
      <c r="Q79" s="9" t="s">
        <v>28</v>
      </c>
      <c r="R79" s="9" t="s">
        <v>29</v>
      </c>
      <c r="S79">
        <v>0</v>
      </c>
      <c r="T79">
        <v>71</v>
      </c>
      <c r="U79" s="9" t="s">
        <v>175</v>
      </c>
      <c r="V79" s="9" t="s">
        <v>756</v>
      </c>
      <c r="W79">
        <v>71</v>
      </c>
      <c r="X79" s="9" t="s">
        <v>757</v>
      </c>
      <c r="Y79">
        <v>229</v>
      </c>
      <c r="Z79" s="9" t="s">
        <v>754</v>
      </c>
      <c r="AA79" s="9" t="s">
        <v>146</v>
      </c>
      <c r="AB79" s="9" t="s">
        <v>32</v>
      </c>
      <c r="AC79" s="9" t="s">
        <v>6</v>
      </c>
      <c r="AD79" s="9" t="s">
        <v>174</v>
      </c>
      <c r="AE79" s="9">
        <f>IF(Table5[[#This Row],[Team_Name]]=Table5[[#This Row],[Correct_Winner]],1,0)</f>
        <v>0</v>
      </c>
    </row>
    <row r="80" spans="1:31" x14ac:dyDescent="0.3">
      <c r="A80" s="9" t="s">
        <v>20</v>
      </c>
      <c r="B80">
        <v>2011</v>
      </c>
      <c r="C80" s="9" t="s">
        <v>176</v>
      </c>
      <c r="D80" s="9" t="s">
        <v>755</v>
      </c>
      <c r="E80" s="9" t="s">
        <v>171</v>
      </c>
      <c r="F80" s="2" t="s">
        <v>238</v>
      </c>
      <c r="G80">
        <v>125</v>
      </c>
      <c r="H80">
        <v>10</v>
      </c>
      <c r="I80" t="str">
        <f>Clean_Data!$I80</f>
        <v>Rajshahi Kings</v>
      </c>
      <c r="J80">
        <v>131</v>
      </c>
      <c r="K80">
        <v>3</v>
      </c>
      <c r="L80" s="9" t="s">
        <v>177</v>
      </c>
      <c r="M80" s="9" t="s">
        <v>35</v>
      </c>
      <c r="N80" s="9" t="s">
        <v>26</v>
      </c>
      <c r="O80" s="9" t="s">
        <v>98</v>
      </c>
      <c r="P80" s="9" t="s">
        <v>35</v>
      </c>
      <c r="Q80" s="9" t="s">
        <v>28</v>
      </c>
      <c r="R80" s="9" t="s">
        <v>29</v>
      </c>
      <c r="S80">
        <v>7</v>
      </c>
      <c r="T80">
        <v>0</v>
      </c>
      <c r="U80" s="9" t="s">
        <v>118</v>
      </c>
      <c r="V80" s="9" t="s">
        <v>752</v>
      </c>
      <c r="W80">
        <v>7</v>
      </c>
      <c r="X80" s="9" t="s">
        <v>753</v>
      </c>
      <c r="Y80">
        <v>256</v>
      </c>
      <c r="Z80" s="9" t="s">
        <v>754</v>
      </c>
      <c r="AA80" s="9" t="s">
        <v>32</v>
      </c>
      <c r="AB80" s="9" t="s">
        <v>57</v>
      </c>
      <c r="AC80" s="9" t="s">
        <v>3</v>
      </c>
      <c r="AD80" s="9" t="s">
        <v>23</v>
      </c>
      <c r="AE80" s="9">
        <f>IF(Table5[[#This Row],[Team_Name]]=Table5[[#This Row],[Correct_Winner]],1,0)</f>
        <v>0</v>
      </c>
    </row>
    <row r="81" spans="1:31" x14ac:dyDescent="0.3">
      <c r="A81" s="9" t="s">
        <v>20</v>
      </c>
      <c r="B81">
        <v>2011</v>
      </c>
      <c r="C81" s="9" t="s">
        <v>176</v>
      </c>
      <c r="D81" s="9" t="s">
        <v>755</v>
      </c>
      <c r="E81" s="9" t="s">
        <v>171</v>
      </c>
      <c r="F81" s="3" t="s">
        <v>179</v>
      </c>
      <c r="G81">
        <v>125</v>
      </c>
      <c r="H81">
        <v>10</v>
      </c>
      <c r="I81" t="str">
        <f>Clean_Data!$I81</f>
        <v>Dhaka Dynamites</v>
      </c>
      <c r="J81">
        <v>131</v>
      </c>
      <c r="K81">
        <v>3</v>
      </c>
      <c r="L81" s="9" t="s">
        <v>177</v>
      </c>
      <c r="M81" s="9" t="s">
        <v>35</v>
      </c>
      <c r="N81" s="9" t="s">
        <v>26</v>
      </c>
      <c r="O81" s="9" t="s">
        <v>98</v>
      </c>
      <c r="P81" s="9" t="s">
        <v>35</v>
      </c>
      <c r="Q81" s="9" t="s">
        <v>28</v>
      </c>
      <c r="R81" s="9" t="s">
        <v>29</v>
      </c>
      <c r="S81">
        <v>7</v>
      </c>
      <c r="T81">
        <v>0</v>
      </c>
      <c r="U81" s="9" t="s">
        <v>118</v>
      </c>
      <c r="V81" s="9" t="s">
        <v>752</v>
      </c>
      <c r="W81">
        <v>7</v>
      </c>
      <c r="X81" s="9" t="s">
        <v>753</v>
      </c>
      <c r="Y81">
        <v>256</v>
      </c>
      <c r="Z81" s="9" t="s">
        <v>754</v>
      </c>
      <c r="AA81" s="9" t="s">
        <v>32</v>
      </c>
      <c r="AB81" s="9" t="s">
        <v>57</v>
      </c>
      <c r="AC81" s="9" t="s">
        <v>6</v>
      </c>
      <c r="AD81" s="9" t="s">
        <v>35</v>
      </c>
      <c r="AE81" s="9">
        <f>IF(Table5[[#This Row],[Team_Name]]=Table5[[#This Row],[Correct_Winner]],1,0)</f>
        <v>1</v>
      </c>
    </row>
    <row r="82" spans="1:31" x14ac:dyDescent="0.3">
      <c r="A82" s="9" t="s">
        <v>140</v>
      </c>
      <c r="B82">
        <v>2015</v>
      </c>
      <c r="C82" s="9" t="s">
        <v>51</v>
      </c>
      <c r="D82" s="9" t="s">
        <v>755</v>
      </c>
      <c r="E82" s="9" t="s">
        <v>178</v>
      </c>
      <c r="F82" s="2" t="s">
        <v>276</v>
      </c>
      <c r="G82">
        <v>135</v>
      </c>
      <c r="H82">
        <v>7</v>
      </c>
      <c r="I82" t="str">
        <f>Clean_Data!$I82</f>
        <v>Khulna Tigers</v>
      </c>
      <c r="J82">
        <v>141</v>
      </c>
      <c r="K82">
        <v>2</v>
      </c>
      <c r="L82" s="9" t="s">
        <v>102</v>
      </c>
      <c r="M82" s="9" t="s">
        <v>142</v>
      </c>
      <c r="N82" s="9" t="s">
        <v>26</v>
      </c>
      <c r="O82" s="9" t="s">
        <v>155</v>
      </c>
      <c r="P82" s="9" t="s">
        <v>142</v>
      </c>
      <c r="Q82" s="9" t="s">
        <v>28</v>
      </c>
      <c r="R82" s="9" t="s">
        <v>29</v>
      </c>
      <c r="S82">
        <v>8</v>
      </c>
      <c r="T82">
        <v>0</v>
      </c>
      <c r="U82" s="9" t="s">
        <v>30</v>
      </c>
      <c r="V82" s="9" t="s">
        <v>752</v>
      </c>
      <c r="W82">
        <v>8</v>
      </c>
      <c r="X82" s="9" t="s">
        <v>753</v>
      </c>
      <c r="Y82">
        <v>276</v>
      </c>
      <c r="Z82" s="9" t="s">
        <v>754</v>
      </c>
      <c r="AA82" s="9" t="s">
        <v>146</v>
      </c>
      <c r="AB82" s="9" t="s">
        <v>56</v>
      </c>
      <c r="AC82" s="9" t="s">
        <v>3</v>
      </c>
      <c r="AD82" s="9" t="s">
        <v>179</v>
      </c>
      <c r="AE82" s="9">
        <f>IF(Table5[[#This Row],[Team_Name]]=Table5[[#This Row],[Correct_Winner]],1,0)</f>
        <v>0</v>
      </c>
    </row>
    <row r="83" spans="1:31" x14ac:dyDescent="0.3">
      <c r="A83" s="9" t="s">
        <v>140</v>
      </c>
      <c r="B83">
        <v>2015</v>
      </c>
      <c r="C83" s="9" t="s">
        <v>51</v>
      </c>
      <c r="D83" s="9" t="s">
        <v>755</v>
      </c>
      <c r="E83" s="9" t="s">
        <v>178</v>
      </c>
      <c r="F83" s="3" t="s">
        <v>280</v>
      </c>
      <c r="G83">
        <v>135</v>
      </c>
      <c r="H83">
        <v>7</v>
      </c>
      <c r="I83" t="str">
        <f>Clean_Data!$I83</f>
        <v>Rajshahi Royals</v>
      </c>
      <c r="J83">
        <v>141</v>
      </c>
      <c r="K83">
        <v>2</v>
      </c>
      <c r="L83" s="9" t="s">
        <v>102</v>
      </c>
      <c r="M83" s="9" t="s">
        <v>142</v>
      </c>
      <c r="N83" s="9" t="s">
        <v>26</v>
      </c>
      <c r="O83" s="9" t="s">
        <v>155</v>
      </c>
      <c r="P83" s="9" t="s">
        <v>142</v>
      </c>
      <c r="Q83" s="9" t="s">
        <v>28</v>
      </c>
      <c r="R83" s="9" t="s">
        <v>29</v>
      </c>
      <c r="S83">
        <v>8</v>
      </c>
      <c r="T83">
        <v>0</v>
      </c>
      <c r="U83" s="9" t="s">
        <v>30</v>
      </c>
      <c r="V83" s="9" t="s">
        <v>752</v>
      </c>
      <c r="W83">
        <v>8</v>
      </c>
      <c r="X83" s="9" t="s">
        <v>753</v>
      </c>
      <c r="Y83">
        <v>276</v>
      </c>
      <c r="Z83" s="9" t="s">
        <v>754</v>
      </c>
      <c r="AA83" s="9" t="s">
        <v>146</v>
      </c>
      <c r="AB83" s="9" t="s">
        <v>56</v>
      </c>
      <c r="AC83" s="9" t="s">
        <v>6</v>
      </c>
      <c r="AD83" s="9" t="s">
        <v>142</v>
      </c>
      <c r="AE83" s="9">
        <f>IF(Table5[[#This Row],[Team_Name]]=Table5[[#This Row],[Correct_Winner]],1,0)</f>
        <v>1</v>
      </c>
    </row>
    <row r="84" spans="1:31" x14ac:dyDescent="0.3">
      <c r="A84" s="9" t="s">
        <v>20</v>
      </c>
      <c r="B84">
        <v>2011</v>
      </c>
      <c r="C84" s="9" t="s">
        <v>180</v>
      </c>
      <c r="D84" s="9" t="s">
        <v>755</v>
      </c>
      <c r="E84" s="9" t="s">
        <v>181</v>
      </c>
      <c r="F84" s="2" t="s">
        <v>277</v>
      </c>
      <c r="G84">
        <v>124</v>
      </c>
      <c r="H84">
        <v>10</v>
      </c>
      <c r="I84" t="str">
        <f>Clean_Data!$I84</f>
        <v>Rajshahi Royals</v>
      </c>
      <c r="J84">
        <v>126</v>
      </c>
      <c r="K84">
        <v>3</v>
      </c>
      <c r="L84" s="9" t="s">
        <v>182</v>
      </c>
      <c r="M84" s="9" t="s">
        <v>62</v>
      </c>
      <c r="N84" s="9" t="s">
        <v>37</v>
      </c>
      <c r="O84" s="9" t="s">
        <v>27</v>
      </c>
      <c r="P84" s="9" t="s">
        <v>24</v>
      </c>
      <c r="Q84" s="9" t="s">
        <v>28</v>
      </c>
      <c r="R84" s="9" t="s">
        <v>29</v>
      </c>
      <c r="S84">
        <v>7</v>
      </c>
      <c r="T84">
        <v>0</v>
      </c>
      <c r="U84" s="9" t="s">
        <v>118</v>
      </c>
      <c r="V84" s="9" t="s">
        <v>752</v>
      </c>
      <c r="W84">
        <v>7</v>
      </c>
      <c r="X84" s="9" t="s">
        <v>753</v>
      </c>
      <c r="Y84">
        <v>250</v>
      </c>
      <c r="Z84" s="9" t="s">
        <v>754</v>
      </c>
      <c r="AA84" s="9" t="s">
        <v>57</v>
      </c>
      <c r="AB84" s="9" t="s">
        <v>44</v>
      </c>
      <c r="AC84" s="9" t="s">
        <v>3</v>
      </c>
      <c r="AD84" s="9" t="s">
        <v>62</v>
      </c>
      <c r="AE84" s="9">
        <f>IF(Table5[[#This Row],[Team_Name]]=Table5[[#This Row],[Correct_Winner]],1,0)</f>
        <v>0</v>
      </c>
    </row>
    <row r="85" spans="1:31" x14ac:dyDescent="0.3">
      <c r="A85" s="9" t="s">
        <v>20</v>
      </c>
      <c r="B85">
        <v>2011</v>
      </c>
      <c r="C85" s="9" t="s">
        <v>180</v>
      </c>
      <c r="D85" s="9" t="s">
        <v>755</v>
      </c>
      <c r="E85" s="9" t="s">
        <v>181</v>
      </c>
      <c r="F85" s="3" t="s">
        <v>287</v>
      </c>
      <c r="G85">
        <v>124</v>
      </c>
      <c r="H85">
        <v>10</v>
      </c>
      <c r="I85" t="str">
        <f>Clean_Data!$I85</f>
        <v>Chattogram Challengers</v>
      </c>
      <c r="J85">
        <v>126</v>
      </c>
      <c r="K85">
        <v>3</v>
      </c>
      <c r="L85" s="9" t="s">
        <v>182</v>
      </c>
      <c r="M85" s="9" t="s">
        <v>62</v>
      </c>
      <c r="N85" s="9" t="s">
        <v>37</v>
      </c>
      <c r="O85" s="9" t="s">
        <v>27</v>
      </c>
      <c r="P85" s="9" t="s">
        <v>24</v>
      </c>
      <c r="Q85" s="9" t="s">
        <v>28</v>
      </c>
      <c r="R85" s="9" t="s">
        <v>29</v>
      </c>
      <c r="S85">
        <v>7</v>
      </c>
      <c r="T85">
        <v>0</v>
      </c>
      <c r="U85" s="9" t="s">
        <v>118</v>
      </c>
      <c r="V85" s="9" t="s">
        <v>752</v>
      </c>
      <c r="W85">
        <v>7</v>
      </c>
      <c r="X85" s="9" t="s">
        <v>753</v>
      </c>
      <c r="Y85">
        <v>250</v>
      </c>
      <c r="Z85" s="9" t="s">
        <v>754</v>
      </c>
      <c r="AA85" s="9" t="s">
        <v>57</v>
      </c>
      <c r="AB85" s="9" t="s">
        <v>44</v>
      </c>
      <c r="AC85" s="9" t="s">
        <v>6</v>
      </c>
      <c r="AD85" s="9" t="s">
        <v>24</v>
      </c>
      <c r="AE85" s="9">
        <f>IF(Table5[[#This Row],[Team_Name]]=Table5[[#This Row],[Correct_Winner]],1,0)</f>
        <v>1</v>
      </c>
    </row>
    <row r="86" spans="1:31" x14ac:dyDescent="0.3">
      <c r="A86" s="9" t="s">
        <v>140</v>
      </c>
      <c r="B86">
        <v>2015</v>
      </c>
      <c r="C86" s="9" t="s">
        <v>58</v>
      </c>
      <c r="D86" s="9" t="s">
        <v>755</v>
      </c>
      <c r="E86" s="9" t="s">
        <v>178</v>
      </c>
      <c r="F86" s="2" t="s">
        <v>287</v>
      </c>
      <c r="G86">
        <v>157</v>
      </c>
      <c r="H86">
        <v>5</v>
      </c>
      <c r="I86" t="str">
        <f>Clean_Data!$I86</f>
        <v>Khulna Tigers</v>
      </c>
      <c r="J86">
        <v>162</v>
      </c>
      <c r="K86">
        <v>4</v>
      </c>
      <c r="L86" s="9" t="s">
        <v>183</v>
      </c>
      <c r="M86" s="9" t="s">
        <v>174</v>
      </c>
      <c r="N86" s="9" t="s">
        <v>26</v>
      </c>
      <c r="O86" s="9" t="s">
        <v>184</v>
      </c>
      <c r="P86" s="9" t="s">
        <v>174</v>
      </c>
      <c r="Q86" s="9" t="s">
        <v>28</v>
      </c>
      <c r="R86" s="9" t="s">
        <v>29</v>
      </c>
      <c r="S86">
        <v>0</v>
      </c>
      <c r="T86">
        <v>0</v>
      </c>
      <c r="U86" s="9" t="s">
        <v>185</v>
      </c>
      <c r="V86" s="9" t="s">
        <v>752</v>
      </c>
      <c r="W86">
        <v>0</v>
      </c>
      <c r="X86" s="9" t="s">
        <v>753</v>
      </c>
      <c r="Y86">
        <v>319</v>
      </c>
      <c r="Z86" s="9" t="s">
        <v>754</v>
      </c>
      <c r="AA86" s="9" t="s">
        <v>50</v>
      </c>
      <c r="AB86" s="9" t="s">
        <v>66</v>
      </c>
      <c r="AC86" s="9" t="s">
        <v>3</v>
      </c>
      <c r="AD86" s="9" t="s">
        <v>160</v>
      </c>
      <c r="AE86" s="9">
        <f>IF(Table5[[#This Row],[Team_Name]]=Table5[[#This Row],[Correct_Winner]],1,0)</f>
        <v>0</v>
      </c>
    </row>
    <row r="87" spans="1:31" x14ac:dyDescent="0.3">
      <c r="A87" s="9" t="s">
        <v>140</v>
      </c>
      <c r="B87">
        <v>2015</v>
      </c>
      <c r="C87" s="9" t="s">
        <v>58</v>
      </c>
      <c r="D87" s="9" t="s">
        <v>755</v>
      </c>
      <c r="E87" s="9" t="s">
        <v>178</v>
      </c>
      <c r="F87" s="3" t="s">
        <v>280</v>
      </c>
      <c r="G87">
        <v>157</v>
      </c>
      <c r="H87">
        <v>5</v>
      </c>
      <c r="I87" t="str">
        <f>Clean_Data!$I87</f>
        <v>Rajshahi Royals</v>
      </c>
      <c r="J87">
        <v>162</v>
      </c>
      <c r="K87">
        <v>4</v>
      </c>
      <c r="L87" s="9" t="s">
        <v>183</v>
      </c>
      <c r="M87" s="9" t="s">
        <v>174</v>
      </c>
      <c r="N87" s="9" t="s">
        <v>26</v>
      </c>
      <c r="O87" s="9" t="s">
        <v>184</v>
      </c>
      <c r="P87" s="9" t="s">
        <v>174</v>
      </c>
      <c r="Q87" s="9" t="s">
        <v>28</v>
      </c>
      <c r="R87" s="9" t="s">
        <v>29</v>
      </c>
      <c r="S87">
        <v>0</v>
      </c>
      <c r="T87">
        <v>0</v>
      </c>
      <c r="U87" s="9" t="s">
        <v>185</v>
      </c>
      <c r="V87" s="9" t="s">
        <v>752</v>
      </c>
      <c r="W87">
        <v>0</v>
      </c>
      <c r="X87" s="9" t="s">
        <v>753</v>
      </c>
      <c r="Y87">
        <v>319</v>
      </c>
      <c r="Z87" s="9" t="s">
        <v>754</v>
      </c>
      <c r="AA87" s="9" t="s">
        <v>50</v>
      </c>
      <c r="AB87" s="9" t="s">
        <v>66</v>
      </c>
      <c r="AC87" s="9" t="s">
        <v>6</v>
      </c>
      <c r="AD87" s="9" t="s">
        <v>174</v>
      </c>
      <c r="AE87" s="9">
        <f>IF(Table5[[#This Row],[Team_Name]]=Table5[[#This Row],[Correct_Winner]],1,0)</f>
        <v>1</v>
      </c>
    </row>
    <row r="88" spans="1:31" x14ac:dyDescent="0.3">
      <c r="A88" s="9" t="s">
        <v>20</v>
      </c>
      <c r="B88">
        <v>2011</v>
      </c>
      <c r="C88" s="9" t="s">
        <v>186</v>
      </c>
      <c r="D88" s="9" t="s">
        <v>755</v>
      </c>
      <c r="E88" s="9" t="s">
        <v>181</v>
      </c>
      <c r="F88" s="2" t="s">
        <v>277</v>
      </c>
      <c r="G88">
        <v>171</v>
      </c>
      <c r="H88">
        <v>3</v>
      </c>
      <c r="I88" t="str">
        <f>Clean_Data!$I88</f>
        <v>Cumilla Warriors</v>
      </c>
      <c r="J88">
        <v>174</v>
      </c>
      <c r="K88">
        <v>4</v>
      </c>
      <c r="L88" s="9" t="s">
        <v>139</v>
      </c>
      <c r="M88" s="9" t="s">
        <v>35</v>
      </c>
      <c r="N88" s="9" t="s">
        <v>37</v>
      </c>
      <c r="O88" s="9" t="s">
        <v>80</v>
      </c>
      <c r="P88" s="9" t="s">
        <v>53</v>
      </c>
      <c r="Q88" s="9" t="s">
        <v>28</v>
      </c>
      <c r="R88" s="9" t="s">
        <v>29</v>
      </c>
      <c r="S88">
        <v>6</v>
      </c>
      <c r="T88">
        <v>0</v>
      </c>
      <c r="U88" s="9" t="s">
        <v>151</v>
      </c>
      <c r="V88" s="9" t="s">
        <v>752</v>
      </c>
      <c r="W88">
        <v>6</v>
      </c>
      <c r="X88" s="9" t="s">
        <v>753</v>
      </c>
      <c r="Y88">
        <v>345</v>
      </c>
      <c r="Z88" s="9" t="s">
        <v>754</v>
      </c>
      <c r="AA88" s="9" t="s">
        <v>31</v>
      </c>
      <c r="AB88" s="9" t="s">
        <v>32</v>
      </c>
      <c r="AC88" s="9" t="s">
        <v>3</v>
      </c>
      <c r="AD88" s="9" t="s">
        <v>35</v>
      </c>
      <c r="AE88" s="9">
        <f>IF(Table5[[#This Row],[Team_Name]]=Table5[[#This Row],[Correct_Winner]],1,0)</f>
        <v>0</v>
      </c>
    </row>
    <row r="89" spans="1:31" x14ac:dyDescent="0.3">
      <c r="A89" s="9" t="s">
        <v>20</v>
      </c>
      <c r="B89">
        <v>2011</v>
      </c>
      <c r="C89" s="9" t="s">
        <v>186</v>
      </c>
      <c r="D89" s="9" t="s">
        <v>755</v>
      </c>
      <c r="E89" s="9" t="s">
        <v>181</v>
      </c>
      <c r="F89" s="3" t="s">
        <v>295</v>
      </c>
      <c r="G89">
        <v>171</v>
      </c>
      <c r="H89">
        <v>3</v>
      </c>
      <c r="I89" t="str">
        <f>Clean_Data!$I89</f>
        <v>Dhaka Platoon</v>
      </c>
      <c r="J89">
        <v>174</v>
      </c>
      <c r="K89">
        <v>4</v>
      </c>
      <c r="L89" s="9" t="s">
        <v>139</v>
      </c>
      <c r="M89" s="9" t="s">
        <v>35</v>
      </c>
      <c r="N89" s="9" t="s">
        <v>37</v>
      </c>
      <c r="O89" s="9" t="s">
        <v>80</v>
      </c>
      <c r="P89" s="9" t="s">
        <v>53</v>
      </c>
      <c r="Q89" s="9" t="s">
        <v>28</v>
      </c>
      <c r="R89" s="9" t="s">
        <v>29</v>
      </c>
      <c r="S89">
        <v>6</v>
      </c>
      <c r="T89">
        <v>0</v>
      </c>
      <c r="U89" s="9" t="s">
        <v>151</v>
      </c>
      <c r="V89" s="9" t="s">
        <v>752</v>
      </c>
      <c r="W89">
        <v>6</v>
      </c>
      <c r="X89" s="9" t="s">
        <v>753</v>
      </c>
      <c r="Y89">
        <v>345</v>
      </c>
      <c r="Z89" s="9" t="s">
        <v>754</v>
      </c>
      <c r="AA89" s="9" t="s">
        <v>31</v>
      </c>
      <c r="AB89" s="9" t="s">
        <v>32</v>
      </c>
      <c r="AC89" s="9" t="s">
        <v>6</v>
      </c>
      <c r="AD89" s="9" t="s">
        <v>53</v>
      </c>
      <c r="AE89" s="9">
        <f>IF(Table5[[#This Row],[Team_Name]]=Table5[[#This Row],[Correct_Winner]],1,0)</f>
        <v>1</v>
      </c>
    </row>
    <row r="90" spans="1:31" x14ac:dyDescent="0.3">
      <c r="A90" s="9" t="s">
        <v>140</v>
      </c>
      <c r="B90">
        <v>2015</v>
      </c>
      <c r="C90" s="9" t="s">
        <v>60</v>
      </c>
      <c r="D90" s="9" t="s">
        <v>755</v>
      </c>
      <c r="E90" s="9" t="s">
        <v>187</v>
      </c>
      <c r="F90" s="2" t="s">
        <v>287</v>
      </c>
      <c r="G90">
        <v>153</v>
      </c>
      <c r="H90">
        <v>6</v>
      </c>
      <c r="I90" t="str">
        <f>Clean_Data!$I90</f>
        <v>Rangpur Rangers</v>
      </c>
      <c r="J90">
        <v>132</v>
      </c>
      <c r="K90">
        <v>10</v>
      </c>
      <c r="L90" s="9" t="s">
        <v>188</v>
      </c>
      <c r="M90" s="9" t="s">
        <v>143</v>
      </c>
      <c r="N90" s="9" t="s">
        <v>26</v>
      </c>
      <c r="O90" s="9" t="s">
        <v>189</v>
      </c>
      <c r="P90" s="9" t="s">
        <v>113</v>
      </c>
      <c r="Q90" s="9" t="s">
        <v>28</v>
      </c>
      <c r="R90" s="9" t="s">
        <v>29</v>
      </c>
      <c r="S90">
        <v>0</v>
      </c>
      <c r="T90">
        <v>21</v>
      </c>
      <c r="U90" s="9" t="s">
        <v>165</v>
      </c>
      <c r="V90" s="9" t="s">
        <v>756</v>
      </c>
      <c r="W90">
        <v>21</v>
      </c>
      <c r="X90" s="9" t="s">
        <v>757</v>
      </c>
      <c r="Y90">
        <v>285</v>
      </c>
      <c r="Z90" s="9" t="s">
        <v>754</v>
      </c>
      <c r="AA90" s="9" t="s">
        <v>56</v>
      </c>
      <c r="AB90" s="9" t="s">
        <v>147</v>
      </c>
      <c r="AC90" s="9" t="s">
        <v>3</v>
      </c>
      <c r="AD90" s="9" t="s">
        <v>113</v>
      </c>
      <c r="AE90" s="9">
        <f>IF(Table5[[#This Row],[Team_Name]]=Table5[[#This Row],[Correct_Winner]],1,0)</f>
        <v>1</v>
      </c>
    </row>
    <row r="91" spans="1:31" x14ac:dyDescent="0.3">
      <c r="A91" s="9" t="s">
        <v>140</v>
      </c>
      <c r="B91">
        <v>2015</v>
      </c>
      <c r="C91" s="9" t="s">
        <v>60</v>
      </c>
      <c r="D91" s="9" t="s">
        <v>755</v>
      </c>
      <c r="E91" s="9" t="s">
        <v>187</v>
      </c>
      <c r="F91" s="3" t="s">
        <v>277</v>
      </c>
      <c r="G91">
        <v>153</v>
      </c>
      <c r="H91">
        <v>6</v>
      </c>
      <c r="I91" t="str">
        <f>Clean_Data!$I91</f>
        <v>Cumilla Warriors</v>
      </c>
      <c r="J91">
        <v>132</v>
      </c>
      <c r="K91">
        <v>10</v>
      </c>
      <c r="L91" s="9" t="s">
        <v>188</v>
      </c>
      <c r="M91" s="9" t="s">
        <v>143</v>
      </c>
      <c r="N91" s="9" t="s">
        <v>26</v>
      </c>
      <c r="O91" s="9" t="s">
        <v>189</v>
      </c>
      <c r="P91" s="9" t="s">
        <v>113</v>
      </c>
      <c r="Q91" s="9" t="s">
        <v>28</v>
      </c>
      <c r="R91" s="9" t="s">
        <v>29</v>
      </c>
      <c r="S91">
        <v>0</v>
      </c>
      <c r="T91">
        <v>21</v>
      </c>
      <c r="U91" s="9" t="s">
        <v>165</v>
      </c>
      <c r="V91" s="9" t="s">
        <v>756</v>
      </c>
      <c r="W91">
        <v>21</v>
      </c>
      <c r="X91" s="9" t="s">
        <v>757</v>
      </c>
      <c r="Y91">
        <v>285</v>
      </c>
      <c r="Z91" s="9" t="s">
        <v>754</v>
      </c>
      <c r="AA91" s="9" t="s">
        <v>56</v>
      </c>
      <c r="AB91" s="9" t="s">
        <v>147</v>
      </c>
      <c r="AC91" s="9" t="s">
        <v>6</v>
      </c>
      <c r="AD91" s="9" t="s">
        <v>143</v>
      </c>
      <c r="AE91" s="9">
        <f>IF(Table5[[#This Row],[Team_Name]]=Table5[[#This Row],[Correct_Winner]],1,0)</f>
        <v>0</v>
      </c>
    </row>
    <row r="92" spans="1:31" x14ac:dyDescent="0.3">
      <c r="A92" s="9" t="s">
        <v>20</v>
      </c>
      <c r="B92">
        <v>2011</v>
      </c>
      <c r="C92" s="9" t="s">
        <v>190</v>
      </c>
      <c r="D92" s="9" t="s">
        <v>755</v>
      </c>
      <c r="E92" s="9" t="s">
        <v>191</v>
      </c>
      <c r="F92" s="2" t="s">
        <v>280</v>
      </c>
      <c r="G92">
        <v>180</v>
      </c>
      <c r="H92">
        <v>2</v>
      </c>
      <c r="I92" t="str">
        <f>Clean_Data!$I92</f>
        <v>Comilla Victorians</v>
      </c>
      <c r="J92">
        <v>158</v>
      </c>
      <c r="K92">
        <v>9</v>
      </c>
      <c r="L92" s="9" t="s">
        <v>42</v>
      </c>
      <c r="M92" s="9" t="s">
        <v>23</v>
      </c>
      <c r="N92" s="9" t="s">
        <v>37</v>
      </c>
      <c r="O92" s="9" t="s">
        <v>43</v>
      </c>
      <c r="P92" s="9" t="s">
        <v>23</v>
      </c>
      <c r="Q92" s="9" t="s">
        <v>28</v>
      </c>
      <c r="R92" s="9" t="s">
        <v>29</v>
      </c>
      <c r="S92">
        <v>0</v>
      </c>
      <c r="T92">
        <v>22</v>
      </c>
      <c r="U92" s="9" t="s">
        <v>192</v>
      </c>
      <c r="V92" s="9" t="s">
        <v>756</v>
      </c>
      <c r="W92">
        <v>22</v>
      </c>
      <c r="X92" s="9" t="s">
        <v>757</v>
      </c>
      <c r="Y92">
        <v>338</v>
      </c>
      <c r="Z92" s="9" t="s">
        <v>754</v>
      </c>
      <c r="AA92" s="9" t="s">
        <v>31</v>
      </c>
      <c r="AB92" s="9" t="s">
        <v>56</v>
      </c>
      <c r="AC92" s="9" t="s">
        <v>3</v>
      </c>
      <c r="AD92" s="9" t="s">
        <v>23</v>
      </c>
      <c r="AE92" s="9">
        <f>IF(Table5[[#This Row],[Team_Name]]=Table5[[#This Row],[Correct_Winner]],1,0)</f>
        <v>1</v>
      </c>
    </row>
    <row r="93" spans="1:31" x14ac:dyDescent="0.3">
      <c r="A93" s="9" t="s">
        <v>20</v>
      </c>
      <c r="B93">
        <v>2011</v>
      </c>
      <c r="C93" s="9" t="s">
        <v>190</v>
      </c>
      <c r="D93" s="9" t="s">
        <v>755</v>
      </c>
      <c r="E93" s="9" t="s">
        <v>191</v>
      </c>
      <c r="F93" s="3" t="s">
        <v>307</v>
      </c>
      <c r="G93">
        <v>180</v>
      </c>
      <c r="H93">
        <v>2</v>
      </c>
      <c r="I93" t="str">
        <f>Clean_Data!$I93</f>
        <v>Khulna Tigers</v>
      </c>
      <c r="J93">
        <v>158</v>
      </c>
      <c r="K93">
        <v>9</v>
      </c>
      <c r="L93" s="9" t="s">
        <v>42</v>
      </c>
      <c r="M93" s="9" t="s">
        <v>23</v>
      </c>
      <c r="N93" s="9" t="s">
        <v>37</v>
      </c>
      <c r="O93" s="9" t="s">
        <v>43</v>
      </c>
      <c r="P93" s="9" t="s">
        <v>23</v>
      </c>
      <c r="Q93" s="9" t="s">
        <v>28</v>
      </c>
      <c r="R93" s="9" t="s">
        <v>29</v>
      </c>
      <c r="S93">
        <v>0</v>
      </c>
      <c r="T93">
        <v>22</v>
      </c>
      <c r="U93" s="9" t="s">
        <v>192</v>
      </c>
      <c r="V93" s="9" t="s">
        <v>756</v>
      </c>
      <c r="W93">
        <v>22</v>
      </c>
      <c r="X93" s="9" t="s">
        <v>757</v>
      </c>
      <c r="Y93">
        <v>338</v>
      </c>
      <c r="Z93" s="9" t="s">
        <v>754</v>
      </c>
      <c r="AA93" s="9" t="s">
        <v>31</v>
      </c>
      <c r="AB93" s="9" t="s">
        <v>56</v>
      </c>
      <c r="AC93" s="9" t="s">
        <v>6</v>
      </c>
      <c r="AD93" s="9" t="s">
        <v>41</v>
      </c>
      <c r="AE93" s="9">
        <f>IF(Table5[[#This Row],[Team_Name]]=Table5[[#This Row],[Correct_Winner]],1,0)</f>
        <v>0</v>
      </c>
    </row>
    <row r="94" spans="1:31" x14ac:dyDescent="0.3">
      <c r="A94" s="9" t="s">
        <v>140</v>
      </c>
      <c r="B94">
        <v>2015</v>
      </c>
      <c r="C94" s="9" t="s">
        <v>67</v>
      </c>
      <c r="D94" s="9" t="s">
        <v>755</v>
      </c>
      <c r="E94" s="9" t="s">
        <v>187</v>
      </c>
      <c r="F94" s="2" t="s">
        <v>310</v>
      </c>
      <c r="G94">
        <v>121</v>
      </c>
      <c r="H94">
        <v>8</v>
      </c>
      <c r="I94" t="str">
        <f>Clean_Data!$I94</f>
        <v>Chattogram Challengers</v>
      </c>
      <c r="J94">
        <v>76</v>
      </c>
      <c r="K94">
        <v>10</v>
      </c>
      <c r="L94" s="9" t="s">
        <v>75</v>
      </c>
      <c r="M94" s="9" t="s">
        <v>179</v>
      </c>
      <c r="N94" s="9" t="s">
        <v>26</v>
      </c>
      <c r="O94" s="9" t="s">
        <v>193</v>
      </c>
      <c r="P94" s="9" t="s">
        <v>160</v>
      </c>
      <c r="Q94" s="9" t="s">
        <v>28</v>
      </c>
      <c r="R94" s="9" t="s">
        <v>29</v>
      </c>
      <c r="S94">
        <v>0</v>
      </c>
      <c r="T94">
        <v>45</v>
      </c>
      <c r="U94" s="9" t="s">
        <v>194</v>
      </c>
      <c r="V94" s="9" t="s">
        <v>756</v>
      </c>
      <c r="W94">
        <v>45</v>
      </c>
      <c r="X94" s="9" t="s">
        <v>757</v>
      </c>
      <c r="Y94">
        <v>197</v>
      </c>
      <c r="Z94" s="9" t="s">
        <v>754</v>
      </c>
      <c r="AA94" s="9" t="s">
        <v>146</v>
      </c>
      <c r="AB94" s="9" t="s">
        <v>66</v>
      </c>
      <c r="AC94" s="9" t="s">
        <v>3</v>
      </c>
      <c r="AD94" s="9" t="s">
        <v>160</v>
      </c>
      <c r="AE94" s="9">
        <f>IF(Table5[[#This Row],[Team_Name]]=Table5[[#This Row],[Correct_Winner]],1,0)</f>
        <v>1</v>
      </c>
    </row>
    <row r="95" spans="1:31" x14ac:dyDescent="0.3">
      <c r="A95" s="9" t="s">
        <v>140</v>
      </c>
      <c r="B95">
        <v>2015</v>
      </c>
      <c r="C95" s="9" t="s">
        <v>67</v>
      </c>
      <c r="D95" s="9" t="s">
        <v>755</v>
      </c>
      <c r="E95" s="9" t="s">
        <v>187</v>
      </c>
      <c r="F95" s="3" t="s">
        <v>312</v>
      </c>
      <c r="G95">
        <v>121</v>
      </c>
      <c r="H95">
        <v>8</v>
      </c>
      <c r="I95" t="str">
        <f>Clean_Data!$I95</f>
        <v>Comilla Victorians</v>
      </c>
      <c r="J95">
        <v>76</v>
      </c>
      <c r="K95">
        <v>10</v>
      </c>
      <c r="L95" s="9" t="s">
        <v>75</v>
      </c>
      <c r="M95" s="9" t="s">
        <v>179</v>
      </c>
      <c r="N95" s="9" t="s">
        <v>26</v>
      </c>
      <c r="O95" s="9" t="s">
        <v>193</v>
      </c>
      <c r="P95" s="9" t="s">
        <v>160</v>
      </c>
      <c r="Q95" s="9" t="s">
        <v>28</v>
      </c>
      <c r="R95" s="9" t="s">
        <v>29</v>
      </c>
      <c r="S95">
        <v>0</v>
      </c>
      <c r="T95">
        <v>45</v>
      </c>
      <c r="U95" s="9" t="s">
        <v>194</v>
      </c>
      <c r="V95" s="9" t="s">
        <v>756</v>
      </c>
      <c r="W95">
        <v>45</v>
      </c>
      <c r="X95" s="9" t="s">
        <v>757</v>
      </c>
      <c r="Y95">
        <v>197</v>
      </c>
      <c r="Z95" s="9" t="s">
        <v>754</v>
      </c>
      <c r="AA95" s="9" t="s">
        <v>146</v>
      </c>
      <c r="AB95" s="9" t="s">
        <v>66</v>
      </c>
      <c r="AC95" s="9" t="s">
        <v>6</v>
      </c>
      <c r="AD95" s="9" t="s">
        <v>179</v>
      </c>
      <c r="AE95" s="9">
        <f>IF(Table5[[#This Row],[Team_Name]]=Table5[[#This Row],[Correct_Winner]],1,0)</f>
        <v>0</v>
      </c>
    </row>
    <row r="96" spans="1:31" x14ac:dyDescent="0.3">
      <c r="A96" s="9" t="s">
        <v>20</v>
      </c>
      <c r="B96">
        <v>2011</v>
      </c>
      <c r="C96" s="9" t="s">
        <v>195</v>
      </c>
      <c r="D96" s="9" t="s">
        <v>755</v>
      </c>
      <c r="E96" s="9" t="s">
        <v>191</v>
      </c>
      <c r="F96" s="2" t="s">
        <v>310</v>
      </c>
      <c r="G96">
        <v>175</v>
      </c>
      <c r="H96">
        <v>5</v>
      </c>
      <c r="I96" t="str">
        <f>Clean_Data!$I96</f>
        <v>Khulna Tigers</v>
      </c>
      <c r="J96">
        <v>156</v>
      </c>
      <c r="K96">
        <v>7</v>
      </c>
      <c r="L96" s="9" t="s">
        <v>127</v>
      </c>
      <c r="M96" s="9" t="s">
        <v>35</v>
      </c>
      <c r="N96" s="9" t="s">
        <v>37</v>
      </c>
      <c r="O96" s="9" t="s">
        <v>98</v>
      </c>
      <c r="P96" s="9" t="s">
        <v>35</v>
      </c>
      <c r="Q96" s="9" t="s">
        <v>28</v>
      </c>
      <c r="R96" s="9" t="s">
        <v>29</v>
      </c>
      <c r="S96">
        <v>0</v>
      </c>
      <c r="T96">
        <v>19</v>
      </c>
      <c r="U96" s="9" t="s">
        <v>196</v>
      </c>
      <c r="V96" s="9" t="s">
        <v>756</v>
      </c>
      <c r="W96">
        <v>19</v>
      </c>
      <c r="X96" s="9" t="s">
        <v>757</v>
      </c>
      <c r="Y96">
        <v>331</v>
      </c>
      <c r="Z96" s="9" t="s">
        <v>754</v>
      </c>
      <c r="AA96" s="9" t="s">
        <v>57</v>
      </c>
      <c r="AB96" s="9" t="s">
        <v>44</v>
      </c>
      <c r="AC96" s="9" t="s">
        <v>3</v>
      </c>
      <c r="AD96" s="9" t="s">
        <v>35</v>
      </c>
      <c r="AE96" s="9">
        <f>IF(Table5[[#This Row],[Team_Name]]=Table5[[#This Row],[Correct_Winner]],1,0)</f>
        <v>1</v>
      </c>
    </row>
    <row r="97" spans="1:31" x14ac:dyDescent="0.3">
      <c r="A97" s="9" t="s">
        <v>20</v>
      </c>
      <c r="B97">
        <v>2011</v>
      </c>
      <c r="C97" s="9" t="s">
        <v>195</v>
      </c>
      <c r="D97" s="9" t="s">
        <v>755</v>
      </c>
      <c r="E97" s="9" t="s">
        <v>191</v>
      </c>
      <c r="F97" s="3" t="s">
        <v>143</v>
      </c>
      <c r="G97">
        <v>175</v>
      </c>
      <c r="H97">
        <v>5</v>
      </c>
      <c r="I97" t="str">
        <f>Clean_Data!$I97</f>
        <v>Chattogram Challengers</v>
      </c>
      <c r="J97">
        <v>156</v>
      </c>
      <c r="K97">
        <v>7</v>
      </c>
      <c r="L97" s="9" t="s">
        <v>127</v>
      </c>
      <c r="M97" s="9" t="s">
        <v>35</v>
      </c>
      <c r="N97" s="9" t="s">
        <v>37</v>
      </c>
      <c r="O97" s="9" t="s">
        <v>98</v>
      </c>
      <c r="P97" s="9" t="s">
        <v>35</v>
      </c>
      <c r="Q97" s="9" t="s">
        <v>28</v>
      </c>
      <c r="R97" s="9" t="s">
        <v>29</v>
      </c>
      <c r="S97">
        <v>0</v>
      </c>
      <c r="T97">
        <v>19</v>
      </c>
      <c r="U97" s="9" t="s">
        <v>196</v>
      </c>
      <c r="V97" s="9" t="s">
        <v>756</v>
      </c>
      <c r="W97">
        <v>19</v>
      </c>
      <c r="X97" s="9" t="s">
        <v>757</v>
      </c>
      <c r="Y97">
        <v>331</v>
      </c>
      <c r="Z97" s="9" t="s">
        <v>754</v>
      </c>
      <c r="AA97" s="9" t="s">
        <v>57</v>
      </c>
      <c r="AB97" s="9" t="s">
        <v>44</v>
      </c>
      <c r="AC97" s="9" t="s">
        <v>6</v>
      </c>
      <c r="AD97" s="9" t="s">
        <v>24</v>
      </c>
      <c r="AE97" s="9">
        <f>IF(Table5[[#This Row],[Team_Name]]=Table5[[#This Row],[Correct_Winner]],1,0)</f>
        <v>0</v>
      </c>
    </row>
    <row r="98" spans="1:31" x14ac:dyDescent="0.3">
      <c r="A98" s="9" t="s">
        <v>197</v>
      </c>
      <c r="B98">
        <v>2016</v>
      </c>
      <c r="C98" s="9" t="s">
        <v>21</v>
      </c>
      <c r="D98" s="9" t="s">
        <v>21</v>
      </c>
      <c r="E98" s="9" t="s">
        <v>198</v>
      </c>
      <c r="F98" s="2" t="s">
        <v>280</v>
      </c>
      <c r="G98">
        <v>159</v>
      </c>
      <c r="H98">
        <v>9</v>
      </c>
      <c r="I98" t="str">
        <f>Clean_Data!$I98</f>
        <v>Sylhet Sunrisers</v>
      </c>
      <c r="J98">
        <v>103</v>
      </c>
      <c r="K98">
        <v>10</v>
      </c>
      <c r="L98" s="9" t="s">
        <v>200</v>
      </c>
      <c r="M98" s="9" t="s">
        <v>199</v>
      </c>
      <c r="N98" s="9" t="s">
        <v>26</v>
      </c>
      <c r="O98" s="9" t="s">
        <v>193</v>
      </c>
      <c r="P98" s="9" t="s">
        <v>160</v>
      </c>
      <c r="Q98" s="9" t="s">
        <v>28</v>
      </c>
      <c r="R98" s="9" t="s">
        <v>29</v>
      </c>
      <c r="S98">
        <v>0</v>
      </c>
      <c r="T98">
        <v>56</v>
      </c>
      <c r="U98" s="9" t="s">
        <v>201</v>
      </c>
      <c r="V98" s="9" t="s">
        <v>756</v>
      </c>
      <c r="W98">
        <v>56</v>
      </c>
      <c r="X98" s="9" t="s">
        <v>757</v>
      </c>
      <c r="Y98">
        <v>262</v>
      </c>
      <c r="Z98" s="9" t="s">
        <v>754</v>
      </c>
      <c r="AA98" s="9" t="s">
        <v>202</v>
      </c>
      <c r="AB98" s="9" t="s">
        <v>50</v>
      </c>
      <c r="AC98" s="9" t="s">
        <v>3</v>
      </c>
      <c r="AD98" s="9" t="s">
        <v>160</v>
      </c>
      <c r="AE98" s="9">
        <f>IF(Table5[[#This Row],[Team_Name]]=Table5[[#This Row],[Correct_Winner]],1,0)</f>
        <v>1</v>
      </c>
    </row>
    <row r="99" spans="1:31" x14ac:dyDescent="0.3">
      <c r="A99" s="9" t="s">
        <v>197</v>
      </c>
      <c r="B99">
        <v>2016</v>
      </c>
      <c r="C99" s="9" t="s">
        <v>21</v>
      </c>
      <c r="D99" s="9" t="s">
        <v>21</v>
      </c>
      <c r="E99" s="9" t="s">
        <v>198</v>
      </c>
      <c r="F99" s="3" t="s">
        <v>310</v>
      </c>
      <c r="G99">
        <v>159</v>
      </c>
      <c r="H99">
        <v>9</v>
      </c>
      <c r="I99" t="str">
        <f>Clean_Data!$I99</f>
        <v>Khulna Tigers</v>
      </c>
      <c r="J99">
        <v>103</v>
      </c>
      <c r="K99">
        <v>10</v>
      </c>
      <c r="L99" s="9" t="s">
        <v>200</v>
      </c>
      <c r="M99" s="9" t="s">
        <v>199</v>
      </c>
      <c r="N99" s="9" t="s">
        <v>26</v>
      </c>
      <c r="O99" s="9" t="s">
        <v>193</v>
      </c>
      <c r="P99" s="9" t="s">
        <v>160</v>
      </c>
      <c r="Q99" s="9" t="s">
        <v>28</v>
      </c>
      <c r="R99" s="9" t="s">
        <v>29</v>
      </c>
      <c r="S99">
        <v>0</v>
      </c>
      <c r="T99">
        <v>56</v>
      </c>
      <c r="U99" s="9" t="s">
        <v>201</v>
      </c>
      <c r="V99" s="9" t="s">
        <v>756</v>
      </c>
      <c r="W99">
        <v>56</v>
      </c>
      <c r="X99" s="9" t="s">
        <v>757</v>
      </c>
      <c r="Y99">
        <v>262</v>
      </c>
      <c r="Z99" s="9" t="s">
        <v>754</v>
      </c>
      <c r="AA99" s="9" t="s">
        <v>202</v>
      </c>
      <c r="AB99" s="9" t="s">
        <v>50</v>
      </c>
      <c r="AC99" s="9" t="s">
        <v>6</v>
      </c>
      <c r="AD99" s="9" t="s">
        <v>199</v>
      </c>
      <c r="AE99" s="9">
        <f>IF(Table5[[#This Row],[Team_Name]]=Table5[[#This Row],[Correct_Winner]],1,0)</f>
        <v>0</v>
      </c>
    </row>
    <row r="100" spans="1:31" x14ac:dyDescent="0.3">
      <c r="A100" s="9" t="s">
        <v>20</v>
      </c>
      <c r="B100">
        <v>2011</v>
      </c>
      <c r="C100" s="9" t="s">
        <v>33</v>
      </c>
      <c r="D100" s="9" t="s">
        <v>755</v>
      </c>
      <c r="E100" s="9" t="s">
        <v>203</v>
      </c>
      <c r="F100" s="2" t="s">
        <v>62</v>
      </c>
      <c r="G100">
        <v>206</v>
      </c>
      <c r="H100">
        <v>4</v>
      </c>
      <c r="I100" t="str">
        <f>Clean_Data!$I100</f>
        <v>Khulna Royal Bengals</v>
      </c>
      <c r="J100">
        <v>153</v>
      </c>
      <c r="K100">
        <v>10</v>
      </c>
      <c r="L100" s="9" t="s">
        <v>79</v>
      </c>
      <c r="M100" s="9" t="s">
        <v>53</v>
      </c>
      <c r="N100" s="9" t="s">
        <v>37</v>
      </c>
      <c r="O100" s="9" t="s">
        <v>80</v>
      </c>
      <c r="P100" s="9" t="s">
        <v>53</v>
      </c>
      <c r="Q100" s="9" t="s">
        <v>28</v>
      </c>
      <c r="R100" s="9" t="s">
        <v>29</v>
      </c>
      <c r="S100">
        <v>0</v>
      </c>
      <c r="T100">
        <v>53</v>
      </c>
      <c r="U100" s="9" t="s">
        <v>204</v>
      </c>
      <c r="V100" s="9" t="s">
        <v>756</v>
      </c>
      <c r="W100">
        <v>53</v>
      </c>
      <c r="X100" s="9" t="s">
        <v>757</v>
      </c>
      <c r="Y100">
        <v>359</v>
      </c>
      <c r="Z100" s="9" t="s">
        <v>754</v>
      </c>
      <c r="AA100" s="9" t="s">
        <v>57</v>
      </c>
      <c r="AB100" s="9" t="s">
        <v>44</v>
      </c>
      <c r="AC100" s="9" t="s">
        <v>3</v>
      </c>
      <c r="AD100" s="9" t="s">
        <v>53</v>
      </c>
      <c r="AE100" s="9">
        <f>IF(Table5[[#This Row],[Team_Name]]=Table5[[#This Row],[Correct_Winner]],1,0)</f>
        <v>1</v>
      </c>
    </row>
    <row r="101" spans="1:31" x14ac:dyDescent="0.3">
      <c r="A101" s="9" t="s">
        <v>20</v>
      </c>
      <c r="B101">
        <v>2011</v>
      </c>
      <c r="C101" s="9" t="s">
        <v>33</v>
      </c>
      <c r="D101" s="9" t="s">
        <v>755</v>
      </c>
      <c r="E101" s="9" t="s">
        <v>203</v>
      </c>
      <c r="F101" s="3" t="s">
        <v>113</v>
      </c>
      <c r="G101">
        <v>206</v>
      </c>
      <c r="H101">
        <v>4</v>
      </c>
      <c r="I101" t="str">
        <f>Clean_Data!$I101</f>
        <v>Duronto Rajshahi</v>
      </c>
      <c r="J101">
        <v>153</v>
      </c>
      <c r="K101">
        <v>10</v>
      </c>
      <c r="L101" s="9" t="s">
        <v>79</v>
      </c>
      <c r="M101" s="9" t="s">
        <v>53</v>
      </c>
      <c r="N101" s="9" t="s">
        <v>37</v>
      </c>
      <c r="O101" s="9" t="s">
        <v>80</v>
      </c>
      <c r="P101" s="9" t="s">
        <v>53</v>
      </c>
      <c r="Q101" s="9" t="s">
        <v>28</v>
      </c>
      <c r="R101" s="9" t="s">
        <v>29</v>
      </c>
      <c r="S101">
        <v>0</v>
      </c>
      <c r="T101">
        <v>53</v>
      </c>
      <c r="U101" s="9" t="s">
        <v>204</v>
      </c>
      <c r="V101" s="9" t="s">
        <v>756</v>
      </c>
      <c r="W101">
        <v>53</v>
      </c>
      <c r="X101" s="9" t="s">
        <v>757</v>
      </c>
      <c r="Y101">
        <v>359</v>
      </c>
      <c r="Z101" s="9" t="s">
        <v>754</v>
      </c>
      <c r="AA101" s="9" t="s">
        <v>57</v>
      </c>
      <c r="AB101" s="9" t="s">
        <v>44</v>
      </c>
      <c r="AC101" s="9" t="s">
        <v>6</v>
      </c>
      <c r="AD101" s="9" t="s">
        <v>41</v>
      </c>
      <c r="AE101" s="9">
        <f>IF(Table5[[#This Row],[Team_Name]]=Table5[[#This Row],[Correct_Winner]],1,0)</f>
        <v>0</v>
      </c>
    </row>
    <row r="102" spans="1:31" x14ac:dyDescent="0.3">
      <c r="A102" s="9" t="s">
        <v>197</v>
      </c>
      <c r="B102">
        <v>2016</v>
      </c>
      <c r="C102" s="9" t="s">
        <v>152</v>
      </c>
      <c r="D102" s="9" t="s">
        <v>755</v>
      </c>
      <c r="E102" s="9" t="s">
        <v>205</v>
      </c>
      <c r="F102" s="2" t="s">
        <v>35</v>
      </c>
      <c r="G102">
        <v>125</v>
      </c>
      <c r="H102">
        <v>9</v>
      </c>
      <c r="I102" t="str">
        <f>Clean_Data!$I102</f>
        <v>Dhaka Gladiators</v>
      </c>
      <c r="J102">
        <v>129</v>
      </c>
      <c r="K102">
        <v>3</v>
      </c>
      <c r="L102" s="9" t="s">
        <v>207</v>
      </c>
      <c r="M102" s="9" t="s">
        <v>206</v>
      </c>
      <c r="N102" s="9" t="s">
        <v>37</v>
      </c>
      <c r="O102" s="9" t="s">
        <v>208</v>
      </c>
      <c r="P102" s="9" t="s">
        <v>199</v>
      </c>
      <c r="Q102" s="9" t="s">
        <v>28</v>
      </c>
      <c r="R102" s="9" t="s">
        <v>29</v>
      </c>
      <c r="S102">
        <v>7</v>
      </c>
      <c r="T102">
        <v>0</v>
      </c>
      <c r="U102" s="9" t="s">
        <v>118</v>
      </c>
      <c r="V102" s="9" t="s">
        <v>752</v>
      </c>
      <c r="W102">
        <v>7</v>
      </c>
      <c r="X102" s="9" t="s">
        <v>753</v>
      </c>
      <c r="Y102">
        <v>254</v>
      </c>
      <c r="Z102" s="9" t="s">
        <v>754</v>
      </c>
      <c r="AA102" s="9" t="s">
        <v>66</v>
      </c>
      <c r="AB102" s="9" t="s">
        <v>147</v>
      </c>
      <c r="AC102" s="9" t="s">
        <v>3</v>
      </c>
      <c r="AD102" s="9" t="s">
        <v>206</v>
      </c>
      <c r="AE102" s="9">
        <f>IF(Table5[[#This Row],[Team_Name]]=Table5[[#This Row],[Correct_Winner]],1,0)</f>
        <v>0</v>
      </c>
    </row>
    <row r="103" spans="1:31" x14ac:dyDescent="0.3">
      <c r="A103" s="9" t="s">
        <v>197</v>
      </c>
      <c r="B103">
        <v>2016</v>
      </c>
      <c r="C103" s="9" t="s">
        <v>152</v>
      </c>
      <c r="D103" s="9" t="s">
        <v>755</v>
      </c>
      <c r="E103" s="9" t="s">
        <v>205</v>
      </c>
      <c r="F103" s="3" t="s">
        <v>23</v>
      </c>
      <c r="G103">
        <v>125</v>
      </c>
      <c r="H103">
        <v>9</v>
      </c>
      <c r="I103" t="str">
        <f>Clean_Data!$I103</f>
        <v>Dhaka Gladiators</v>
      </c>
      <c r="J103">
        <v>129</v>
      </c>
      <c r="K103">
        <v>3</v>
      </c>
      <c r="L103" s="9" t="s">
        <v>207</v>
      </c>
      <c r="M103" s="9" t="s">
        <v>206</v>
      </c>
      <c r="N103" s="9" t="s">
        <v>37</v>
      </c>
      <c r="O103" s="9" t="s">
        <v>208</v>
      </c>
      <c r="P103" s="9" t="s">
        <v>199</v>
      </c>
      <c r="Q103" s="9" t="s">
        <v>28</v>
      </c>
      <c r="R103" s="9" t="s">
        <v>29</v>
      </c>
      <c r="S103">
        <v>7</v>
      </c>
      <c r="T103">
        <v>0</v>
      </c>
      <c r="U103" s="9" t="s">
        <v>118</v>
      </c>
      <c r="V103" s="9" t="s">
        <v>752</v>
      </c>
      <c r="W103">
        <v>7</v>
      </c>
      <c r="X103" s="9" t="s">
        <v>753</v>
      </c>
      <c r="Y103">
        <v>254</v>
      </c>
      <c r="Z103" s="9" t="s">
        <v>754</v>
      </c>
      <c r="AA103" s="9" t="s">
        <v>66</v>
      </c>
      <c r="AB103" s="9" t="s">
        <v>147</v>
      </c>
      <c r="AC103" s="9" t="s">
        <v>6</v>
      </c>
      <c r="AD103" s="9" t="s">
        <v>199</v>
      </c>
      <c r="AE103" s="9">
        <f>IF(Table5[[#This Row],[Team_Name]]=Table5[[#This Row],[Correct_Winner]],1,0)</f>
        <v>1</v>
      </c>
    </row>
    <row r="104" spans="1:31" x14ac:dyDescent="0.3">
      <c r="A104" s="9" t="s">
        <v>20</v>
      </c>
      <c r="B104">
        <v>2011</v>
      </c>
      <c r="C104" s="9" t="s">
        <v>40</v>
      </c>
      <c r="D104" s="9" t="s">
        <v>755</v>
      </c>
      <c r="E104" s="9" t="s">
        <v>203</v>
      </c>
      <c r="F104" s="2" t="s">
        <v>53</v>
      </c>
      <c r="G104">
        <v>165</v>
      </c>
      <c r="H104">
        <v>4</v>
      </c>
      <c r="I104" t="str">
        <f>Clean_Data!$I104</f>
        <v>Rangpur Riders</v>
      </c>
      <c r="J104">
        <v>167</v>
      </c>
      <c r="K104">
        <v>0</v>
      </c>
      <c r="L104" s="9" t="s">
        <v>102</v>
      </c>
      <c r="M104" s="9" t="s">
        <v>23</v>
      </c>
      <c r="N104" s="9" t="s">
        <v>26</v>
      </c>
      <c r="O104" s="9" t="s">
        <v>43</v>
      </c>
      <c r="P104" s="9" t="s">
        <v>23</v>
      </c>
      <c r="Q104" s="9" t="s">
        <v>28</v>
      </c>
      <c r="R104" s="9" t="s">
        <v>29</v>
      </c>
      <c r="S104">
        <v>10</v>
      </c>
      <c r="T104">
        <v>0</v>
      </c>
      <c r="U104" s="9" t="s">
        <v>209</v>
      </c>
      <c r="V104" s="9" t="s">
        <v>752</v>
      </c>
      <c r="W104">
        <v>10</v>
      </c>
      <c r="X104" s="9" t="s">
        <v>753</v>
      </c>
      <c r="Y104">
        <v>332</v>
      </c>
      <c r="Z104" s="9" t="s">
        <v>754</v>
      </c>
      <c r="AA104" s="9" t="s">
        <v>72</v>
      </c>
      <c r="AB104" s="9" t="s">
        <v>31</v>
      </c>
      <c r="AC104" s="9" t="s">
        <v>3</v>
      </c>
      <c r="AD104" s="9" t="s">
        <v>62</v>
      </c>
      <c r="AE104" s="9">
        <f>IF(Table5[[#This Row],[Team_Name]]=Table5[[#This Row],[Correct_Winner]],1,0)</f>
        <v>0</v>
      </c>
    </row>
    <row r="105" spans="1:31" x14ac:dyDescent="0.3">
      <c r="A105" s="9" t="s">
        <v>20</v>
      </c>
      <c r="B105">
        <v>2011</v>
      </c>
      <c r="C105" s="9" t="s">
        <v>40</v>
      </c>
      <c r="D105" s="9" t="s">
        <v>755</v>
      </c>
      <c r="E105" s="9" t="s">
        <v>203</v>
      </c>
      <c r="F105" s="3" t="s">
        <v>53</v>
      </c>
      <c r="G105">
        <v>165</v>
      </c>
      <c r="H105">
        <v>4</v>
      </c>
      <c r="I105" t="str">
        <f>Clean_Data!$I105</f>
        <v>Sylhet Royals</v>
      </c>
      <c r="J105">
        <v>167</v>
      </c>
      <c r="K105">
        <v>0</v>
      </c>
      <c r="L105" s="9" t="s">
        <v>102</v>
      </c>
      <c r="M105" s="9" t="s">
        <v>23</v>
      </c>
      <c r="N105" s="9" t="s">
        <v>26</v>
      </c>
      <c r="O105" s="9" t="s">
        <v>43</v>
      </c>
      <c r="P105" s="9" t="s">
        <v>23</v>
      </c>
      <c r="Q105" s="9" t="s">
        <v>28</v>
      </c>
      <c r="R105" s="9" t="s">
        <v>29</v>
      </c>
      <c r="S105">
        <v>10</v>
      </c>
      <c r="T105">
        <v>0</v>
      </c>
      <c r="U105" s="9" t="s">
        <v>209</v>
      </c>
      <c r="V105" s="9" t="s">
        <v>752</v>
      </c>
      <c r="W105">
        <v>10</v>
      </c>
      <c r="X105" s="9" t="s">
        <v>753</v>
      </c>
      <c r="Y105">
        <v>332</v>
      </c>
      <c r="Z105" s="9" t="s">
        <v>754</v>
      </c>
      <c r="AA105" s="9" t="s">
        <v>72</v>
      </c>
      <c r="AB105" s="9" t="s">
        <v>31</v>
      </c>
      <c r="AC105" s="9" t="s">
        <v>6</v>
      </c>
      <c r="AD105" s="9" t="s">
        <v>23</v>
      </c>
      <c r="AE105" s="9">
        <f>IF(Table5[[#This Row],[Team_Name]]=Table5[[#This Row],[Correct_Winner]],1,0)</f>
        <v>1</v>
      </c>
    </row>
    <row r="106" spans="1:31" x14ac:dyDescent="0.3">
      <c r="A106" s="9" t="s">
        <v>197</v>
      </c>
      <c r="B106">
        <v>2016</v>
      </c>
      <c r="C106" s="9" t="s">
        <v>152</v>
      </c>
      <c r="D106" s="9" t="s">
        <v>755</v>
      </c>
      <c r="E106" s="9" t="s">
        <v>210</v>
      </c>
      <c r="F106" s="2" t="s">
        <v>41</v>
      </c>
      <c r="G106">
        <v>140</v>
      </c>
      <c r="H106">
        <v>8</v>
      </c>
      <c r="I106" t="str">
        <f>Clean_Data!$I106</f>
        <v>Khulna Royal Bengals</v>
      </c>
      <c r="J106">
        <v>86</v>
      </c>
      <c r="K106">
        <v>10</v>
      </c>
      <c r="L106" s="9" t="s">
        <v>127</v>
      </c>
      <c r="M106" s="9" t="s">
        <v>206</v>
      </c>
      <c r="N106" s="9" t="s">
        <v>26</v>
      </c>
      <c r="O106" s="9" t="s">
        <v>193</v>
      </c>
      <c r="P106" s="9" t="s">
        <v>160</v>
      </c>
      <c r="Q106" s="9" t="s">
        <v>28</v>
      </c>
      <c r="R106" s="9" t="s">
        <v>29</v>
      </c>
      <c r="S106">
        <v>0</v>
      </c>
      <c r="T106">
        <v>54</v>
      </c>
      <c r="U106" s="9" t="s">
        <v>211</v>
      </c>
      <c r="V106" s="9" t="s">
        <v>756</v>
      </c>
      <c r="W106">
        <v>54</v>
      </c>
      <c r="X106" s="9" t="s">
        <v>757</v>
      </c>
      <c r="Y106">
        <v>226</v>
      </c>
      <c r="Z106" s="9" t="s">
        <v>754</v>
      </c>
      <c r="AA106" s="9" t="s">
        <v>202</v>
      </c>
      <c r="AB106" s="9" t="s">
        <v>39</v>
      </c>
      <c r="AC106" s="9" t="s">
        <v>3</v>
      </c>
      <c r="AD106" s="9" t="s">
        <v>160</v>
      </c>
      <c r="AE106" s="9">
        <f>IF(Table5[[#This Row],[Team_Name]]=Table5[[#This Row],[Correct_Winner]],1,0)</f>
        <v>1</v>
      </c>
    </row>
    <row r="107" spans="1:31" x14ac:dyDescent="0.3">
      <c r="A107" s="9" t="s">
        <v>197</v>
      </c>
      <c r="B107">
        <v>2016</v>
      </c>
      <c r="C107" s="9" t="s">
        <v>152</v>
      </c>
      <c r="D107" s="9" t="s">
        <v>755</v>
      </c>
      <c r="E107" s="9" t="s">
        <v>210</v>
      </c>
      <c r="F107" s="3" t="s">
        <v>113</v>
      </c>
      <c r="G107">
        <v>140</v>
      </c>
      <c r="H107">
        <v>8</v>
      </c>
      <c r="I107" t="str">
        <f>Clean_Data!$I107</f>
        <v>Sylhet Royals</v>
      </c>
      <c r="J107">
        <v>86</v>
      </c>
      <c r="K107">
        <v>10</v>
      </c>
      <c r="L107" s="9" t="s">
        <v>127</v>
      </c>
      <c r="M107" s="9" t="s">
        <v>206</v>
      </c>
      <c r="N107" s="9" t="s">
        <v>26</v>
      </c>
      <c r="O107" s="9" t="s">
        <v>193</v>
      </c>
      <c r="P107" s="9" t="s">
        <v>160</v>
      </c>
      <c r="Q107" s="9" t="s">
        <v>28</v>
      </c>
      <c r="R107" s="9" t="s">
        <v>29</v>
      </c>
      <c r="S107">
        <v>0</v>
      </c>
      <c r="T107">
        <v>54</v>
      </c>
      <c r="U107" s="9" t="s">
        <v>211</v>
      </c>
      <c r="V107" s="9" t="s">
        <v>756</v>
      </c>
      <c r="W107">
        <v>54</v>
      </c>
      <c r="X107" s="9" t="s">
        <v>757</v>
      </c>
      <c r="Y107">
        <v>226</v>
      </c>
      <c r="Z107" s="9" t="s">
        <v>754</v>
      </c>
      <c r="AA107" s="9" t="s">
        <v>202</v>
      </c>
      <c r="AB107" s="9" t="s">
        <v>39</v>
      </c>
      <c r="AC107" s="9" t="s">
        <v>6</v>
      </c>
      <c r="AD107" s="9" t="s">
        <v>206</v>
      </c>
      <c r="AE107" s="9">
        <f>IF(Table5[[#This Row],[Team_Name]]=Table5[[#This Row],[Correct_Winner]],1,0)</f>
        <v>0</v>
      </c>
    </row>
    <row r="108" spans="1:31" x14ac:dyDescent="0.3">
      <c r="A108" s="9" t="s">
        <v>197</v>
      </c>
      <c r="B108">
        <v>2016</v>
      </c>
      <c r="C108" s="9" t="s">
        <v>212</v>
      </c>
      <c r="D108" s="9" t="s">
        <v>755</v>
      </c>
      <c r="E108" s="9" t="s">
        <v>210</v>
      </c>
      <c r="F108" s="2" t="s">
        <v>53</v>
      </c>
      <c r="G108">
        <v>142</v>
      </c>
      <c r="H108">
        <v>8</v>
      </c>
      <c r="I108" t="str">
        <f>Clean_Data!$I108</f>
        <v>Khulna Royal Bengals</v>
      </c>
      <c r="J108">
        <v>143</v>
      </c>
      <c r="K108">
        <v>7</v>
      </c>
      <c r="L108" s="9" t="s">
        <v>213</v>
      </c>
      <c r="M108" s="9" t="s">
        <v>199</v>
      </c>
      <c r="N108" s="9" t="s">
        <v>26</v>
      </c>
      <c r="O108" s="9" t="s">
        <v>208</v>
      </c>
      <c r="P108" s="9" t="s">
        <v>199</v>
      </c>
      <c r="Q108" s="9" t="s">
        <v>28</v>
      </c>
      <c r="R108" s="9" t="s">
        <v>29</v>
      </c>
      <c r="S108">
        <v>3</v>
      </c>
      <c r="T108">
        <v>0</v>
      </c>
      <c r="U108" s="9" t="s">
        <v>49</v>
      </c>
      <c r="V108" s="9" t="s">
        <v>752</v>
      </c>
      <c r="W108">
        <v>3</v>
      </c>
      <c r="X108" s="9" t="s">
        <v>753</v>
      </c>
      <c r="Y108">
        <v>285</v>
      </c>
      <c r="Z108" s="9" t="s">
        <v>754</v>
      </c>
      <c r="AA108" s="9" t="s">
        <v>66</v>
      </c>
      <c r="AB108" s="9" t="s">
        <v>147</v>
      </c>
      <c r="AC108" s="9" t="s">
        <v>3</v>
      </c>
      <c r="AD108" s="9" t="s">
        <v>179</v>
      </c>
      <c r="AE108" s="9">
        <f>IF(Table5[[#This Row],[Team_Name]]=Table5[[#This Row],[Correct_Winner]],1,0)</f>
        <v>0</v>
      </c>
    </row>
    <row r="109" spans="1:31" x14ac:dyDescent="0.3">
      <c r="A109" s="9" t="s">
        <v>197</v>
      </c>
      <c r="B109">
        <v>2016</v>
      </c>
      <c r="C109" s="9" t="s">
        <v>212</v>
      </c>
      <c r="D109" s="9" t="s">
        <v>755</v>
      </c>
      <c r="E109" s="9" t="s">
        <v>210</v>
      </c>
      <c r="F109" s="3" t="s">
        <v>24</v>
      </c>
      <c r="G109">
        <v>142</v>
      </c>
      <c r="H109">
        <v>8</v>
      </c>
      <c r="I109" t="str">
        <f>Clean_Data!$I109</f>
        <v>Rangpur Riders</v>
      </c>
      <c r="J109">
        <v>143</v>
      </c>
      <c r="K109">
        <v>7</v>
      </c>
      <c r="L109" s="9" t="s">
        <v>213</v>
      </c>
      <c r="M109" s="9" t="s">
        <v>199</v>
      </c>
      <c r="N109" s="9" t="s">
        <v>26</v>
      </c>
      <c r="O109" s="9" t="s">
        <v>208</v>
      </c>
      <c r="P109" s="9" t="s">
        <v>199</v>
      </c>
      <c r="Q109" s="9" t="s">
        <v>28</v>
      </c>
      <c r="R109" s="9" t="s">
        <v>29</v>
      </c>
      <c r="S109">
        <v>3</v>
      </c>
      <c r="T109">
        <v>0</v>
      </c>
      <c r="U109" s="9" t="s">
        <v>49</v>
      </c>
      <c r="V109" s="9" t="s">
        <v>752</v>
      </c>
      <c r="W109">
        <v>3</v>
      </c>
      <c r="X109" s="9" t="s">
        <v>753</v>
      </c>
      <c r="Y109">
        <v>285</v>
      </c>
      <c r="Z109" s="9" t="s">
        <v>754</v>
      </c>
      <c r="AA109" s="9" t="s">
        <v>66</v>
      </c>
      <c r="AB109" s="9" t="s">
        <v>147</v>
      </c>
      <c r="AC109" s="9" t="s">
        <v>6</v>
      </c>
      <c r="AD109" s="9" t="s">
        <v>199</v>
      </c>
      <c r="AE109" s="9">
        <f>IF(Table5[[#This Row],[Team_Name]]=Table5[[#This Row],[Correct_Winner]],1,0)</f>
        <v>1</v>
      </c>
    </row>
    <row r="110" spans="1:31" x14ac:dyDescent="0.3">
      <c r="A110" s="9" t="s">
        <v>197</v>
      </c>
      <c r="B110">
        <v>2016</v>
      </c>
      <c r="C110" s="9" t="s">
        <v>106</v>
      </c>
      <c r="D110" s="9" t="s">
        <v>755</v>
      </c>
      <c r="E110" s="9" t="s">
        <v>214</v>
      </c>
      <c r="F110" s="2" t="s">
        <v>62</v>
      </c>
      <c r="G110">
        <v>158</v>
      </c>
      <c r="H110">
        <v>7</v>
      </c>
      <c r="I110" t="str">
        <f>Clean_Data!$I110</f>
        <v>Duronto Rajshahi</v>
      </c>
      <c r="J110">
        <v>159</v>
      </c>
      <c r="K110">
        <v>4</v>
      </c>
      <c r="L110" s="9" t="s">
        <v>157</v>
      </c>
      <c r="M110" s="9" t="s">
        <v>206</v>
      </c>
      <c r="N110" s="9" t="s">
        <v>26</v>
      </c>
      <c r="O110" s="9" t="s">
        <v>215</v>
      </c>
      <c r="P110" s="9" t="s">
        <v>206</v>
      </c>
      <c r="Q110" s="9" t="s">
        <v>28</v>
      </c>
      <c r="R110" s="9" t="s">
        <v>29</v>
      </c>
      <c r="S110">
        <v>6</v>
      </c>
      <c r="T110">
        <v>0</v>
      </c>
      <c r="U110" s="9" t="s">
        <v>151</v>
      </c>
      <c r="V110" s="9" t="s">
        <v>752</v>
      </c>
      <c r="W110">
        <v>6</v>
      </c>
      <c r="X110" s="9" t="s">
        <v>753</v>
      </c>
      <c r="Y110">
        <v>317</v>
      </c>
      <c r="Z110" s="9" t="s">
        <v>754</v>
      </c>
      <c r="AA110" s="9" t="s">
        <v>216</v>
      </c>
      <c r="AB110" s="9" t="s">
        <v>147</v>
      </c>
      <c r="AC110" s="9" t="s">
        <v>3</v>
      </c>
      <c r="AD110" s="9" t="s">
        <v>160</v>
      </c>
      <c r="AE110" s="9">
        <f>IF(Table5[[#This Row],[Team_Name]]=Table5[[#This Row],[Correct_Winner]],1,0)</f>
        <v>0</v>
      </c>
    </row>
    <row r="111" spans="1:31" x14ac:dyDescent="0.3">
      <c r="A111" s="9" t="s">
        <v>197</v>
      </c>
      <c r="B111">
        <v>2016</v>
      </c>
      <c r="C111" s="9" t="s">
        <v>106</v>
      </c>
      <c r="D111" s="9" t="s">
        <v>755</v>
      </c>
      <c r="E111" s="9" t="s">
        <v>214</v>
      </c>
      <c r="F111" s="3" t="s">
        <v>35</v>
      </c>
      <c r="G111">
        <v>158</v>
      </c>
      <c r="H111">
        <v>7</v>
      </c>
      <c r="I111" t="str">
        <f>Clean_Data!$I111</f>
        <v>Barisal Burners</v>
      </c>
      <c r="J111">
        <v>159</v>
      </c>
      <c r="K111">
        <v>4</v>
      </c>
      <c r="L111" s="9" t="s">
        <v>157</v>
      </c>
      <c r="M111" s="9" t="s">
        <v>206</v>
      </c>
      <c r="N111" s="9" t="s">
        <v>26</v>
      </c>
      <c r="O111" s="9" t="s">
        <v>215</v>
      </c>
      <c r="P111" s="9" t="s">
        <v>206</v>
      </c>
      <c r="Q111" s="9" t="s">
        <v>28</v>
      </c>
      <c r="R111" s="9" t="s">
        <v>29</v>
      </c>
      <c r="S111">
        <v>6</v>
      </c>
      <c r="T111">
        <v>0</v>
      </c>
      <c r="U111" s="9" t="s">
        <v>151</v>
      </c>
      <c r="V111" s="9" t="s">
        <v>752</v>
      </c>
      <c r="W111">
        <v>6</v>
      </c>
      <c r="X111" s="9" t="s">
        <v>753</v>
      </c>
      <c r="Y111">
        <v>317</v>
      </c>
      <c r="Z111" s="9" t="s">
        <v>754</v>
      </c>
      <c r="AA111" s="9" t="s">
        <v>216</v>
      </c>
      <c r="AB111" s="9" t="s">
        <v>147</v>
      </c>
      <c r="AC111" s="9" t="s">
        <v>6</v>
      </c>
      <c r="AD111" s="9" t="s">
        <v>206</v>
      </c>
      <c r="AE111" s="9">
        <f>IF(Table5[[#This Row],[Team_Name]]=Table5[[#This Row],[Correct_Winner]],1,0)</f>
        <v>1</v>
      </c>
    </row>
    <row r="112" spans="1:31" x14ac:dyDescent="0.3">
      <c r="A112" s="9" t="s">
        <v>197</v>
      </c>
      <c r="B112">
        <v>2016</v>
      </c>
      <c r="C112" s="9" t="s">
        <v>112</v>
      </c>
      <c r="D112" s="9" t="s">
        <v>755</v>
      </c>
      <c r="E112" s="9" t="s">
        <v>214</v>
      </c>
      <c r="F112" s="2" t="s">
        <v>113</v>
      </c>
      <c r="G112">
        <v>170</v>
      </c>
      <c r="H112">
        <v>6</v>
      </c>
      <c r="I112" t="str">
        <f>Clean_Data!$I112</f>
        <v>Duronto Rajshahi</v>
      </c>
      <c r="J112">
        <v>162</v>
      </c>
      <c r="K112">
        <v>8</v>
      </c>
      <c r="L112" s="9" t="s">
        <v>217</v>
      </c>
      <c r="M112" s="9" t="s">
        <v>113</v>
      </c>
      <c r="N112" s="9" t="s">
        <v>26</v>
      </c>
      <c r="O112" s="9" t="s">
        <v>145</v>
      </c>
      <c r="P112" s="9" t="s">
        <v>143</v>
      </c>
      <c r="Q112" s="9" t="s">
        <v>28</v>
      </c>
      <c r="R112" s="9" t="s">
        <v>29</v>
      </c>
      <c r="S112">
        <v>0</v>
      </c>
      <c r="T112">
        <v>8</v>
      </c>
      <c r="U112" s="9" t="s">
        <v>218</v>
      </c>
      <c r="V112" s="9" t="s">
        <v>756</v>
      </c>
      <c r="W112">
        <v>8</v>
      </c>
      <c r="X112" s="9" t="s">
        <v>753</v>
      </c>
      <c r="Y112">
        <v>332</v>
      </c>
      <c r="Z112" s="9" t="s">
        <v>754</v>
      </c>
      <c r="AA112" s="9" t="s">
        <v>202</v>
      </c>
      <c r="AB112" s="9" t="s">
        <v>39</v>
      </c>
      <c r="AC112" s="9" t="s">
        <v>3</v>
      </c>
      <c r="AD112" s="9" t="s">
        <v>143</v>
      </c>
      <c r="AE112" s="9">
        <f>IF(Table5[[#This Row],[Team_Name]]=Table5[[#This Row],[Correct_Winner]],1,0)</f>
        <v>1</v>
      </c>
    </row>
    <row r="113" spans="1:31" x14ac:dyDescent="0.3">
      <c r="A113" s="9" t="s">
        <v>197</v>
      </c>
      <c r="B113">
        <v>2016</v>
      </c>
      <c r="C113" s="9" t="s">
        <v>112</v>
      </c>
      <c r="D113" s="9" t="s">
        <v>755</v>
      </c>
      <c r="E113" s="9" t="s">
        <v>214</v>
      </c>
      <c r="F113" s="3" t="s">
        <v>53</v>
      </c>
      <c r="G113">
        <v>170</v>
      </c>
      <c r="H113">
        <v>6</v>
      </c>
      <c r="I113" t="str">
        <f>Clean_Data!$I113</f>
        <v>Dhaka Gladiators</v>
      </c>
      <c r="J113">
        <v>162</v>
      </c>
      <c r="K113">
        <v>8</v>
      </c>
      <c r="L113" s="9" t="s">
        <v>217</v>
      </c>
      <c r="M113" s="9" t="s">
        <v>113</v>
      </c>
      <c r="N113" s="9" t="s">
        <v>26</v>
      </c>
      <c r="O113" s="9" t="s">
        <v>145</v>
      </c>
      <c r="P113" s="9" t="s">
        <v>143</v>
      </c>
      <c r="Q113" s="9" t="s">
        <v>28</v>
      </c>
      <c r="R113" s="9" t="s">
        <v>29</v>
      </c>
      <c r="S113">
        <v>0</v>
      </c>
      <c r="T113">
        <v>8</v>
      </c>
      <c r="U113" s="9" t="s">
        <v>218</v>
      </c>
      <c r="V113" s="9" t="s">
        <v>756</v>
      </c>
      <c r="W113">
        <v>8</v>
      </c>
      <c r="X113" s="9" t="s">
        <v>753</v>
      </c>
      <c r="Y113">
        <v>332</v>
      </c>
      <c r="Z113" s="9" t="s">
        <v>754</v>
      </c>
      <c r="AA113" s="9" t="s">
        <v>202</v>
      </c>
      <c r="AB113" s="9" t="s">
        <v>39</v>
      </c>
      <c r="AC113" s="9" t="s">
        <v>6</v>
      </c>
      <c r="AD113" s="9" t="s">
        <v>113</v>
      </c>
      <c r="AE113" s="9">
        <f>IF(Table5[[#This Row],[Team_Name]]=Table5[[#This Row],[Correct_Winner]],1,0)</f>
        <v>0</v>
      </c>
    </row>
    <row r="114" spans="1:31" x14ac:dyDescent="0.3">
      <c r="A114" s="9" t="s">
        <v>197</v>
      </c>
      <c r="B114">
        <v>2016</v>
      </c>
      <c r="C114" s="9" t="s">
        <v>119</v>
      </c>
      <c r="D114" s="9" t="s">
        <v>755</v>
      </c>
      <c r="E114" s="9" t="s">
        <v>219</v>
      </c>
      <c r="F114" s="2" t="s">
        <v>23</v>
      </c>
      <c r="G114">
        <v>111</v>
      </c>
      <c r="H114">
        <v>9</v>
      </c>
      <c r="I114" t="str">
        <f>Clean_Data!$I114</f>
        <v>Duronto Rajshahi</v>
      </c>
      <c r="J114">
        <v>112</v>
      </c>
      <c r="K114">
        <v>4</v>
      </c>
      <c r="L114" s="9" t="s">
        <v>220</v>
      </c>
      <c r="M114" s="9" t="s">
        <v>199</v>
      </c>
      <c r="N114" s="9" t="s">
        <v>26</v>
      </c>
      <c r="O114" s="9" t="s">
        <v>208</v>
      </c>
      <c r="P114" s="9" t="s">
        <v>199</v>
      </c>
      <c r="Q114" s="9" t="s">
        <v>28</v>
      </c>
      <c r="R114" s="9" t="s">
        <v>29</v>
      </c>
      <c r="S114">
        <v>6</v>
      </c>
      <c r="T114">
        <v>0</v>
      </c>
      <c r="U114" s="9" t="s">
        <v>151</v>
      </c>
      <c r="V114" s="9" t="s">
        <v>752</v>
      </c>
      <c r="W114">
        <v>6</v>
      </c>
      <c r="X114" s="9" t="s">
        <v>753</v>
      </c>
      <c r="Y114">
        <v>223</v>
      </c>
      <c r="Z114" s="9" t="s">
        <v>754</v>
      </c>
      <c r="AA114" s="9" t="s">
        <v>39</v>
      </c>
      <c r="AB114" s="9" t="s">
        <v>147</v>
      </c>
      <c r="AC114" s="9" t="s">
        <v>3</v>
      </c>
      <c r="AD114" s="9" t="s">
        <v>179</v>
      </c>
      <c r="AE114" s="9">
        <f>IF(Table5[[#This Row],[Team_Name]]=Table5[[#This Row],[Correct_Winner]],1,0)</f>
        <v>0</v>
      </c>
    </row>
    <row r="115" spans="1:31" x14ac:dyDescent="0.3">
      <c r="A115" s="9" t="s">
        <v>197</v>
      </c>
      <c r="B115">
        <v>2016</v>
      </c>
      <c r="C115" s="9" t="s">
        <v>119</v>
      </c>
      <c r="D115" s="9" t="s">
        <v>755</v>
      </c>
      <c r="E115" s="9" t="s">
        <v>219</v>
      </c>
      <c r="F115" s="3" t="s">
        <v>35</v>
      </c>
      <c r="G115">
        <v>111</v>
      </c>
      <c r="H115">
        <v>9</v>
      </c>
      <c r="I115" t="str">
        <f>Clean_Data!$I115</f>
        <v>Chittagong Kings</v>
      </c>
      <c r="J115">
        <v>112</v>
      </c>
      <c r="K115">
        <v>4</v>
      </c>
      <c r="L115" s="9" t="s">
        <v>220</v>
      </c>
      <c r="M115" s="9" t="s">
        <v>199</v>
      </c>
      <c r="N115" s="9" t="s">
        <v>26</v>
      </c>
      <c r="O115" s="9" t="s">
        <v>208</v>
      </c>
      <c r="P115" s="9" t="s">
        <v>199</v>
      </c>
      <c r="Q115" s="9" t="s">
        <v>28</v>
      </c>
      <c r="R115" s="9" t="s">
        <v>29</v>
      </c>
      <c r="S115">
        <v>6</v>
      </c>
      <c r="T115">
        <v>0</v>
      </c>
      <c r="U115" s="9" t="s">
        <v>151</v>
      </c>
      <c r="V115" s="9" t="s">
        <v>752</v>
      </c>
      <c r="W115">
        <v>6</v>
      </c>
      <c r="X115" s="9" t="s">
        <v>753</v>
      </c>
      <c r="Y115">
        <v>223</v>
      </c>
      <c r="Z115" s="9" t="s">
        <v>754</v>
      </c>
      <c r="AA115" s="9" t="s">
        <v>39</v>
      </c>
      <c r="AB115" s="9" t="s">
        <v>147</v>
      </c>
      <c r="AC115" s="9" t="s">
        <v>6</v>
      </c>
      <c r="AD115" s="9" t="s">
        <v>199</v>
      </c>
      <c r="AE115" s="9">
        <f>IF(Table5[[#This Row],[Team_Name]]=Table5[[#This Row],[Correct_Winner]],1,0)</f>
        <v>1</v>
      </c>
    </row>
    <row r="116" spans="1:31" x14ac:dyDescent="0.3">
      <c r="A116" s="9" t="s">
        <v>197</v>
      </c>
      <c r="B116">
        <v>2016</v>
      </c>
      <c r="C116" s="9" t="s">
        <v>129</v>
      </c>
      <c r="D116" s="9" t="s">
        <v>755</v>
      </c>
      <c r="E116" s="9" t="s">
        <v>219</v>
      </c>
      <c r="F116" s="2" t="s">
        <v>24</v>
      </c>
      <c r="G116">
        <v>154</v>
      </c>
      <c r="H116">
        <v>5</v>
      </c>
      <c r="I116" t="str">
        <f>Clean_Data!$I116</f>
        <v>Duronto Rajshahi</v>
      </c>
      <c r="J116">
        <v>125</v>
      </c>
      <c r="K116">
        <v>10</v>
      </c>
      <c r="L116" s="9" t="s">
        <v>221</v>
      </c>
      <c r="M116" s="9" t="s">
        <v>113</v>
      </c>
      <c r="N116" s="9" t="s">
        <v>37</v>
      </c>
      <c r="O116" s="9" t="s">
        <v>189</v>
      </c>
      <c r="P116" s="9" t="s">
        <v>113</v>
      </c>
      <c r="Q116" s="9" t="s">
        <v>28</v>
      </c>
      <c r="R116" s="9" t="s">
        <v>29</v>
      </c>
      <c r="S116">
        <v>0</v>
      </c>
      <c r="T116">
        <v>29</v>
      </c>
      <c r="U116" s="9" t="s">
        <v>109</v>
      </c>
      <c r="V116" s="9" t="s">
        <v>756</v>
      </c>
      <c r="W116">
        <v>29</v>
      </c>
      <c r="X116" s="9" t="s">
        <v>757</v>
      </c>
      <c r="Y116">
        <v>279</v>
      </c>
      <c r="Z116" s="9" t="s">
        <v>754</v>
      </c>
      <c r="AA116" s="9" t="s">
        <v>222</v>
      </c>
      <c r="AB116" s="9" t="s">
        <v>50</v>
      </c>
      <c r="AC116" s="9" t="s">
        <v>3</v>
      </c>
      <c r="AD116" s="9" t="s">
        <v>113</v>
      </c>
      <c r="AE116" s="9">
        <f>IF(Table5[[#This Row],[Team_Name]]=Table5[[#This Row],[Correct_Winner]],1,0)</f>
        <v>1</v>
      </c>
    </row>
    <row r="117" spans="1:31" x14ac:dyDescent="0.3">
      <c r="A117" s="9" t="s">
        <v>197</v>
      </c>
      <c r="B117">
        <v>2016</v>
      </c>
      <c r="C117" s="9" t="s">
        <v>129</v>
      </c>
      <c r="D117" s="9" t="s">
        <v>755</v>
      </c>
      <c r="E117" s="9" t="s">
        <v>219</v>
      </c>
      <c r="F117" s="3" t="s">
        <v>23</v>
      </c>
      <c r="G117">
        <v>154</v>
      </c>
      <c r="H117">
        <v>5</v>
      </c>
      <c r="I117" t="str">
        <f>Clean_Data!$I117</f>
        <v>Chittagong Kings</v>
      </c>
      <c r="J117">
        <v>125</v>
      </c>
      <c r="K117">
        <v>10</v>
      </c>
      <c r="L117" s="9" t="s">
        <v>221</v>
      </c>
      <c r="M117" s="9" t="s">
        <v>113</v>
      </c>
      <c r="N117" s="9" t="s">
        <v>37</v>
      </c>
      <c r="O117" s="9" t="s">
        <v>189</v>
      </c>
      <c r="P117" s="9" t="s">
        <v>113</v>
      </c>
      <c r="Q117" s="9" t="s">
        <v>28</v>
      </c>
      <c r="R117" s="9" t="s">
        <v>29</v>
      </c>
      <c r="S117">
        <v>0</v>
      </c>
      <c r="T117">
        <v>29</v>
      </c>
      <c r="U117" s="9" t="s">
        <v>109</v>
      </c>
      <c r="V117" s="9" t="s">
        <v>756</v>
      </c>
      <c r="W117">
        <v>29</v>
      </c>
      <c r="X117" s="9" t="s">
        <v>757</v>
      </c>
      <c r="Y117">
        <v>279</v>
      </c>
      <c r="Z117" s="9" t="s">
        <v>754</v>
      </c>
      <c r="AA117" s="9" t="s">
        <v>222</v>
      </c>
      <c r="AB117" s="9" t="s">
        <v>50</v>
      </c>
      <c r="AC117" s="9" t="s">
        <v>6</v>
      </c>
      <c r="AD117" s="9" t="s">
        <v>142</v>
      </c>
      <c r="AE117" s="9">
        <f>IF(Table5[[#This Row],[Team_Name]]=Table5[[#This Row],[Correct_Winner]],1,0)</f>
        <v>0</v>
      </c>
    </row>
    <row r="118" spans="1:31" x14ac:dyDescent="0.3">
      <c r="A118" s="9" t="s">
        <v>197</v>
      </c>
      <c r="B118">
        <v>2016</v>
      </c>
      <c r="C118" s="9" t="s">
        <v>136</v>
      </c>
      <c r="D118" s="9" t="s">
        <v>755</v>
      </c>
      <c r="E118" s="9" t="s">
        <v>223</v>
      </c>
      <c r="F118" s="2" t="s">
        <v>113</v>
      </c>
      <c r="G118">
        <v>134</v>
      </c>
      <c r="H118">
        <v>6</v>
      </c>
      <c r="I118" t="str">
        <f>Clean_Data!$I118</f>
        <v>Sylhet Royals</v>
      </c>
      <c r="J118">
        <v>135</v>
      </c>
      <c r="K118">
        <v>4</v>
      </c>
      <c r="L118" s="9" t="s">
        <v>79</v>
      </c>
      <c r="M118" s="9" t="s">
        <v>160</v>
      </c>
      <c r="N118" s="9" t="s">
        <v>26</v>
      </c>
      <c r="O118" s="9" t="s">
        <v>193</v>
      </c>
      <c r="P118" s="9" t="s">
        <v>160</v>
      </c>
      <c r="Q118" s="9" t="s">
        <v>28</v>
      </c>
      <c r="R118" s="9" t="s">
        <v>29</v>
      </c>
      <c r="S118">
        <v>6</v>
      </c>
      <c r="T118">
        <v>0</v>
      </c>
      <c r="U118" s="9" t="s">
        <v>151</v>
      </c>
      <c r="V118" s="9" t="s">
        <v>752</v>
      </c>
      <c r="W118">
        <v>6</v>
      </c>
      <c r="X118" s="9" t="s">
        <v>753</v>
      </c>
      <c r="Y118">
        <v>269</v>
      </c>
      <c r="Z118" s="9" t="s">
        <v>754</v>
      </c>
      <c r="AA118" s="9" t="s">
        <v>222</v>
      </c>
      <c r="AB118" s="9" t="s">
        <v>66</v>
      </c>
      <c r="AC118" s="9" t="s">
        <v>3</v>
      </c>
      <c r="AD118" s="9" t="s">
        <v>179</v>
      </c>
      <c r="AE118" s="9">
        <f>IF(Table5[[#This Row],[Team_Name]]=Table5[[#This Row],[Correct_Winner]],1,0)</f>
        <v>0</v>
      </c>
    </row>
    <row r="119" spans="1:31" x14ac:dyDescent="0.3">
      <c r="A119" s="9" t="s">
        <v>197</v>
      </c>
      <c r="B119">
        <v>2016</v>
      </c>
      <c r="C119" s="9" t="s">
        <v>136</v>
      </c>
      <c r="D119" s="9" t="s">
        <v>755</v>
      </c>
      <c r="E119" s="9" t="s">
        <v>223</v>
      </c>
      <c r="F119" s="3" t="s">
        <v>113</v>
      </c>
      <c r="G119">
        <v>134</v>
      </c>
      <c r="H119">
        <v>6</v>
      </c>
      <c r="I119" t="str">
        <f>Clean_Data!$I119</f>
        <v>Khulna Royal Bengals</v>
      </c>
      <c r="J119">
        <v>135</v>
      </c>
      <c r="K119">
        <v>4</v>
      </c>
      <c r="L119" s="9" t="s">
        <v>79</v>
      </c>
      <c r="M119" s="9" t="s">
        <v>160</v>
      </c>
      <c r="N119" s="9" t="s">
        <v>26</v>
      </c>
      <c r="O119" s="9" t="s">
        <v>193</v>
      </c>
      <c r="P119" s="9" t="s">
        <v>160</v>
      </c>
      <c r="Q119" s="9" t="s">
        <v>28</v>
      </c>
      <c r="R119" s="9" t="s">
        <v>29</v>
      </c>
      <c r="S119">
        <v>6</v>
      </c>
      <c r="T119">
        <v>0</v>
      </c>
      <c r="U119" s="9" t="s">
        <v>151</v>
      </c>
      <c r="V119" s="9" t="s">
        <v>752</v>
      </c>
      <c r="W119">
        <v>6</v>
      </c>
      <c r="X119" s="9" t="s">
        <v>753</v>
      </c>
      <c r="Y119">
        <v>269</v>
      </c>
      <c r="Z119" s="9" t="s">
        <v>754</v>
      </c>
      <c r="AA119" s="9" t="s">
        <v>222</v>
      </c>
      <c r="AB119" s="9" t="s">
        <v>66</v>
      </c>
      <c r="AC119" s="9" t="s">
        <v>6</v>
      </c>
      <c r="AD119" s="9" t="s">
        <v>160</v>
      </c>
      <c r="AE119" s="9">
        <f>IF(Table5[[#This Row],[Team_Name]]=Table5[[#This Row],[Correct_Winner]],1,0)</f>
        <v>1</v>
      </c>
    </row>
    <row r="120" spans="1:31" x14ac:dyDescent="0.3">
      <c r="A120" s="9" t="s">
        <v>197</v>
      </c>
      <c r="B120">
        <v>2016</v>
      </c>
      <c r="C120" s="9" t="s">
        <v>224</v>
      </c>
      <c r="D120" s="9" t="s">
        <v>755</v>
      </c>
      <c r="E120" s="9" t="s">
        <v>223</v>
      </c>
      <c r="F120" s="2" t="s">
        <v>24</v>
      </c>
      <c r="G120">
        <v>141</v>
      </c>
      <c r="H120">
        <v>6</v>
      </c>
      <c r="I120" t="str">
        <f>Clean_Data!$I120</f>
        <v>Sylhet Royals</v>
      </c>
      <c r="J120">
        <v>142</v>
      </c>
      <c r="K120">
        <v>5</v>
      </c>
      <c r="L120" s="9" t="s">
        <v>134</v>
      </c>
      <c r="M120" s="9" t="s">
        <v>143</v>
      </c>
      <c r="N120" s="9" t="s">
        <v>26</v>
      </c>
      <c r="O120" s="9" t="s">
        <v>145</v>
      </c>
      <c r="P120" s="9" t="s">
        <v>143</v>
      </c>
      <c r="Q120" s="9" t="s">
        <v>28</v>
      </c>
      <c r="R120" s="9" t="s">
        <v>29</v>
      </c>
      <c r="S120">
        <v>5</v>
      </c>
      <c r="T120">
        <v>0</v>
      </c>
      <c r="U120" s="9" t="s">
        <v>55</v>
      </c>
      <c r="V120" s="9" t="s">
        <v>752</v>
      </c>
      <c r="W120">
        <v>5</v>
      </c>
      <c r="X120" s="9" t="s">
        <v>753</v>
      </c>
      <c r="Y120">
        <v>283</v>
      </c>
      <c r="Z120" s="9" t="s">
        <v>754</v>
      </c>
      <c r="AA120" s="9" t="s">
        <v>147</v>
      </c>
      <c r="AB120" s="9" t="s">
        <v>225</v>
      </c>
      <c r="AC120" s="9" t="s">
        <v>3</v>
      </c>
      <c r="AD120" s="9" t="s">
        <v>206</v>
      </c>
      <c r="AE120" s="9">
        <f>IF(Table5[[#This Row],[Team_Name]]=Table5[[#This Row],[Correct_Winner]],1,0)</f>
        <v>0</v>
      </c>
    </row>
    <row r="121" spans="1:31" x14ac:dyDescent="0.3">
      <c r="A121" s="9" t="s">
        <v>197</v>
      </c>
      <c r="B121">
        <v>2016</v>
      </c>
      <c r="C121" s="9" t="s">
        <v>224</v>
      </c>
      <c r="D121" s="9" t="s">
        <v>755</v>
      </c>
      <c r="E121" s="9" t="s">
        <v>223</v>
      </c>
      <c r="F121" s="3" t="s">
        <v>41</v>
      </c>
      <c r="G121">
        <v>141</v>
      </c>
      <c r="H121">
        <v>6</v>
      </c>
      <c r="I121" t="str">
        <f>Clean_Data!$I121</f>
        <v>Barisal Burners</v>
      </c>
      <c r="J121">
        <v>142</v>
      </c>
      <c r="K121">
        <v>5</v>
      </c>
      <c r="L121" s="9" t="s">
        <v>134</v>
      </c>
      <c r="M121" s="9" t="s">
        <v>143</v>
      </c>
      <c r="N121" s="9" t="s">
        <v>26</v>
      </c>
      <c r="O121" s="9" t="s">
        <v>145</v>
      </c>
      <c r="P121" s="9" t="s">
        <v>143</v>
      </c>
      <c r="Q121" s="9" t="s">
        <v>28</v>
      </c>
      <c r="R121" s="9" t="s">
        <v>29</v>
      </c>
      <c r="S121">
        <v>5</v>
      </c>
      <c r="T121">
        <v>0</v>
      </c>
      <c r="U121" s="9" t="s">
        <v>55</v>
      </c>
      <c r="V121" s="9" t="s">
        <v>752</v>
      </c>
      <c r="W121">
        <v>5</v>
      </c>
      <c r="X121" s="9" t="s">
        <v>753</v>
      </c>
      <c r="Y121">
        <v>283</v>
      </c>
      <c r="Z121" s="9" t="s">
        <v>754</v>
      </c>
      <c r="AA121" s="9" t="s">
        <v>147</v>
      </c>
      <c r="AB121" s="9" t="s">
        <v>225</v>
      </c>
      <c r="AC121" s="9" t="s">
        <v>6</v>
      </c>
      <c r="AD121" s="9" t="s">
        <v>143</v>
      </c>
      <c r="AE121" s="9">
        <f>IF(Table5[[#This Row],[Team_Name]]=Table5[[#This Row],[Correct_Winner]],1,0)</f>
        <v>1</v>
      </c>
    </row>
    <row r="122" spans="1:31" x14ac:dyDescent="0.3">
      <c r="A122" s="9" t="s">
        <v>226</v>
      </c>
      <c r="B122">
        <v>2017</v>
      </c>
      <c r="C122" s="9" t="s">
        <v>21</v>
      </c>
      <c r="D122" s="9" t="s">
        <v>21</v>
      </c>
      <c r="E122" s="9" t="s">
        <v>227</v>
      </c>
      <c r="F122" s="2" t="s">
        <v>53</v>
      </c>
      <c r="G122">
        <v>206</v>
      </c>
      <c r="H122">
        <v>1</v>
      </c>
      <c r="I122" t="str">
        <f>Clean_Data!$I122</f>
        <v>Sylhet Royals</v>
      </c>
      <c r="J122">
        <v>149</v>
      </c>
      <c r="K122">
        <v>9</v>
      </c>
      <c r="L122" s="9" t="s">
        <v>102</v>
      </c>
      <c r="M122" s="9" t="s">
        <v>160</v>
      </c>
      <c r="N122" s="9" t="s">
        <v>26</v>
      </c>
      <c r="O122" s="9" t="s">
        <v>189</v>
      </c>
      <c r="P122" s="9" t="s">
        <v>113</v>
      </c>
      <c r="Q122" s="9" t="s">
        <v>28</v>
      </c>
      <c r="R122" s="9" t="s">
        <v>29</v>
      </c>
      <c r="S122">
        <v>0</v>
      </c>
      <c r="T122">
        <v>57</v>
      </c>
      <c r="U122" s="9" t="s">
        <v>228</v>
      </c>
      <c r="V122" s="9" t="s">
        <v>756</v>
      </c>
      <c r="W122">
        <v>57</v>
      </c>
      <c r="X122" s="9" t="s">
        <v>757</v>
      </c>
      <c r="Y122">
        <v>355</v>
      </c>
      <c r="Z122" s="9" t="s">
        <v>754</v>
      </c>
      <c r="AA122" s="9" t="s">
        <v>50</v>
      </c>
      <c r="AB122" s="9" t="s">
        <v>229</v>
      </c>
      <c r="AC122" s="9" t="s">
        <v>3</v>
      </c>
      <c r="AD122" s="9" t="s">
        <v>113</v>
      </c>
      <c r="AE122" s="9">
        <f>IF(Table5[[#This Row],[Team_Name]]=Table5[[#This Row],[Correct_Winner]],1,0)</f>
        <v>1</v>
      </c>
    </row>
    <row r="123" spans="1:31" x14ac:dyDescent="0.3">
      <c r="A123" s="9" t="s">
        <v>226</v>
      </c>
      <c r="B123">
        <v>2017</v>
      </c>
      <c r="C123" s="9" t="s">
        <v>21</v>
      </c>
      <c r="D123" s="9" t="s">
        <v>21</v>
      </c>
      <c r="E123" s="9" t="s">
        <v>227</v>
      </c>
      <c r="F123" s="3" t="s">
        <v>35</v>
      </c>
      <c r="G123">
        <v>206</v>
      </c>
      <c r="H123">
        <v>1</v>
      </c>
      <c r="I123" t="str">
        <f>Clean_Data!$I123</f>
        <v>Rangpur Riders</v>
      </c>
      <c r="J123">
        <v>149</v>
      </c>
      <c r="K123">
        <v>9</v>
      </c>
      <c r="L123" s="9" t="s">
        <v>102</v>
      </c>
      <c r="M123" s="9" t="s">
        <v>160</v>
      </c>
      <c r="N123" s="9" t="s">
        <v>26</v>
      </c>
      <c r="O123" s="9" t="s">
        <v>189</v>
      </c>
      <c r="P123" s="9" t="s">
        <v>113</v>
      </c>
      <c r="Q123" s="9" t="s">
        <v>28</v>
      </c>
      <c r="R123" s="9" t="s">
        <v>29</v>
      </c>
      <c r="S123">
        <v>0</v>
      </c>
      <c r="T123">
        <v>57</v>
      </c>
      <c r="U123" s="9" t="s">
        <v>228</v>
      </c>
      <c r="V123" s="9" t="s">
        <v>756</v>
      </c>
      <c r="W123">
        <v>57</v>
      </c>
      <c r="X123" s="9" t="s">
        <v>757</v>
      </c>
      <c r="Y123">
        <v>355</v>
      </c>
      <c r="Z123" s="9" t="s">
        <v>754</v>
      </c>
      <c r="AA123" s="9" t="s">
        <v>50</v>
      </c>
      <c r="AB123" s="9" t="s">
        <v>229</v>
      </c>
      <c r="AC123" s="9" t="s">
        <v>6</v>
      </c>
      <c r="AD123" s="9" t="s">
        <v>160</v>
      </c>
      <c r="AE123" s="9">
        <f>IF(Table5[[#This Row],[Team_Name]]=Table5[[#This Row],[Correct_Winner]],1,0)</f>
        <v>0</v>
      </c>
    </row>
    <row r="124" spans="1:31" x14ac:dyDescent="0.3">
      <c r="A124" s="9" t="s">
        <v>226</v>
      </c>
      <c r="B124">
        <v>2017</v>
      </c>
      <c r="C124" s="9" t="s">
        <v>152</v>
      </c>
      <c r="D124" s="9" t="s">
        <v>755</v>
      </c>
      <c r="E124" s="9" t="s">
        <v>230</v>
      </c>
      <c r="F124" s="2" t="s">
        <v>24</v>
      </c>
      <c r="G124">
        <v>192</v>
      </c>
      <c r="H124">
        <v>3</v>
      </c>
      <c r="I124" t="str">
        <f>Clean_Data!$I124</f>
        <v>Sylhet Royals</v>
      </c>
      <c r="J124">
        <v>156</v>
      </c>
      <c r="K124">
        <v>10</v>
      </c>
      <c r="L124" s="9" t="s">
        <v>231</v>
      </c>
      <c r="M124" s="9" t="s">
        <v>143</v>
      </c>
      <c r="N124" s="9" t="s">
        <v>26</v>
      </c>
      <c r="O124" s="9" t="s">
        <v>189</v>
      </c>
      <c r="P124" s="9" t="s">
        <v>113</v>
      </c>
      <c r="Q124" s="9" t="s">
        <v>28</v>
      </c>
      <c r="R124" s="9" t="s">
        <v>29</v>
      </c>
      <c r="S124">
        <v>0</v>
      </c>
      <c r="T124">
        <v>36</v>
      </c>
      <c r="U124" s="9" t="s">
        <v>232</v>
      </c>
      <c r="V124" s="9" t="s">
        <v>756</v>
      </c>
      <c r="W124">
        <v>36</v>
      </c>
      <c r="X124" s="9" t="s">
        <v>757</v>
      </c>
      <c r="Y124">
        <v>348</v>
      </c>
      <c r="Z124" s="9" t="s">
        <v>754</v>
      </c>
      <c r="AA124" s="9" t="s">
        <v>56</v>
      </c>
      <c r="AB124" s="9" t="s">
        <v>233</v>
      </c>
      <c r="AC124" s="9" t="s">
        <v>3</v>
      </c>
      <c r="AD124" s="9" t="s">
        <v>113</v>
      </c>
      <c r="AE124" s="9">
        <f>IF(Table5[[#This Row],[Team_Name]]=Table5[[#This Row],[Correct_Winner]],1,0)</f>
        <v>1</v>
      </c>
    </row>
    <row r="125" spans="1:31" x14ac:dyDescent="0.3">
      <c r="A125" s="9" t="s">
        <v>226</v>
      </c>
      <c r="B125">
        <v>2017</v>
      </c>
      <c r="C125" s="9" t="s">
        <v>152</v>
      </c>
      <c r="D125" s="9" t="s">
        <v>755</v>
      </c>
      <c r="E125" s="9" t="s">
        <v>230</v>
      </c>
      <c r="F125" s="3" t="s">
        <v>35</v>
      </c>
      <c r="G125">
        <v>192</v>
      </c>
      <c r="H125">
        <v>3</v>
      </c>
      <c r="I125" t="str">
        <f>Clean_Data!$I125</f>
        <v>Duronto Rajshahi</v>
      </c>
      <c r="J125">
        <v>156</v>
      </c>
      <c r="K125">
        <v>10</v>
      </c>
      <c r="L125" s="9" t="s">
        <v>231</v>
      </c>
      <c r="M125" s="9" t="s">
        <v>143</v>
      </c>
      <c r="N125" s="9" t="s">
        <v>26</v>
      </c>
      <c r="O125" s="9" t="s">
        <v>189</v>
      </c>
      <c r="P125" s="9" t="s">
        <v>113</v>
      </c>
      <c r="Q125" s="9" t="s">
        <v>28</v>
      </c>
      <c r="R125" s="9" t="s">
        <v>29</v>
      </c>
      <c r="S125">
        <v>0</v>
      </c>
      <c r="T125">
        <v>36</v>
      </c>
      <c r="U125" s="9" t="s">
        <v>232</v>
      </c>
      <c r="V125" s="9" t="s">
        <v>756</v>
      </c>
      <c r="W125">
        <v>36</v>
      </c>
      <c r="X125" s="9" t="s">
        <v>757</v>
      </c>
      <c r="Y125">
        <v>348</v>
      </c>
      <c r="Z125" s="9" t="s">
        <v>754</v>
      </c>
      <c r="AA125" s="9" t="s">
        <v>56</v>
      </c>
      <c r="AB125" s="9" t="s">
        <v>233</v>
      </c>
      <c r="AC125" s="9" t="s">
        <v>6</v>
      </c>
      <c r="AD125" s="9" t="s">
        <v>143</v>
      </c>
      <c r="AE125" s="9">
        <f>IF(Table5[[#This Row],[Team_Name]]=Table5[[#This Row],[Correct_Winner]],1,0)</f>
        <v>0</v>
      </c>
    </row>
    <row r="126" spans="1:31" x14ac:dyDescent="0.3">
      <c r="A126" s="9" t="s">
        <v>226</v>
      </c>
      <c r="B126">
        <v>2017</v>
      </c>
      <c r="C126" s="9" t="s">
        <v>152</v>
      </c>
      <c r="D126" s="9" t="s">
        <v>755</v>
      </c>
      <c r="E126" s="9" t="s">
        <v>234</v>
      </c>
      <c r="F126" s="2" t="s">
        <v>53</v>
      </c>
      <c r="G126">
        <v>191</v>
      </c>
      <c r="H126">
        <v>7</v>
      </c>
      <c r="I126" t="str">
        <f>Clean_Data!$I126</f>
        <v>Barisal Burners</v>
      </c>
      <c r="J126">
        <v>96</v>
      </c>
      <c r="K126">
        <v>10</v>
      </c>
      <c r="L126" s="9" t="s">
        <v>235</v>
      </c>
      <c r="M126" s="9" t="s">
        <v>160</v>
      </c>
      <c r="N126" s="9" t="s">
        <v>37</v>
      </c>
      <c r="O126" s="9" t="s">
        <v>193</v>
      </c>
      <c r="P126" s="9" t="s">
        <v>160</v>
      </c>
      <c r="Q126" s="9" t="s">
        <v>28</v>
      </c>
      <c r="R126" s="9" t="s">
        <v>29</v>
      </c>
      <c r="S126">
        <v>0</v>
      </c>
      <c r="T126">
        <v>95</v>
      </c>
      <c r="U126" s="9" t="s">
        <v>236</v>
      </c>
      <c r="V126" s="9" t="s">
        <v>756</v>
      </c>
      <c r="W126">
        <v>95</v>
      </c>
      <c r="X126" s="9" t="s">
        <v>757</v>
      </c>
      <c r="Y126">
        <v>287</v>
      </c>
      <c r="Z126" s="9" t="s">
        <v>754</v>
      </c>
      <c r="AA126" s="9" t="s">
        <v>50</v>
      </c>
      <c r="AB126" s="9" t="s">
        <v>66</v>
      </c>
      <c r="AC126" s="9" t="s">
        <v>3</v>
      </c>
      <c r="AD126" s="9" t="s">
        <v>160</v>
      </c>
      <c r="AE126" s="9">
        <f>IF(Table5[[#This Row],[Team_Name]]=Table5[[#This Row],[Correct_Winner]],1,0)</f>
        <v>1</v>
      </c>
    </row>
    <row r="127" spans="1:31" x14ac:dyDescent="0.3">
      <c r="A127" s="9" t="s">
        <v>226</v>
      </c>
      <c r="B127">
        <v>2017</v>
      </c>
      <c r="C127" s="9" t="s">
        <v>152</v>
      </c>
      <c r="D127" s="9" t="s">
        <v>755</v>
      </c>
      <c r="E127" s="9" t="s">
        <v>234</v>
      </c>
      <c r="F127" s="3" t="s">
        <v>35</v>
      </c>
      <c r="G127">
        <v>191</v>
      </c>
      <c r="H127">
        <v>7</v>
      </c>
      <c r="I127" t="str">
        <f>Clean_Data!$I127</f>
        <v>Sylhet Royals</v>
      </c>
      <c r="J127">
        <v>96</v>
      </c>
      <c r="K127">
        <v>10</v>
      </c>
      <c r="L127" s="9" t="s">
        <v>235</v>
      </c>
      <c r="M127" s="9" t="s">
        <v>160</v>
      </c>
      <c r="N127" s="9" t="s">
        <v>37</v>
      </c>
      <c r="O127" s="9" t="s">
        <v>193</v>
      </c>
      <c r="P127" s="9" t="s">
        <v>160</v>
      </c>
      <c r="Q127" s="9" t="s">
        <v>28</v>
      </c>
      <c r="R127" s="9" t="s">
        <v>29</v>
      </c>
      <c r="S127">
        <v>0</v>
      </c>
      <c r="T127">
        <v>95</v>
      </c>
      <c r="U127" s="9" t="s">
        <v>236</v>
      </c>
      <c r="V127" s="9" t="s">
        <v>756</v>
      </c>
      <c r="W127">
        <v>95</v>
      </c>
      <c r="X127" s="9" t="s">
        <v>757</v>
      </c>
      <c r="Y127">
        <v>287</v>
      </c>
      <c r="Z127" s="9" t="s">
        <v>754</v>
      </c>
      <c r="AA127" s="9" t="s">
        <v>50</v>
      </c>
      <c r="AB127" s="9" t="s">
        <v>66</v>
      </c>
      <c r="AC127" s="9" t="s">
        <v>6</v>
      </c>
      <c r="AD127" s="9" t="s">
        <v>143</v>
      </c>
      <c r="AE127" s="9">
        <f>IF(Table5[[#This Row],[Team_Name]]=Table5[[#This Row],[Correct_Winner]],1,0)</f>
        <v>0</v>
      </c>
    </row>
    <row r="128" spans="1:31" x14ac:dyDescent="0.3">
      <c r="A128" s="9" t="s">
        <v>226</v>
      </c>
      <c r="B128">
        <v>2017</v>
      </c>
      <c r="C128" s="9" t="s">
        <v>212</v>
      </c>
      <c r="D128" s="9" t="s">
        <v>755</v>
      </c>
      <c r="E128" s="9" t="s">
        <v>234</v>
      </c>
      <c r="F128" s="2" t="s">
        <v>113</v>
      </c>
      <c r="G128">
        <v>167</v>
      </c>
      <c r="H128">
        <v>6</v>
      </c>
      <c r="I128" t="str">
        <f>Clean_Data!$I128</f>
        <v>Barisal Burners</v>
      </c>
      <c r="J128">
        <v>171</v>
      </c>
      <c r="K128">
        <v>2</v>
      </c>
      <c r="L128" s="9" t="s">
        <v>102</v>
      </c>
      <c r="M128" s="9" t="s">
        <v>113</v>
      </c>
      <c r="N128" s="9" t="s">
        <v>26</v>
      </c>
      <c r="O128" s="9" t="s">
        <v>189</v>
      </c>
      <c r="P128" s="9" t="s">
        <v>113</v>
      </c>
      <c r="Q128" s="9" t="s">
        <v>28</v>
      </c>
      <c r="R128" s="9" t="s">
        <v>29</v>
      </c>
      <c r="S128">
        <v>8</v>
      </c>
      <c r="T128">
        <v>0</v>
      </c>
      <c r="U128" s="9" t="s">
        <v>30</v>
      </c>
      <c r="V128" s="9" t="s">
        <v>752</v>
      </c>
      <c r="W128">
        <v>8</v>
      </c>
      <c r="X128" s="9" t="s">
        <v>753</v>
      </c>
      <c r="Y128">
        <v>338</v>
      </c>
      <c r="Z128" s="9" t="s">
        <v>754</v>
      </c>
      <c r="AA128" s="9" t="s">
        <v>72</v>
      </c>
      <c r="AB128" s="9" t="s">
        <v>66</v>
      </c>
      <c r="AC128" s="9" t="s">
        <v>3</v>
      </c>
      <c r="AD128" s="9" t="s">
        <v>206</v>
      </c>
      <c r="AE128" s="9">
        <f>IF(Table5[[#This Row],[Team_Name]]=Table5[[#This Row],[Correct_Winner]],1,0)</f>
        <v>0</v>
      </c>
    </row>
    <row r="129" spans="1:31" x14ac:dyDescent="0.3">
      <c r="A129" s="9" t="s">
        <v>226</v>
      </c>
      <c r="B129">
        <v>2017</v>
      </c>
      <c r="C129" s="9" t="s">
        <v>212</v>
      </c>
      <c r="D129" s="9" t="s">
        <v>755</v>
      </c>
      <c r="E129" s="9" t="s">
        <v>234</v>
      </c>
      <c r="F129" s="3" t="s">
        <v>24</v>
      </c>
      <c r="G129">
        <v>167</v>
      </c>
      <c r="H129">
        <v>6</v>
      </c>
      <c r="I129" t="str">
        <f>Clean_Data!$I129</f>
        <v>Duronto Rajshahi</v>
      </c>
      <c r="J129">
        <v>171</v>
      </c>
      <c r="K129">
        <v>2</v>
      </c>
      <c r="L129" s="9" t="s">
        <v>102</v>
      </c>
      <c r="M129" s="9" t="s">
        <v>113</v>
      </c>
      <c r="N129" s="9" t="s">
        <v>26</v>
      </c>
      <c r="O129" s="9" t="s">
        <v>189</v>
      </c>
      <c r="P129" s="9" t="s">
        <v>113</v>
      </c>
      <c r="Q129" s="9" t="s">
        <v>28</v>
      </c>
      <c r="R129" s="9" t="s">
        <v>29</v>
      </c>
      <c r="S129">
        <v>8</v>
      </c>
      <c r="T129">
        <v>0</v>
      </c>
      <c r="U129" s="9" t="s">
        <v>30</v>
      </c>
      <c r="V129" s="9" t="s">
        <v>752</v>
      </c>
      <c r="W129">
        <v>8</v>
      </c>
      <c r="X129" s="9" t="s">
        <v>753</v>
      </c>
      <c r="Y129">
        <v>338</v>
      </c>
      <c r="Z129" s="9" t="s">
        <v>754</v>
      </c>
      <c r="AA129" s="9" t="s">
        <v>72</v>
      </c>
      <c r="AB129" s="9" t="s">
        <v>66</v>
      </c>
      <c r="AC129" s="9" t="s">
        <v>6</v>
      </c>
      <c r="AD129" s="9" t="s">
        <v>113</v>
      </c>
      <c r="AE129" s="9">
        <f>IF(Table5[[#This Row],[Team_Name]]=Table5[[#This Row],[Correct_Winner]],1,0)</f>
        <v>1</v>
      </c>
    </row>
    <row r="130" spans="1:31" x14ac:dyDescent="0.3">
      <c r="A130" s="9" t="s">
        <v>226</v>
      </c>
      <c r="B130">
        <v>2017</v>
      </c>
      <c r="C130" s="9" t="s">
        <v>106</v>
      </c>
      <c r="D130" s="9" t="s">
        <v>755</v>
      </c>
      <c r="E130" s="9" t="s">
        <v>237</v>
      </c>
      <c r="F130" s="2" t="s">
        <v>53</v>
      </c>
      <c r="G130">
        <v>170</v>
      </c>
      <c r="H130">
        <v>4</v>
      </c>
      <c r="I130" t="str">
        <f>Clean_Data!$I130</f>
        <v>Rangpur Riders</v>
      </c>
      <c r="J130">
        <v>145</v>
      </c>
      <c r="K130">
        <v>7</v>
      </c>
      <c r="L130" s="9" t="s">
        <v>239</v>
      </c>
      <c r="M130" s="9" t="s">
        <v>238</v>
      </c>
      <c r="N130" s="9" t="s">
        <v>26</v>
      </c>
      <c r="O130" s="9" t="s">
        <v>145</v>
      </c>
      <c r="P130" s="9" t="s">
        <v>143</v>
      </c>
      <c r="Q130" s="9" t="s">
        <v>28</v>
      </c>
      <c r="R130" s="9" t="s">
        <v>29</v>
      </c>
      <c r="S130">
        <v>0</v>
      </c>
      <c r="T130">
        <v>25</v>
      </c>
      <c r="U130" s="9" t="s">
        <v>240</v>
      </c>
      <c r="V130" s="9" t="s">
        <v>756</v>
      </c>
      <c r="W130">
        <v>25</v>
      </c>
      <c r="X130" s="9" t="s">
        <v>757</v>
      </c>
      <c r="Y130">
        <v>315</v>
      </c>
      <c r="Z130" s="9" t="s">
        <v>754</v>
      </c>
      <c r="AA130" s="9" t="s">
        <v>241</v>
      </c>
      <c r="AB130" s="9" t="s">
        <v>242</v>
      </c>
      <c r="AC130" s="9" t="s">
        <v>3</v>
      </c>
      <c r="AD130" s="9" t="s">
        <v>143</v>
      </c>
      <c r="AE130" s="9">
        <f>IF(Table5[[#This Row],[Team_Name]]=Table5[[#This Row],[Correct_Winner]],1,0)</f>
        <v>1</v>
      </c>
    </row>
    <row r="131" spans="1:31" x14ac:dyDescent="0.3">
      <c r="A131" s="9" t="s">
        <v>226</v>
      </c>
      <c r="B131">
        <v>2017</v>
      </c>
      <c r="C131" s="9" t="s">
        <v>106</v>
      </c>
      <c r="D131" s="9" t="s">
        <v>755</v>
      </c>
      <c r="E131" s="9" t="s">
        <v>237</v>
      </c>
      <c r="F131" s="3" t="s">
        <v>41</v>
      </c>
      <c r="G131">
        <v>170</v>
      </c>
      <c r="H131">
        <v>4</v>
      </c>
      <c r="I131" t="str">
        <f>Clean_Data!$I131</f>
        <v>Sylhet Royals</v>
      </c>
      <c r="J131">
        <v>145</v>
      </c>
      <c r="K131">
        <v>7</v>
      </c>
      <c r="L131" s="9" t="s">
        <v>239</v>
      </c>
      <c r="M131" s="9" t="s">
        <v>238</v>
      </c>
      <c r="N131" s="9" t="s">
        <v>26</v>
      </c>
      <c r="O131" s="9" t="s">
        <v>145</v>
      </c>
      <c r="P131" s="9" t="s">
        <v>143</v>
      </c>
      <c r="Q131" s="9" t="s">
        <v>28</v>
      </c>
      <c r="R131" s="9" t="s">
        <v>29</v>
      </c>
      <c r="S131">
        <v>0</v>
      </c>
      <c r="T131">
        <v>25</v>
      </c>
      <c r="U131" s="9" t="s">
        <v>240</v>
      </c>
      <c r="V131" s="9" t="s">
        <v>756</v>
      </c>
      <c r="W131">
        <v>25</v>
      </c>
      <c r="X131" s="9" t="s">
        <v>757</v>
      </c>
      <c r="Y131">
        <v>315</v>
      </c>
      <c r="Z131" s="9" t="s">
        <v>754</v>
      </c>
      <c r="AA131" s="9" t="s">
        <v>241</v>
      </c>
      <c r="AB131" s="9" t="s">
        <v>242</v>
      </c>
      <c r="AC131" s="9" t="s">
        <v>6</v>
      </c>
      <c r="AD131" s="9" t="s">
        <v>238</v>
      </c>
      <c r="AE131" s="9">
        <f>IF(Table5[[#This Row],[Team_Name]]=Table5[[#This Row],[Correct_Winner]],1,0)</f>
        <v>0</v>
      </c>
    </row>
    <row r="132" spans="1:31" x14ac:dyDescent="0.3">
      <c r="A132" s="9" t="s">
        <v>226</v>
      </c>
      <c r="B132">
        <v>2017</v>
      </c>
      <c r="C132" s="9" t="s">
        <v>112</v>
      </c>
      <c r="D132" s="9" t="s">
        <v>755</v>
      </c>
      <c r="E132" s="9" t="s">
        <v>237</v>
      </c>
      <c r="F132" s="2" t="s">
        <v>35</v>
      </c>
      <c r="G132">
        <v>137</v>
      </c>
      <c r="H132">
        <v>7</v>
      </c>
      <c r="I132" t="str">
        <f>Clean_Data!$I132</f>
        <v>Barisal Burners</v>
      </c>
      <c r="J132">
        <v>94</v>
      </c>
      <c r="K132">
        <v>7</v>
      </c>
      <c r="L132" s="9" t="s">
        <v>108</v>
      </c>
      <c r="M132" s="9" t="s">
        <v>160</v>
      </c>
      <c r="N132" s="9" t="s">
        <v>37</v>
      </c>
      <c r="O132" s="9" t="s">
        <v>193</v>
      </c>
      <c r="P132" s="9" t="s">
        <v>160</v>
      </c>
      <c r="Q132" s="9" t="s">
        <v>28</v>
      </c>
      <c r="R132" s="9" t="s">
        <v>29</v>
      </c>
      <c r="S132">
        <v>0</v>
      </c>
      <c r="T132">
        <v>43</v>
      </c>
      <c r="U132" s="9" t="s">
        <v>76</v>
      </c>
      <c r="V132" s="9" t="s">
        <v>756</v>
      </c>
      <c r="W132">
        <v>43</v>
      </c>
      <c r="X132" s="9" t="s">
        <v>757</v>
      </c>
      <c r="Y132">
        <v>231</v>
      </c>
      <c r="Z132" s="9" t="s">
        <v>754</v>
      </c>
      <c r="AA132" s="9" t="s">
        <v>39</v>
      </c>
      <c r="AB132" s="9" t="s">
        <v>229</v>
      </c>
      <c r="AC132" s="9" t="s">
        <v>3</v>
      </c>
      <c r="AD132" s="9" t="s">
        <v>160</v>
      </c>
      <c r="AE132" s="9">
        <f>IF(Table5[[#This Row],[Team_Name]]=Table5[[#This Row],[Correct_Winner]],1,0)</f>
        <v>1</v>
      </c>
    </row>
    <row r="133" spans="1:31" x14ac:dyDescent="0.3">
      <c r="A133" s="9" t="s">
        <v>226</v>
      </c>
      <c r="B133">
        <v>2017</v>
      </c>
      <c r="C133" s="9" t="s">
        <v>112</v>
      </c>
      <c r="D133" s="9" t="s">
        <v>755</v>
      </c>
      <c r="E133" s="9" t="s">
        <v>237</v>
      </c>
      <c r="F133" s="3" t="s">
        <v>24</v>
      </c>
      <c r="G133">
        <v>137</v>
      </c>
      <c r="H133">
        <v>7</v>
      </c>
      <c r="I133" t="str">
        <f>Clean_Data!$I133</f>
        <v>Rangpur Riders</v>
      </c>
      <c r="J133">
        <v>94</v>
      </c>
      <c r="K133">
        <v>7</v>
      </c>
      <c r="L133" s="9" t="s">
        <v>108</v>
      </c>
      <c r="M133" s="9" t="s">
        <v>160</v>
      </c>
      <c r="N133" s="9" t="s">
        <v>37</v>
      </c>
      <c r="O133" s="9" t="s">
        <v>193</v>
      </c>
      <c r="P133" s="9" t="s">
        <v>160</v>
      </c>
      <c r="Q133" s="9" t="s">
        <v>28</v>
      </c>
      <c r="R133" s="9" t="s">
        <v>29</v>
      </c>
      <c r="S133">
        <v>0</v>
      </c>
      <c r="T133">
        <v>43</v>
      </c>
      <c r="U133" s="9" t="s">
        <v>76</v>
      </c>
      <c r="V133" s="9" t="s">
        <v>756</v>
      </c>
      <c r="W133">
        <v>43</v>
      </c>
      <c r="X133" s="9" t="s">
        <v>757</v>
      </c>
      <c r="Y133">
        <v>231</v>
      </c>
      <c r="Z133" s="9" t="s">
        <v>754</v>
      </c>
      <c r="AA133" s="9" t="s">
        <v>39</v>
      </c>
      <c r="AB133" s="9" t="s">
        <v>229</v>
      </c>
      <c r="AC133" s="9" t="s">
        <v>6</v>
      </c>
      <c r="AD133" s="9" t="s">
        <v>113</v>
      </c>
      <c r="AE133" s="9">
        <f>IF(Table5[[#This Row],[Team_Name]]=Table5[[#This Row],[Correct_Winner]],1,0)</f>
        <v>0</v>
      </c>
    </row>
    <row r="134" spans="1:31" x14ac:dyDescent="0.3">
      <c r="A134" s="9" t="s">
        <v>226</v>
      </c>
      <c r="B134">
        <v>2017</v>
      </c>
      <c r="C134" s="9" t="s">
        <v>119</v>
      </c>
      <c r="D134" s="9" t="s">
        <v>755</v>
      </c>
      <c r="E134" s="9" t="s">
        <v>243</v>
      </c>
      <c r="F134" s="2" t="s">
        <v>41</v>
      </c>
      <c r="G134">
        <v>194</v>
      </c>
      <c r="H134">
        <v>2</v>
      </c>
      <c r="I134" t="str">
        <f>Clean_Data!$I134</f>
        <v>Chittagong Kings</v>
      </c>
      <c r="J134">
        <v>149</v>
      </c>
      <c r="K134">
        <v>9</v>
      </c>
      <c r="L134" s="9" t="s">
        <v>244</v>
      </c>
      <c r="M134" s="9" t="s">
        <v>199</v>
      </c>
      <c r="N134" s="9" t="s">
        <v>26</v>
      </c>
      <c r="O134" s="9" t="s">
        <v>245</v>
      </c>
      <c r="P134" s="9" t="s">
        <v>179</v>
      </c>
      <c r="Q134" s="9" t="s">
        <v>28</v>
      </c>
      <c r="R134" s="9" t="s">
        <v>29</v>
      </c>
      <c r="S134">
        <v>0</v>
      </c>
      <c r="T134">
        <v>45</v>
      </c>
      <c r="U134" s="9" t="s">
        <v>194</v>
      </c>
      <c r="V134" s="9" t="s">
        <v>756</v>
      </c>
      <c r="W134">
        <v>45</v>
      </c>
      <c r="X134" s="9" t="s">
        <v>757</v>
      </c>
      <c r="Y134">
        <v>343</v>
      </c>
      <c r="Z134" s="9" t="s">
        <v>754</v>
      </c>
      <c r="AA134" s="9" t="s">
        <v>50</v>
      </c>
      <c r="AB134" s="9" t="s">
        <v>246</v>
      </c>
      <c r="AC134" s="9" t="s">
        <v>3</v>
      </c>
      <c r="AD134" s="9" t="s">
        <v>179</v>
      </c>
      <c r="AE134" s="9">
        <f>IF(Table5[[#This Row],[Team_Name]]=Table5[[#This Row],[Correct_Winner]],1,0)</f>
        <v>1</v>
      </c>
    </row>
    <row r="135" spans="1:31" x14ac:dyDescent="0.3">
      <c r="A135" s="9" t="s">
        <v>226</v>
      </c>
      <c r="B135">
        <v>2017</v>
      </c>
      <c r="C135" s="9" t="s">
        <v>119</v>
      </c>
      <c r="D135" s="9" t="s">
        <v>755</v>
      </c>
      <c r="E135" s="9" t="s">
        <v>243</v>
      </c>
      <c r="F135" s="3" t="s">
        <v>62</v>
      </c>
      <c r="G135">
        <v>194</v>
      </c>
      <c r="H135">
        <v>2</v>
      </c>
      <c r="I135" t="str">
        <f>Clean_Data!$I135</f>
        <v>Barisal Burners</v>
      </c>
      <c r="J135">
        <v>149</v>
      </c>
      <c r="K135">
        <v>9</v>
      </c>
      <c r="L135" s="9" t="s">
        <v>244</v>
      </c>
      <c r="M135" s="9" t="s">
        <v>199</v>
      </c>
      <c r="N135" s="9" t="s">
        <v>26</v>
      </c>
      <c r="O135" s="9" t="s">
        <v>245</v>
      </c>
      <c r="P135" s="9" t="s">
        <v>179</v>
      </c>
      <c r="Q135" s="9" t="s">
        <v>28</v>
      </c>
      <c r="R135" s="9" t="s">
        <v>29</v>
      </c>
      <c r="S135">
        <v>0</v>
      </c>
      <c r="T135">
        <v>45</v>
      </c>
      <c r="U135" s="9" t="s">
        <v>194</v>
      </c>
      <c r="V135" s="9" t="s">
        <v>756</v>
      </c>
      <c r="W135">
        <v>45</v>
      </c>
      <c r="X135" s="9" t="s">
        <v>757</v>
      </c>
      <c r="Y135">
        <v>343</v>
      </c>
      <c r="Z135" s="9" t="s">
        <v>754</v>
      </c>
      <c r="AA135" s="9" t="s">
        <v>50</v>
      </c>
      <c r="AB135" s="9" t="s">
        <v>246</v>
      </c>
      <c r="AC135" s="9" t="s">
        <v>6</v>
      </c>
      <c r="AD135" s="9" t="s">
        <v>199</v>
      </c>
      <c r="AE135" s="9">
        <f>IF(Table5[[#This Row],[Team_Name]]=Table5[[#This Row],[Correct_Winner]],1,0)</f>
        <v>0</v>
      </c>
    </row>
    <row r="136" spans="1:31" x14ac:dyDescent="0.3">
      <c r="A136" s="9" t="s">
        <v>226</v>
      </c>
      <c r="B136">
        <v>2017</v>
      </c>
      <c r="C136" s="9" t="s">
        <v>129</v>
      </c>
      <c r="D136" s="9" t="s">
        <v>755</v>
      </c>
      <c r="E136" s="9" t="s">
        <v>243</v>
      </c>
      <c r="F136" s="2" t="s">
        <v>24</v>
      </c>
      <c r="G136">
        <v>174</v>
      </c>
      <c r="H136">
        <v>6</v>
      </c>
      <c r="I136" t="str">
        <f>Clean_Data!$I136</f>
        <v>Khulna Royal Bengals</v>
      </c>
      <c r="J136">
        <v>160</v>
      </c>
      <c r="K136">
        <v>7</v>
      </c>
      <c r="L136" s="9" t="s">
        <v>247</v>
      </c>
      <c r="M136" s="9" t="s">
        <v>206</v>
      </c>
      <c r="N136" s="9" t="s">
        <v>37</v>
      </c>
      <c r="O136" s="9" t="s">
        <v>215</v>
      </c>
      <c r="P136" s="9" t="s">
        <v>206</v>
      </c>
      <c r="Q136" s="9" t="s">
        <v>28</v>
      </c>
      <c r="R136" s="9" t="s">
        <v>29</v>
      </c>
      <c r="S136">
        <v>0</v>
      </c>
      <c r="T136">
        <v>14</v>
      </c>
      <c r="U136" s="9" t="s">
        <v>135</v>
      </c>
      <c r="V136" s="9" t="s">
        <v>756</v>
      </c>
      <c r="W136">
        <v>14</v>
      </c>
      <c r="X136" s="9" t="s">
        <v>757</v>
      </c>
      <c r="Y136">
        <v>334</v>
      </c>
      <c r="Z136" s="9" t="s">
        <v>754</v>
      </c>
      <c r="AA136" s="9" t="s">
        <v>216</v>
      </c>
      <c r="AB136" s="9" t="s">
        <v>229</v>
      </c>
      <c r="AC136" s="9" t="s">
        <v>3</v>
      </c>
      <c r="AD136" s="9" t="s">
        <v>206</v>
      </c>
      <c r="AE136" s="9">
        <f>IF(Table5[[#This Row],[Team_Name]]=Table5[[#This Row],[Correct_Winner]],1,0)</f>
        <v>1</v>
      </c>
    </row>
    <row r="137" spans="1:31" x14ac:dyDescent="0.3">
      <c r="A137" s="9" t="s">
        <v>226</v>
      </c>
      <c r="B137">
        <v>2017</v>
      </c>
      <c r="C137" s="9" t="s">
        <v>129</v>
      </c>
      <c r="D137" s="9" t="s">
        <v>755</v>
      </c>
      <c r="E137" s="9" t="s">
        <v>243</v>
      </c>
      <c r="F137" s="3" t="s">
        <v>174</v>
      </c>
      <c r="G137">
        <v>174</v>
      </c>
      <c r="H137">
        <v>6</v>
      </c>
      <c r="I137" t="str">
        <f>Clean_Data!$I137</f>
        <v>Rangpur Riders</v>
      </c>
      <c r="J137">
        <v>160</v>
      </c>
      <c r="K137">
        <v>7</v>
      </c>
      <c r="L137" s="9" t="s">
        <v>247</v>
      </c>
      <c r="M137" s="9" t="s">
        <v>206</v>
      </c>
      <c r="N137" s="9" t="s">
        <v>37</v>
      </c>
      <c r="O137" s="9" t="s">
        <v>215</v>
      </c>
      <c r="P137" s="9" t="s">
        <v>206</v>
      </c>
      <c r="Q137" s="9" t="s">
        <v>28</v>
      </c>
      <c r="R137" s="9" t="s">
        <v>29</v>
      </c>
      <c r="S137">
        <v>0</v>
      </c>
      <c r="T137">
        <v>14</v>
      </c>
      <c r="U137" s="9" t="s">
        <v>135</v>
      </c>
      <c r="V137" s="9" t="s">
        <v>756</v>
      </c>
      <c r="W137">
        <v>14</v>
      </c>
      <c r="X137" s="9" t="s">
        <v>757</v>
      </c>
      <c r="Y137">
        <v>334</v>
      </c>
      <c r="Z137" s="9" t="s">
        <v>754</v>
      </c>
      <c r="AA137" s="9" t="s">
        <v>216</v>
      </c>
      <c r="AB137" s="9" t="s">
        <v>229</v>
      </c>
      <c r="AC137" s="9" t="s">
        <v>6</v>
      </c>
      <c r="AD137" s="9" t="s">
        <v>143</v>
      </c>
      <c r="AE137" s="9">
        <f>IF(Table5[[#This Row],[Team_Name]]=Table5[[#This Row],[Correct_Winner]],1,0)</f>
        <v>0</v>
      </c>
    </row>
    <row r="138" spans="1:31" x14ac:dyDescent="0.3">
      <c r="A138" s="9" t="s">
        <v>226</v>
      </c>
      <c r="B138">
        <v>2017</v>
      </c>
      <c r="C138" s="9" t="s">
        <v>136</v>
      </c>
      <c r="D138" s="9" t="s">
        <v>755</v>
      </c>
      <c r="E138" s="9" t="s">
        <v>248</v>
      </c>
      <c r="F138" s="2" t="s">
        <v>142</v>
      </c>
      <c r="G138">
        <v>147</v>
      </c>
      <c r="H138">
        <v>6</v>
      </c>
      <c r="I138" t="str">
        <f>Clean_Data!$I138</f>
        <v>Comilla Victorians</v>
      </c>
      <c r="J138">
        <v>128</v>
      </c>
      <c r="K138">
        <v>8</v>
      </c>
      <c r="L138" s="9" t="s">
        <v>249</v>
      </c>
      <c r="M138" s="9" t="s">
        <v>206</v>
      </c>
      <c r="N138" s="9" t="s">
        <v>26</v>
      </c>
      <c r="O138" s="9" t="s">
        <v>189</v>
      </c>
      <c r="P138" s="9" t="s">
        <v>113</v>
      </c>
      <c r="Q138" s="9" t="s">
        <v>28</v>
      </c>
      <c r="R138" s="9" t="s">
        <v>29</v>
      </c>
      <c r="S138">
        <v>0</v>
      </c>
      <c r="T138">
        <v>19</v>
      </c>
      <c r="U138" s="9" t="s">
        <v>196</v>
      </c>
      <c r="V138" s="9" t="s">
        <v>756</v>
      </c>
      <c r="W138">
        <v>19</v>
      </c>
      <c r="X138" s="9" t="s">
        <v>757</v>
      </c>
      <c r="Y138">
        <v>275</v>
      </c>
      <c r="Z138" s="9" t="s">
        <v>754</v>
      </c>
      <c r="AA138" s="9" t="s">
        <v>66</v>
      </c>
      <c r="AB138" s="9" t="s">
        <v>229</v>
      </c>
      <c r="AC138" s="9" t="s">
        <v>3</v>
      </c>
      <c r="AD138" s="9" t="s">
        <v>113</v>
      </c>
      <c r="AE138" s="9">
        <f>IF(Table5[[#This Row],[Team_Name]]=Table5[[#This Row],[Correct_Winner]],1,0)</f>
        <v>1</v>
      </c>
    </row>
    <row r="139" spans="1:31" x14ac:dyDescent="0.3">
      <c r="A139" s="9" t="s">
        <v>226</v>
      </c>
      <c r="B139">
        <v>2017</v>
      </c>
      <c r="C139" s="9" t="s">
        <v>136</v>
      </c>
      <c r="D139" s="9" t="s">
        <v>755</v>
      </c>
      <c r="E139" s="9" t="s">
        <v>248</v>
      </c>
      <c r="F139" s="3" t="s">
        <v>160</v>
      </c>
      <c r="G139">
        <v>147</v>
      </c>
      <c r="H139">
        <v>6</v>
      </c>
      <c r="I139" t="str">
        <f>Clean_Data!$I139</f>
        <v>Rangpur Riders</v>
      </c>
      <c r="J139">
        <v>128</v>
      </c>
      <c r="K139">
        <v>8</v>
      </c>
      <c r="L139" s="9" t="s">
        <v>249</v>
      </c>
      <c r="M139" s="9" t="s">
        <v>206</v>
      </c>
      <c r="N139" s="9" t="s">
        <v>26</v>
      </c>
      <c r="O139" s="9" t="s">
        <v>189</v>
      </c>
      <c r="P139" s="9" t="s">
        <v>113</v>
      </c>
      <c r="Q139" s="9" t="s">
        <v>28</v>
      </c>
      <c r="R139" s="9" t="s">
        <v>29</v>
      </c>
      <c r="S139">
        <v>0</v>
      </c>
      <c r="T139">
        <v>19</v>
      </c>
      <c r="U139" s="9" t="s">
        <v>196</v>
      </c>
      <c r="V139" s="9" t="s">
        <v>756</v>
      </c>
      <c r="W139">
        <v>19</v>
      </c>
      <c r="X139" s="9" t="s">
        <v>757</v>
      </c>
      <c r="Y139">
        <v>275</v>
      </c>
      <c r="Z139" s="9" t="s">
        <v>754</v>
      </c>
      <c r="AA139" s="9" t="s">
        <v>66</v>
      </c>
      <c r="AB139" s="9" t="s">
        <v>229</v>
      </c>
      <c r="AC139" s="9" t="s">
        <v>6</v>
      </c>
      <c r="AD139" s="9" t="s">
        <v>206</v>
      </c>
      <c r="AE139" s="9">
        <f>IF(Table5[[#This Row],[Team_Name]]=Table5[[#This Row],[Correct_Winner]],1,0)</f>
        <v>0</v>
      </c>
    </row>
    <row r="140" spans="1:31" x14ac:dyDescent="0.3">
      <c r="A140" s="9" t="s">
        <v>226</v>
      </c>
      <c r="B140">
        <v>2017</v>
      </c>
      <c r="C140" s="9" t="s">
        <v>224</v>
      </c>
      <c r="D140" s="9" t="s">
        <v>755</v>
      </c>
      <c r="E140" s="9" t="s">
        <v>248</v>
      </c>
      <c r="F140" s="2" t="s">
        <v>142</v>
      </c>
      <c r="G140">
        <v>67</v>
      </c>
      <c r="H140">
        <v>10</v>
      </c>
      <c r="I140" t="str">
        <f>Clean_Data!$I140</f>
        <v>Sylhet Super Stars</v>
      </c>
      <c r="J140">
        <v>68</v>
      </c>
      <c r="K140">
        <v>0</v>
      </c>
      <c r="L140" s="9" t="s">
        <v>97</v>
      </c>
      <c r="M140" s="9" t="s">
        <v>238</v>
      </c>
      <c r="N140" s="9" t="s">
        <v>26</v>
      </c>
      <c r="O140" s="9" t="s">
        <v>250</v>
      </c>
      <c r="P140" s="9" t="s">
        <v>238</v>
      </c>
      <c r="Q140" s="9" t="s">
        <v>28</v>
      </c>
      <c r="R140" s="9" t="s">
        <v>29</v>
      </c>
      <c r="S140">
        <v>10</v>
      </c>
      <c r="T140">
        <v>0</v>
      </c>
      <c r="U140" s="9" t="s">
        <v>209</v>
      </c>
      <c r="V140" s="9" t="s">
        <v>752</v>
      </c>
      <c r="W140">
        <v>10</v>
      </c>
      <c r="X140" s="9" t="s">
        <v>753</v>
      </c>
      <c r="Y140">
        <v>135</v>
      </c>
      <c r="Z140" s="9" t="s">
        <v>758</v>
      </c>
      <c r="AA140" s="9" t="s">
        <v>39</v>
      </c>
      <c r="AB140" s="9" t="s">
        <v>225</v>
      </c>
      <c r="AC140" s="9" t="s">
        <v>3</v>
      </c>
      <c r="AD140" s="9" t="s">
        <v>179</v>
      </c>
      <c r="AE140" s="9">
        <f>IF(Table5[[#This Row],[Team_Name]]=Table5[[#This Row],[Correct_Winner]],1,0)</f>
        <v>0</v>
      </c>
    </row>
    <row r="141" spans="1:31" x14ac:dyDescent="0.3">
      <c r="A141" s="9" t="s">
        <v>226</v>
      </c>
      <c r="B141">
        <v>2017</v>
      </c>
      <c r="C141" s="9" t="s">
        <v>224</v>
      </c>
      <c r="D141" s="9" t="s">
        <v>755</v>
      </c>
      <c r="E141" s="9" t="s">
        <v>248</v>
      </c>
      <c r="F141" s="3" t="s">
        <v>179</v>
      </c>
      <c r="G141">
        <v>67</v>
      </c>
      <c r="H141">
        <v>10</v>
      </c>
      <c r="I141" t="str">
        <f>Clean_Data!$I141</f>
        <v>Comilla Victorians</v>
      </c>
      <c r="J141">
        <v>68</v>
      </c>
      <c r="K141">
        <v>0</v>
      </c>
      <c r="L141" s="9" t="s">
        <v>97</v>
      </c>
      <c r="M141" s="9" t="s">
        <v>238</v>
      </c>
      <c r="N141" s="9" t="s">
        <v>26</v>
      </c>
      <c r="O141" s="9" t="s">
        <v>250</v>
      </c>
      <c r="P141" s="9" t="s">
        <v>238</v>
      </c>
      <c r="Q141" s="9" t="s">
        <v>28</v>
      </c>
      <c r="R141" s="9" t="s">
        <v>29</v>
      </c>
      <c r="S141">
        <v>10</v>
      </c>
      <c r="T141">
        <v>0</v>
      </c>
      <c r="U141" s="9" t="s">
        <v>209</v>
      </c>
      <c r="V141" s="9" t="s">
        <v>752</v>
      </c>
      <c r="W141">
        <v>10</v>
      </c>
      <c r="X141" s="9" t="s">
        <v>753</v>
      </c>
      <c r="Y141">
        <v>135</v>
      </c>
      <c r="Z141" s="9" t="s">
        <v>758</v>
      </c>
      <c r="AA141" s="9" t="s">
        <v>39</v>
      </c>
      <c r="AB141" s="9" t="s">
        <v>225</v>
      </c>
      <c r="AC141" s="9" t="s">
        <v>6</v>
      </c>
      <c r="AD141" s="9" t="s">
        <v>238</v>
      </c>
      <c r="AE141" s="9">
        <f>IF(Table5[[#This Row],[Team_Name]]=Table5[[#This Row],[Correct_Winner]],1,0)</f>
        <v>1</v>
      </c>
    </row>
    <row r="142" spans="1:31" x14ac:dyDescent="0.3">
      <c r="A142" s="9" t="s">
        <v>251</v>
      </c>
      <c r="B142">
        <v>2018</v>
      </c>
      <c r="C142" s="9" t="s">
        <v>21</v>
      </c>
      <c r="D142" s="9" t="s">
        <v>21</v>
      </c>
      <c r="E142" s="9" t="s">
        <v>252</v>
      </c>
      <c r="F142" s="2" t="s">
        <v>113</v>
      </c>
      <c r="G142">
        <v>199</v>
      </c>
      <c r="H142">
        <v>3</v>
      </c>
      <c r="I142" t="str">
        <f>Clean_Data!$I142</f>
        <v>Barisal Bulls</v>
      </c>
      <c r="J142">
        <v>182</v>
      </c>
      <c r="K142">
        <v>9</v>
      </c>
      <c r="L142" s="9" t="s">
        <v>253</v>
      </c>
      <c r="M142" s="9" t="s">
        <v>160</v>
      </c>
      <c r="N142" s="9" t="s">
        <v>26</v>
      </c>
      <c r="O142" s="9" t="s">
        <v>145</v>
      </c>
      <c r="P142" s="9" t="s">
        <v>143</v>
      </c>
      <c r="Q142" s="9" t="s">
        <v>28</v>
      </c>
      <c r="R142" s="9" t="s">
        <v>29</v>
      </c>
      <c r="S142">
        <v>0</v>
      </c>
      <c r="T142">
        <v>17</v>
      </c>
      <c r="U142" s="9" t="s">
        <v>254</v>
      </c>
      <c r="V142" s="9" t="s">
        <v>756</v>
      </c>
      <c r="W142">
        <v>17</v>
      </c>
      <c r="X142" s="9" t="s">
        <v>757</v>
      </c>
      <c r="Y142">
        <v>381</v>
      </c>
      <c r="Z142" s="9" t="s">
        <v>754</v>
      </c>
      <c r="AA142" s="9" t="s">
        <v>255</v>
      </c>
      <c r="AB142" s="9" t="s">
        <v>147</v>
      </c>
      <c r="AC142" s="9" t="s">
        <v>3</v>
      </c>
      <c r="AD142" s="9" t="s">
        <v>143</v>
      </c>
      <c r="AE142" s="9">
        <f>IF(Table5[[#This Row],[Team_Name]]=Table5[[#This Row],[Correct_Winner]],1,0)</f>
        <v>1</v>
      </c>
    </row>
    <row r="143" spans="1:31" x14ac:dyDescent="0.3">
      <c r="A143" s="9" t="s">
        <v>251</v>
      </c>
      <c r="B143">
        <v>2018</v>
      </c>
      <c r="C143" s="9" t="s">
        <v>21</v>
      </c>
      <c r="D143" s="9" t="s">
        <v>21</v>
      </c>
      <c r="E143" s="9" t="s">
        <v>252</v>
      </c>
      <c r="F143" s="3" t="s">
        <v>174</v>
      </c>
      <c r="G143">
        <v>199</v>
      </c>
      <c r="H143">
        <v>3</v>
      </c>
      <c r="I143" t="str">
        <f>Clean_Data!$I143</f>
        <v>Chittagong Vikings</v>
      </c>
      <c r="J143">
        <v>182</v>
      </c>
      <c r="K143">
        <v>9</v>
      </c>
      <c r="L143" s="9" t="s">
        <v>253</v>
      </c>
      <c r="M143" s="9" t="s">
        <v>160</v>
      </c>
      <c r="N143" s="9" t="s">
        <v>26</v>
      </c>
      <c r="O143" s="9" t="s">
        <v>145</v>
      </c>
      <c r="P143" s="9" t="s">
        <v>143</v>
      </c>
      <c r="Q143" s="9" t="s">
        <v>28</v>
      </c>
      <c r="R143" s="9" t="s">
        <v>29</v>
      </c>
      <c r="S143">
        <v>0</v>
      </c>
      <c r="T143">
        <v>17</v>
      </c>
      <c r="U143" s="9" t="s">
        <v>254</v>
      </c>
      <c r="V143" s="9" t="s">
        <v>756</v>
      </c>
      <c r="W143">
        <v>17</v>
      </c>
      <c r="X143" s="9" t="s">
        <v>757</v>
      </c>
      <c r="Y143">
        <v>381</v>
      </c>
      <c r="Z143" s="9" t="s">
        <v>754</v>
      </c>
      <c r="AA143" s="9" t="s">
        <v>255</v>
      </c>
      <c r="AB143" s="9" t="s">
        <v>147</v>
      </c>
      <c r="AC143" s="9" t="s">
        <v>6</v>
      </c>
      <c r="AD143" s="9" t="s">
        <v>160</v>
      </c>
      <c r="AE143" s="9">
        <f>IF(Table5[[#This Row],[Team_Name]]=Table5[[#This Row],[Correct_Winner]],1,0)</f>
        <v>0</v>
      </c>
    </row>
    <row r="144" spans="1:31" x14ac:dyDescent="0.3">
      <c r="A144" s="9" t="s">
        <v>251</v>
      </c>
      <c r="B144">
        <v>2018</v>
      </c>
      <c r="C144" s="9" t="s">
        <v>33</v>
      </c>
      <c r="D144" s="9" t="s">
        <v>755</v>
      </c>
      <c r="E144" s="9" t="s">
        <v>256</v>
      </c>
      <c r="F144" s="2" t="s">
        <v>143</v>
      </c>
      <c r="G144">
        <v>142</v>
      </c>
      <c r="H144">
        <v>10</v>
      </c>
      <c r="I144" t="str">
        <f>Clean_Data!$I144</f>
        <v>Dhaka Dynamites</v>
      </c>
      <c r="J144">
        <v>147</v>
      </c>
      <c r="K144">
        <v>5</v>
      </c>
      <c r="L144" s="9" t="s">
        <v>257</v>
      </c>
      <c r="M144" s="9" t="s">
        <v>160</v>
      </c>
      <c r="N144" s="9" t="s">
        <v>26</v>
      </c>
      <c r="O144" s="9" t="s">
        <v>193</v>
      </c>
      <c r="P144" s="9" t="s">
        <v>160</v>
      </c>
      <c r="Q144" s="9" t="s">
        <v>28</v>
      </c>
      <c r="R144" s="9" t="s">
        <v>29</v>
      </c>
      <c r="S144">
        <v>5</v>
      </c>
      <c r="T144">
        <v>0</v>
      </c>
      <c r="U144" s="9" t="s">
        <v>55</v>
      </c>
      <c r="V144" s="9" t="s">
        <v>752</v>
      </c>
      <c r="W144">
        <v>5</v>
      </c>
      <c r="X144" s="9" t="s">
        <v>753</v>
      </c>
      <c r="Y144">
        <v>289</v>
      </c>
      <c r="Z144" s="9" t="s">
        <v>754</v>
      </c>
      <c r="AA144" s="9" t="s">
        <v>255</v>
      </c>
      <c r="AB144" s="9" t="s">
        <v>66</v>
      </c>
      <c r="AC144" s="9" t="s">
        <v>3</v>
      </c>
      <c r="AD144" s="9" t="s">
        <v>113</v>
      </c>
      <c r="AE144" s="9">
        <f>IF(Table5[[#This Row],[Team_Name]]=Table5[[#This Row],[Correct_Winner]],1,0)</f>
        <v>0</v>
      </c>
    </row>
    <row r="145" spans="1:31" x14ac:dyDescent="0.3">
      <c r="A145" s="9" t="s">
        <v>251</v>
      </c>
      <c r="B145">
        <v>2018</v>
      </c>
      <c r="C145" s="9" t="s">
        <v>33</v>
      </c>
      <c r="D145" s="9" t="s">
        <v>755</v>
      </c>
      <c r="E145" s="9" t="s">
        <v>256</v>
      </c>
      <c r="F145" s="3" t="s">
        <v>160</v>
      </c>
      <c r="G145">
        <v>142</v>
      </c>
      <c r="H145">
        <v>10</v>
      </c>
      <c r="I145" t="str">
        <f>Clean_Data!$I145</f>
        <v>Barisal Bulls</v>
      </c>
      <c r="J145">
        <v>147</v>
      </c>
      <c r="K145">
        <v>5</v>
      </c>
      <c r="L145" s="9" t="s">
        <v>257</v>
      </c>
      <c r="M145" s="9" t="s">
        <v>160</v>
      </c>
      <c r="N145" s="9" t="s">
        <v>26</v>
      </c>
      <c r="O145" s="9" t="s">
        <v>193</v>
      </c>
      <c r="P145" s="9" t="s">
        <v>160</v>
      </c>
      <c r="Q145" s="9" t="s">
        <v>28</v>
      </c>
      <c r="R145" s="9" t="s">
        <v>29</v>
      </c>
      <c r="S145">
        <v>5</v>
      </c>
      <c r="T145">
        <v>0</v>
      </c>
      <c r="U145" s="9" t="s">
        <v>55</v>
      </c>
      <c r="V145" s="9" t="s">
        <v>752</v>
      </c>
      <c r="W145">
        <v>5</v>
      </c>
      <c r="X145" s="9" t="s">
        <v>753</v>
      </c>
      <c r="Y145">
        <v>289</v>
      </c>
      <c r="Z145" s="9" t="s">
        <v>754</v>
      </c>
      <c r="AA145" s="9" t="s">
        <v>255</v>
      </c>
      <c r="AB145" s="9" t="s">
        <v>66</v>
      </c>
      <c r="AC145" s="9" t="s">
        <v>6</v>
      </c>
      <c r="AD145" s="9" t="s">
        <v>160</v>
      </c>
      <c r="AE145" s="9">
        <f>IF(Table5[[#This Row],[Team_Name]]=Table5[[#This Row],[Correct_Winner]],1,0)</f>
        <v>1</v>
      </c>
    </row>
    <row r="146" spans="1:31" x14ac:dyDescent="0.3">
      <c r="A146" s="9" t="s">
        <v>251</v>
      </c>
      <c r="B146">
        <v>2018</v>
      </c>
      <c r="C146" s="9" t="s">
        <v>40</v>
      </c>
      <c r="D146" s="9" t="s">
        <v>755</v>
      </c>
      <c r="E146" s="9" t="s">
        <v>258</v>
      </c>
      <c r="F146" s="2" t="s">
        <v>179</v>
      </c>
      <c r="G146">
        <v>165</v>
      </c>
      <c r="H146">
        <v>5</v>
      </c>
      <c r="I146" t="str">
        <f>Clean_Data!$I146</f>
        <v>Rangpur Riders</v>
      </c>
      <c r="J146">
        <v>166</v>
      </c>
      <c r="K146">
        <v>2</v>
      </c>
      <c r="L146" s="9" t="s">
        <v>259</v>
      </c>
      <c r="M146" s="9" t="s">
        <v>113</v>
      </c>
      <c r="N146" s="9" t="s">
        <v>37</v>
      </c>
      <c r="O146" s="9" t="s">
        <v>145</v>
      </c>
      <c r="P146" s="9" t="s">
        <v>143</v>
      </c>
      <c r="Q146" s="9" t="s">
        <v>28</v>
      </c>
      <c r="R146" s="9" t="s">
        <v>29</v>
      </c>
      <c r="S146">
        <v>8</v>
      </c>
      <c r="T146">
        <v>0</v>
      </c>
      <c r="U146" s="9" t="s">
        <v>30</v>
      </c>
      <c r="V146" s="9" t="s">
        <v>752</v>
      </c>
      <c r="W146">
        <v>8</v>
      </c>
      <c r="X146" s="9" t="s">
        <v>753</v>
      </c>
      <c r="Y146">
        <v>331</v>
      </c>
      <c r="Z146" s="9" t="s">
        <v>754</v>
      </c>
      <c r="AA146" s="9" t="s">
        <v>255</v>
      </c>
      <c r="AB146" s="9" t="s">
        <v>44</v>
      </c>
      <c r="AC146" s="9" t="s">
        <v>3</v>
      </c>
      <c r="AD146" s="9" t="s">
        <v>113</v>
      </c>
      <c r="AE146" s="9">
        <f>IF(Table5[[#This Row],[Team_Name]]=Table5[[#This Row],[Correct_Winner]],1,0)</f>
        <v>0</v>
      </c>
    </row>
    <row r="147" spans="1:31" x14ac:dyDescent="0.3">
      <c r="A147" s="9" t="s">
        <v>251</v>
      </c>
      <c r="B147">
        <v>2018</v>
      </c>
      <c r="C147" s="9" t="s">
        <v>40</v>
      </c>
      <c r="D147" s="9" t="s">
        <v>755</v>
      </c>
      <c r="E147" s="9" t="s">
        <v>258</v>
      </c>
      <c r="F147" s="3" t="s">
        <v>143</v>
      </c>
      <c r="G147">
        <v>165</v>
      </c>
      <c r="H147">
        <v>5</v>
      </c>
      <c r="I147" t="str">
        <f>Clean_Data!$I147</f>
        <v>Sylhet Super Stars</v>
      </c>
      <c r="J147">
        <v>166</v>
      </c>
      <c r="K147">
        <v>2</v>
      </c>
      <c r="L147" s="9" t="s">
        <v>259</v>
      </c>
      <c r="M147" s="9" t="s">
        <v>113</v>
      </c>
      <c r="N147" s="9" t="s">
        <v>37</v>
      </c>
      <c r="O147" s="9" t="s">
        <v>145</v>
      </c>
      <c r="P147" s="9" t="s">
        <v>143</v>
      </c>
      <c r="Q147" s="9" t="s">
        <v>28</v>
      </c>
      <c r="R147" s="9" t="s">
        <v>29</v>
      </c>
      <c r="S147">
        <v>8</v>
      </c>
      <c r="T147">
        <v>0</v>
      </c>
      <c r="U147" s="9" t="s">
        <v>30</v>
      </c>
      <c r="V147" s="9" t="s">
        <v>752</v>
      </c>
      <c r="W147">
        <v>8</v>
      </c>
      <c r="X147" s="9" t="s">
        <v>753</v>
      </c>
      <c r="Y147">
        <v>331</v>
      </c>
      <c r="Z147" s="9" t="s">
        <v>754</v>
      </c>
      <c r="AA147" s="9" t="s">
        <v>255</v>
      </c>
      <c r="AB147" s="9" t="s">
        <v>44</v>
      </c>
      <c r="AC147" s="9" t="s">
        <v>6</v>
      </c>
      <c r="AD147" s="9" t="s">
        <v>143</v>
      </c>
      <c r="AE147" s="9">
        <f>IF(Table5[[#This Row],[Team_Name]]=Table5[[#This Row],[Correct_Winner]],1,0)</f>
        <v>1</v>
      </c>
    </row>
    <row r="148" spans="1:31" x14ac:dyDescent="0.3">
      <c r="A148" s="9" t="s">
        <v>251</v>
      </c>
      <c r="B148">
        <v>2018</v>
      </c>
      <c r="C148" s="9" t="s">
        <v>212</v>
      </c>
      <c r="D148" s="9" t="s">
        <v>755</v>
      </c>
      <c r="E148" s="9" t="s">
        <v>258</v>
      </c>
      <c r="F148" s="2" t="s">
        <v>142</v>
      </c>
      <c r="G148">
        <v>135</v>
      </c>
      <c r="H148">
        <v>8</v>
      </c>
      <c r="I148" t="str">
        <f>Clean_Data!$I148</f>
        <v>Chittagong Vikings</v>
      </c>
      <c r="J148">
        <v>136</v>
      </c>
      <c r="K148">
        <v>4</v>
      </c>
      <c r="L148" s="9" t="s">
        <v>260</v>
      </c>
      <c r="M148" s="9" t="s">
        <v>179</v>
      </c>
      <c r="N148" s="9" t="s">
        <v>37</v>
      </c>
      <c r="O148" s="9" t="s">
        <v>193</v>
      </c>
      <c r="P148" s="9" t="s">
        <v>160</v>
      </c>
      <c r="Q148" s="9" t="s">
        <v>28</v>
      </c>
      <c r="R148" s="9" t="s">
        <v>29</v>
      </c>
      <c r="S148">
        <v>6</v>
      </c>
      <c r="T148">
        <v>0</v>
      </c>
      <c r="U148" s="9" t="s">
        <v>151</v>
      </c>
      <c r="V148" s="9" t="s">
        <v>752</v>
      </c>
      <c r="W148">
        <v>6</v>
      </c>
      <c r="X148" s="9" t="s">
        <v>753</v>
      </c>
      <c r="Y148">
        <v>271</v>
      </c>
      <c r="Z148" s="9" t="s">
        <v>754</v>
      </c>
      <c r="AA148" s="9" t="s">
        <v>50</v>
      </c>
      <c r="AB148" s="9" t="s">
        <v>147</v>
      </c>
      <c r="AC148" s="9" t="s">
        <v>3</v>
      </c>
      <c r="AD148" s="9" t="s">
        <v>179</v>
      </c>
      <c r="AE148" s="9">
        <f>IF(Table5[[#This Row],[Team_Name]]=Table5[[#This Row],[Correct_Winner]],1,0)</f>
        <v>0</v>
      </c>
    </row>
    <row r="149" spans="1:31" x14ac:dyDescent="0.3">
      <c r="A149" s="9" t="s">
        <v>251</v>
      </c>
      <c r="B149">
        <v>2018</v>
      </c>
      <c r="C149" s="9" t="s">
        <v>212</v>
      </c>
      <c r="D149" s="9" t="s">
        <v>755</v>
      </c>
      <c r="E149" s="9" t="s">
        <v>258</v>
      </c>
      <c r="F149" s="3" t="s">
        <v>160</v>
      </c>
      <c r="G149">
        <v>135</v>
      </c>
      <c r="H149">
        <v>8</v>
      </c>
      <c r="I149" t="str">
        <f>Clean_Data!$I149</f>
        <v>Sylhet Super Stars</v>
      </c>
      <c r="J149">
        <v>136</v>
      </c>
      <c r="K149">
        <v>4</v>
      </c>
      <c r="L149" s="9" t="s">
        <v>260</v>
      </c>
      <c r="M149" s="9" t="s">
        <v>179</v>
      </c>
      <c r="N149" s="9" t="s">
        <v>37</v>
      </c>
      <c r="O149" s="9" t="s">
        <v>193</v>
      </c>
      <c r="P149" s="9" t="s">
        <v>160</v>
      </c>
      <c r="Q149" s="9" t="s">
        <v>28</v>
      </c>
      <c r="R149" s="9" t="s">
        <v>29</v>
      </c>
      <c r="S149">
        <v>6</v>
      </c>
      <c r="T149">
        <v>0</v>
      </c>
      <c r="U149" s="9" t="s">
        <v>151</v>
      </c>
      <c r="V149" s="9" t="s">
        <v>752</v>
      </c>
      <c r="W149">
        <v>6</v>
      </c>
      <c r="X149" s="9" t="s">
        <v>753</v>
      </c>
      <c r="Y149">
        <v>271</v>
      </c>
      <c r="Z149" s="9" t="s">
        <v>754</v>
      </c>
      <c r="AA149" s="9" t="s">
        <v>50</v>
      </c>
      <c r="AB149" s="9" t="s">
        <v>147</v>
      </c>
      <c r="AC149" s="9" t="s">
        <v>6</v>
      </c>
      <c r="AD149" s="9" t="s">
        <v>160</v>
      </c>
      <c r="AE149" s="9">
        <f>IF(Table5[[#This Row],[Team_Name]]=Table5[[#This Row],[Correct_Winner]],1,0)</f>
        <v>1</v>
      </c>
    </row>
    <row r="150" spans="1:31" x14ac:dyDescent="0.3">
      <c r="A150" s="9" t="s">
        <v>251</v>
      </c>
      <c r="B150">
        <v>2018</v>
      </c>
      <c r="C150" s="9" t="s">
        <v>106</v>
      </c>
      <c r="D150" s="9" t="s">
        <v>755</v>
      </c>
      <c r="E150" s="9" t="s">
        <v>261</v>
      </c>
      <c r="F150" s="2" t="s">
        <v>113</v>
      </c>
      <c r="G150">
        <v>123</v>
      </c>
      <c r="H150">
        <v>9</v>
      </c>
      <c r="I150" t="str">
        <f>Clean_Data!$I150</f>
        <v>Comilla Victorians</v>
      </c>
      <c r="J150">
        <v>124</v>
      </c>
      <c r="K150">
        <v>4</v>
      </c>
      <c r="L150" s="9" t="s">
        <v>262</v>
      </c>
      <c r="M150" s="9" t="s">
        <v>206</v>
      </c>
      <c r="N150" s="9" t="s">
        <v>37</v>
      </c>
      <c r="O150" s="9" t="s">
        <v>193</v>
      </c>
      <c r="P150" s="9" t="s">
        <v>160</v>
      </c>
      <c r="Q150" s="9" t="s">
        <v>28</v>
      </c>
      <c r="R150" s="9" t="s">
        <v>29</v>
      </c>
      <c r="S150">
        <v>6</v>
      </c>
      <c r="T150">
        <v>0</v>
      </c>
      <c r="U150" s="9" t="s">
        <v>151</v>
      </c>
      <c r="V150" s="9" t="s">
        <v>752</v>
      </c>
      <c r="W150">
        <v>6</v>
      </c>
      <c r="X150" s="9" t="s">
        <v>753</v>
      </c>
      <c r="Y150">
        <v>247</v>
      </c>
      <c r="Z150" s="9" t="s">
        <v>754</v>
      </c>
      <c r="AA150" s="9" t="s">
        <v>39</v>
      </c>
      <c r="AB150" s="9" t="s">
        <v>147</v>
      </c>
      <c r="AC150" s="9" t="s">
        <v>3</v>
      </c>
      <c r="AD150" s="9" t="s">
        <v>206</v>
      </c>
      <c r="AE150" s="9">
        <f>IF(Table5[[#This Row],[Team_Name]]=Table5[[#This Row],[Correct_Winner]],1,0)</f>
        <v>0</v>
      </c>
    </row>
    <row r="151" spans="1:31" x14ac:dyDescent="0.3">
      <c r="A151" s="9" t="s">
        <v>251</v>
      </c>
      <c r="B151">
        <v>2018</v>
      </c>
      <c r="C151" s="9" t="s">
        <v>106</v>
      </c>
      <c r="D151" s="9" t="s">
        <v>755</v>
      </c>
      <c r="E151" s="9" t="s">
        <v>261</v>
      </c>
      <c r="F151" s="3" t="s">
        <v>179</v>
      </c>
      <c r="G151">
        <v>123</v>
      </c>
      <c r="H151">
        <v>9</v>
      </c>
      <c r="I151" t="str">
        <f>Clean_Data!$I151</f>
        <v>Dhaka Dynamites</v>
      </c>
      <c r="J151">
        <v>124</v>
      </c>
      <c r="K151">
        <v>4</v>
      </c>
      <c r="L151" s="9" t="s">
        <v>262</v>
      </c>
      <c r="M151" s="9" t="s">
        <v>206</v>
      </c>
      <c r="N151" s="9" t="s">
        <v>37</v>
      </c>
      <c r="O151" s="9" t="s">
        <v>193</v>
      </c>
      <c r="P151" s="9" t="s">
        <v>160</v>
      </c>
      <c r="Q151" s="9" t="s">
        <v>28</v>
      </c>
      <c r="R151" s="9" t="s">
        <v>29</v>
      </c>
      <c r="S151">
        <v>6</v>
      </c>
      <c r="T151">
        <v>0</v>
      </c>
      <c r="U151" s="9" t="s">
        <v>151</v>
      </c>
      <c r="V151" s="9" t="s">
        <v>752</v>
      </c>
      <c r="W151">
        <v>6</v>
      </c>
      <c r="X151" s="9" t="s">
        <v>753</v>
      </c>
      <c r="Y151">
        <v>247</v>
      </c>
      <c r="Z151" s="9" t="s">
        <v>754</v>
      </c>
      <c r="AA151" s="9" t="s">
        <v>39</v>
      </c>
      <c r="AB151" s="9" t="s">
        <v>147</v>
      </c>
      <c r="AC151" s="9" t="s">
        <v>6</v>
      </c>
      <c r="AD151" s="9" t="s">
        <v>160</v>
      </c>
      <c r="AE151" s="9">
        <f>IF(Table5[[#This Row],[Team_Name]]=Table5[[#This Row],[Correct_Winner]],1,0)</f>
        <v>1</v>
      </c>
    </row>
    <row r="152" spans="1:31" x14ac:dyDescent="0.3">
      <c r="A152" s="9" t="s">
        <v>251</v>
      </c>
      <c r="B152">
        <v>2018</v>
      </c>
      <c r="C152" s="9" t="s">
        <v>112</v>
      </c>
      <c r="D152" s="9" t="s">
        <v>755</v>
      </c>
      <c r="E152" s="9" t="s">
        <v>261</v>
      </c>
      <c r="F152" s="2" t="s">
        <v>113</v>
      </c>
      <c r="G152">
        <v>72</v>
      </c>
      <c r="H152">
        <v>10</v>
      </c>
      <c r="I152" t="str">
        <f>Clean_Data!$I152</f>
        <v>Sylhet Super Stars</v>
      </c>
      <c r="J152">
        <v>76</v>
      </c>
      <c r="K152">
        <v>1</v>
      </c>
      <c r="L152" s="9" t="s">
        <v>183</v>
      </c>
      <c r="M152" s="9" t="s">
        <v>143</v>
      </c>
      <c r="N152" s="9" t="s">
        <v>37</v>
      </c>
      <c r="O152" s="9" t="s">
        <v>189</v>
      </c>
      <c r="P152" s="9" t="s">
        <v>113</v>
      </c>
      <c r="Q152" s="9" t="s">
        <v>28</v>
      </c>
      <c r="R152" s="9" t="s">
        <v>29</v>
      </c>
      <c r="S152">
        <v>9</v>
      </c>
      <c r="T152">
        <v>0</v>
      </c>
      <c r="U152" s="9" t="s">
        <v>71</v>
      </c>
      <c r="V152" s="9" t="s">
        <v>752</v>
      </c>
      <c r="W152">
        <v>9</v>
      </c>
      <c r="X152" s="9" t="s">
        <v>753</v>
      </c>
      <c r="Y152">
        <v>148</v>
      </c>
      <c r="Z152" s="9" t="s">
        <v>758</v>
      </c>
      <c r="AA152" s="9" t="s">
        <v>263</v>
      </c>
      <c r="AB152" s="9" t="s">
        <v>264</v>
      </c>
      <c r="AC152" s="9" t="s">
        <v>3</v>
      </c>
      <c r="AD152" s="9" t="s">
        <v>143</v>
      </c>
      <c r="AE152" s="9">
        <f>IF(Table5[[#This Row],[Team_Name]]=Table5[[#This Row],[Correct_Winner]],1,0)</f>
        <v>0</v>
      </c>
    </row>
    <row r="153" spans="1:31" x14ac:dyDescent="0.3">
      <c r="A153" s="9" t="s">
        <v>251</v>
      </c>
      <c r="B153">
        <v>2018</v>
      </c>
      <c r="C153" s="9" t="s">
        <v>112</v>
      </c>
      <c r="D153" s="9" t="s">
        <v>755</v>
      </c>
      <c r="E153" s="9" t="s">
        <v>261</v>
      </c>
      <c r="F153" s="3" t="s">
        <v>142</v>
      </c>
      <c r="G153">
        <v>72</v>
      </c>
      <c r="H153">
        <v>10</v>
      </c>
      <c r="I153" t="str">
        <f>Clean_Data!$I153</f>
        <v>Comilla Victorians</v>
      </c>
      <c r="J153">
        <v>76</v>
      </c>
      <c r="K153">
        <v>1</v>
      </c>
      <c r="L153" s="9" t="s">
        <v>183</v>
      </c>
      <c r="M153" s="9" t="s">
        <v>143</v>
      </c>
      <c r="N153" s="9" t="s">
        <v>37</v>
      </c>
      <c r="O153" s="9" t="s">
        <v>189</v>
      </c>
      <c r="P153" s="9" t="s">
        <v>113</v>
      </c>
      <c r="Q153" s="9" t="s">
        <v>28</v>
      </c>
      <c r="R153" s="9" t="s">
        <v>29</v>
      </c>
      <c r="S153">
        <v>9</v>
      </c>
      <c r="T153">
        <v>0</v>
      </c>
      <c r="U153" s="9" t="s">
        <v>71</v>
      </c>
      <c r="V153" s="9" t="s">
        <v>752</v>
      </c>
      <c r="W153">
        <v>9</v>
      </c>
      <c r="X153" s="9" t="s">
        <v>753</v>
      </c>
      <c r="Y153">
        <v>148</v>
      </c>
      <c r="Z153" s="9" t="s">
        <v>758</v>
      </c>
      <c r="AA153" s="9" t="s">
        <v>263</v>
      </c>
      <c r="AB153" s="9" t="s">
        <v>264</v>
      </c>
      <c r="AC153" s="9" t="s">
        <v>6</v>
      </c>
      <c r="AD153" s="9" t="s">
        <v>113</v>
      </c>
      <c r="AE153" s="9">
        <f>IF(Table5[[#This Row],[Team_Name]]=Table5[[#This Row],[Correct_Winner]],1,0)</f>
        <v>1</v>
      </c>
    </row>
    <row r="154" spans="1:31" x14ac:dyDescent="0.3">
      <c r="A154" s="9" t="s">
        <v>251</v>
      </c>
      <c r="B154">
        <v>2018</v>
      </c>
      <c r="C154" s="9" t="s">
        <v>119</v>
      </c>
      <c r="D154" s="9" t="s">
        <v>755</v>
      </c>
      <c r="E154" s="9" t="s">
        <v>265</v>
      </c>
      <c r="F154" s="2" t="s">
        <v>113</v>
      </c>
      <c r="G154">
        <v>165</v>
      </c>
      <c r="H154">
        <v>5</v>
      </c>
      <c r="I154" t="str">
        <f>Clean_Data!$I154</f>
        <v>Dhaka Dynamites</v>
      </c>
      <c r="J154">
        <v>136</v>
      </c>
      <c r="K154">
        <v>10</v>
      </c>
      <c r="L154" s="9" t="s">
        <v>266</v>
      </c>
      <c r="M154" s="9" t="s">
        <v>179</v>
      </c>
      <c r="N154" s="9" t="s">
        <v>26</v>
      </c>
      <c r="O154" s="9" t="s">
        <v>250</v>
      </c>
      <c r="P154" s="9" t="s">
        <v>238</v>
      </c>
      <c r="Q154" s="9" t="s">
        <v>28</v>
      </c>
      <c r="R154" s="9" t="s">
        <v>29</v>
      </c>
      <c r="S154">
        <v>0</v>
      </c>
      <c r="T154">
        <v>29</v>
      </c>
      <c r="U154" s="9" t="s">
        <v>109</v>
      </c>
      <c r="V154" s="9" t="s">
        <v>756</v>
      </c>
      <c r="W154">
        <v>29</v>
      </c>
      <c r="X154" s="9" t="s">
        <v>757</v>
      </c>
      <c r="Y154">
        <v>301</v>
      </c>
      <c r="Z154" s="9" t="s">
        <v>754</v>
      </c>
      <c r="AA154" s="9" t="s">
        <v>39</v>
      </c>
      <c r="AB154" s="9" t="s">
        <v>267</v>
      </c>
      <c r="AC154" s="9" t="s">
        <v>3</v>
      </c>
      <c r="AD154" s="9" t="s">
        <v>238</v>
      </c>
      <c r="AE154" s="9">
        <f>IF(Table5[[#This Row],[Team_Name]]=Table5[[#This Row],[Correct_Winner]],1,0)</f>
        <v>1</v>
      </c>
    </row>
    <row r="155" spans="1:31" x14ac:dyDescent="0.3">
      <c r="A155" s="9" t="s">
        <v>251</v>
      </c>
      <c r="B155">
        <v>2018</v>
      </c>
      <c r="C155" s="9" t="s">
        <v>119</v>
      </c>
      <c r="D155" s="9" t="s">
        <v>755</v>
      </c>
      <c r="E155" s="9" t="s">
        <v>265</v>
      </c>
      <c r="F155" s="3" t="s">
        <v>142</v>
      </c>
      <c r="G155">
        <v>165</v>
      </c>
      <c r="H155">
        <v>5</v>
      </c>
      <c r="I155" t="str">
        <f>Clean_Data!$I155</f>
        <v>Sylhet Super Stars</v>
      </c>
      <c r="J155">
        <v>136</v>
      </c>
      <c r="K155">
        <v>10</v>
      </c>
      <c r="L155" s="9" t="s">
        <v>266</v>
      </c>
      <c r="M155" s="9" t="s">
        <v>179</v>
      </c>
      <c r="N155" s="9" t="s">
        <v>26</v>
      </c>
      <c r="O155" s="9" t="s">
        <v>250</v>
      </c>
      <c r="P155" s="9" t="s">
        <v>238</v>
      </c>
      <c r="Q155" s="9" t="s">
        <v>28</v>
      </c>
      <c r="R155" s="9" t="s">
        <v>29</v>
      </c>
      <c r="S155">
        <v>0</v>
      </c>
      <c r="T155">
        <v>29</v>
      </c>
      <c r="U155" s="9" t="s">
        <v>109</v>
      </c>
      <c r="V155" s="9" t="s">
        <v>756</v>
      </c>
      <c r="W155">
        <v>29</v>
      </c>
      <c r="X155" s="9" t="s">
        <v>757</v>
      </c>
      <c r="Y155">
        <v>301</v>
      </c>
      <c r="Z155" s="9" t="s">
        <v>754</v>
      </c>
      <c r="AA155" s="9" t="s">
        <v>39</v>
      </c>
      <c r="AB155" s="9" t="s">
        <v>267</v>
      </c>
      <c r="AC155" s="9" t="s">
        <v>6</v>
      </c>
      <c r="AD155" s="9" t="s">
        <v>179</v>
      </c>
      <c r="AE155" s="9">
        <f>IF(Table5[[#This Row],[Team_Name]]=Table5[[#This Row],[Correct_Winner]],1,0)</f>
        <v>0</v>
      </c>
    </row>
    <row r="156" spans="1:31" x14ac:dyDescent="0.3">
      <c r="A156" s="9" t="s">
        <v>251</v>
      </c>
      <c r="B156">
        <v>2018</v>
      </c>
      <c r="C156" s="9" t="s">
        <v>129</v>
      </c>
      <c r="D156" s="9" t="s">
        <v>755</v>
      </c>
      <c r="E156" s="9" t="s">
        <v>265</v>
      </c>
      <c r="F156" s="2" t="s">
        <v>179</v>
      </c>
      <c r="G156">
        <v>127</v>
      </c>
      <c r="H156">
        <v>10</v>
      </c>
      <c r="I156" t="str">
        <f>Clean_Data!$I156</f>
        <v>Comilla Victorians</v>
      </c>
      <c r="J156">
        <v>126</v>
      </c>
      <c r="K156">
        <v>9</v>
      </c>
      <c r="L156" s="9" t="s">
        <v>268</v>
      </c>
      <c r="M156" s="9" t="s">
        <v>160</v>
      </c>
      <c r="N156" s="9" t="s">
        <v>26</v>
      </c>
      <c r="O156" s="9" t="s">
        <v>145</v>
      </c>
      <c r="P156" s="9" t="s">
        <v>143</v>
      </c>
      <c r="Q156" s="9" t="s">
        <v>28</v>
      </c>
      <c r="R156" s="9" t="s">
        <v>29</v>
      </c>
      <c r="S156">
        <v>0</v>
      </c>
      <c r="T156">
        <v>0</v>
      </c>
      <c r="U156" s="9" t="s">
        <v>269</v>
      </c>
      <c r="V156" s="9" t="s">
        <v>752</v>
      </c>
      <c r="W156">
        <v>0</v>
      </c>
      <c r="X156" s="9" t="s">
        <v>753</v>
      </c>
      <c r="Y156">
        <v>253</v>
      </c>
      <c r="Z156" s="9" t="s">
        <v>754</v>
      </c>
      <c r="AA156" s="9" t="s">
        <v>255</v>
      </c>
      <c r="AB156" s="9" t="s">
        <v>66</v>
      </c>
      <c r="AC156" s="9" t="s">
        <v>3</v>
      </c>
      <c r="AD156" s="9" t="s">
        <v>143</v>
      </c>
      <c r="AE156" s="9">
        <f>IF(Table5[[#This Row],[Team_Name]]=Table5[[#This Row],[Correct_Winner]],1,0)</f>
        <v>1</v>
      </c>
    </row>
    <row r="157" spans="1:31" x14ac:dyDescent="0.3">
      <c r="A157" s="9" t="s">
        <v>251</v>
      </c>
      <c r="B157">
        <v>2018</v>
      </c>
      <c r="C157" s="9" t="s">
        <v>129</v>
      </c>
      <c r="D157" s="9" t="s">
        <v>755</v>
      </c>
      <c r="E157" s="9" t="s">
        <v>265</v>
      </c>
      <c r="F157" s="3" t="s">
        <v>142</v>
      </c>
      <c r="G157">
        <v>127</v>
      </c>
      <c r="H157">
        <v>10</v>
      </c>
      <c r="I157" t="str">
        <f>Clean_Data!$I157</f>
        <v>Rangpur Riders</v>
      </c>
      <c r="J157">
        <v>126</v>
      </c>
      <c r="K157">
        <v>9</v>
      </c>
      <c r="L157" s="9" t="s">
        <v>268</v>
      </c>
      <c r="M157" s="9" t="s">
        <v>160</v>
      </c>
      <c r="N157" s="9" t="s">
        <v>26</v>
      </c>
      <c r="O157" s="9" t="s">
        <v>145</v>
      </c>
      <c r="P157" s="9" t="s">
        <v>143</v>
      </c>
      <c r="Q157" s="9" t="s">
        <v>28</v>
      </c>
      <c r="R157" s="9" t="s">
        <v>29</v>
      </c>
      <c r="S157">
        <v>0</v>
      </c>
      <c r="T157">
        <v>0</v>
      </c>
      <c r="U157" s="9" t="s">
        <v>269</v>
      </c>
      <c r="V157" s="9" t="s">
        <v>752</v>
      </c>
      <c r="W157">
        <v>0</v>
      </c>
      <c r="X157" s="9" t="s">
        <v>753</v>
      </c>
      <c r="Y157">
        <v>253</v>
      </c>
      <c r="Z157" s="9" t="s">
        <v>754</v>
      </c>
      <c r="AA157" s="9" t="s">
        <v>255</v>
      </c>
      <c r="AB157" s="9" t="s">
        <v>66</v>
      </c>
      <c r="AC157" s="9" t="s">
        <v>6</v>
      </c>
      <c r="AD157" s="9" t="s">
        <v>160</v>
      </c>
      <c r="AE157" s="9">
        <f>IF(Table5[[#This Row],[Team_Name]]=Table5[[#This Row],[Correct_Winner]],1,0)</f>
        <v>0</v>
      </c>
    </row>
    <row r="158" spans="1:31" x14ac:dyDescent="0.3">
      <c r="A158" s="9" t="s">
        <v>251</v>
      </c>
      <c r="B158">
        <v>2018</v>
      </c>
      <c r="C158" s="9" t="s">
        <v>136</v>
      </c>
      <c r="D158" s="9" t="s">
        <v>755</v>
      </c>
      <c r="E158" s="9" t="s">
        <v>270</v>
      </c>
      <c r="F158" s="2" t="s">
        <v>179</v>
      </c>
      <c r="G158">
        <v>189</v>
      </c>
      <c r="H158">
        <v>5</v>
      </c>
      <c r="I158" t="str">
        <f>Clean_Data!$I158</f>
        <v>Sylhet Super Stars</v>
      </c>
      <c r="J158">
        <v>190</v>
      </c>
      <c r="K158">
        <v>5</v>
      </c>
      <c r="L158" s="9" t="s">
        <v>271</v>
      </c>
      <c r="M158" s="9" t="s">
        <v>238</v>
      </c>
      <c r="N158" s="9" t="s">
        <v>37</v>
      </c>
      <c r="O158" s="9" t="s">
        <v>208</v>
      </c>
      <c r="P158" s="9" t="s">
        <v>199</v>
      </c>
      <c r="Q158" s="9" t="s">
        <v>88</v>
      </c>
      <c r="R158" s="9" t="s">
        <v>89</v>
      </c>
      <c r="S158">
        <v>5</v>
      </c>
      <c r="T158">
        <v>0</v>
      </c>
      <c r="U158" s="9" t="s">
        <v>55</v>
      </c>
      <c r="V158" s="9" t="s">
        <v>752</v>
      </c>
      <c r="W158">
        <v>5</v>
      </c>
      <c r="X158" s="9" t="s">
        <v>753</v>
      </c>
      <c r="Y158">
        <v>379</v>
      </c>
      <c r="Z158" s="9" t="s">
        <v>754</v>
      </c>
      <c r="AA158" s="9" t="s">
        <v>147</v>
      </c>
      <c r="AB158" s="9" t="s">
        <v>225</v>
      </c>
      <c r="AC158" s="9" t="s">
        <v>3</v>
      </c>
      <c r="AD158" s="9" t="s">
        <v>238</v>
      </c>
      <c r="AE158" s="9">
        <f>IF(Table5[[#This Row],[Team_Name]]=Table5[[#This Row],[Correct_Winner]],1,0)</f>
        <v>0</v>
      </c>
    </row>
    <row r="159" spans="1:31" x14ac:dyDescent="0.3">
      <c r="A159" s="9" t="s">
        <v>251</v>
      </c>
      <c r="B159">
        <v>2018</v>
      </c>
      <c r="C159" s="9" t="s">
        <v>136</v>
      </c>
      <c r="D159" s="9" t="s">
        <v>755</v>
      </c>
      <c r="E159" s="9" t="s">
        <v>270</v>
      </c>
      <c r="F159" s="3" t="s">
        <v>143</v>
      </c>
      <c r="G159">
        <v>189</v>
      </c>
      <c r="H159">
        <v>5</v>
      </c>
      <c r="I159" t="str">
        <f>Clean_Data!$I159</f>
        <v>Dhaka Dynamites</v>
      </c>
      <c r="J159">
        <v>190</v>
      </c>
      <c r="K159">
        <v>5</v>
      </c>
      <c r="L159" s="9" t="s">
        <v>271</v>
      </c>
      <c r="M159" s="9" t="s">
        <v>238</v>
      </c>
      <c r="N159" s="9" t="s">
        <v>37</v>
      </c>
      <c r="O159" s="9" t="s">
        <v>208</v>
      </c>
      <c r="P159" s="9" t="s">
        <v>199</v>
      </c>
      <c r="Q159" s="9" t="s">
        <v>88</v>
      </c>
      <c r="R159" s="9" t="s">
        <v>89</v>
      </c>
      <c r="S159">
        <v>5</v>
      </c>
      <c r="T159">
        <v>0</v>
      </c>
      <c r="U159" s="9" t="s">
        <v>55</v>
      </c>
      <c r="V159" s="9" t="s">
        <v>752</v>
      </c>
      <c r="W159">
        <v>5</v>
      </c>
      <c r="X159" s="9" t="s">
        <v>753</v>
      </c>
      <c r="Y159">
        <v>379</v>
      </c>
      <c r="Z159" s="9" t="s">
        <v>754</v>
      </c>
      <c r="AA159" s="9" t="s">
        <v>147</v>
      </c>
      <c r="AB159" s="9" t="s">
        <v>225</v>
      </c>
      <c r="AC159" s="9" t="s">
        <v>6</v>
      </c>
      <c r="AD159" s="9" t="s">
        <v>199</v>
      </c>
      <c r="AE159" s="9">
        <f>IF(Table5[[#This Row],[Team_Name]]=Table5[[#This Row],[Correct_Winner]],1,0)</f>
        <v>1</v>
      </c>
    </row>
    <row r="160" spans="1:31" x14ac:dyDescent="0.3">
      <c r="A160" s="9" t="s">
        <v>251</v>
      </c>
      <c r="B160">
        <v>2018</v>
      </c>
      <c r="C160" s="9" t="s">
        <v>224</v>
      </c>
      <c r="D160" s="9" t="s">
        <v>755</v>
      </c>
      <c r="E160" s="9" t="s">
        <v>270</v>
      </c>
      <c r="F160" s="2" t="s">
        <v>179</v>
      </c>
      <c r="G160">
        <v>174</v>
      </c>
      <c r="H160">
        <v>5</v>
      </c>
      <c r="I160" t="str">
        <f>Clean_Data!$I160</f>
        <v>Rangpur Riders</v>
      </c>
      <c r="J160">
        <v>163</v>
      </c>
      <c r="K160">
        <v>9</v>
      </c>
      <c r="L160" s="9" t="s">
        <v>272</v>
      </c>
      <c r="M160" s="9" t="s">
        <v>179</v>
      </c>
      <c r="N160" s="9" t="s">
        <v>37</v>
      </c>
      <c r="O160" s="9" t="s">
        <v>245</v>
      </c>
      <c r="P160" s="9" t="s">
        <v>179</v>
      </c>
      <c r="Q160" s="9" t="s">
        <v>88</v>
      </c>
      <c r="R160" s="9" t="s">
        <v>89</v>
      </c>
      <c r="S160">
        <v>0</v>
      </c>
      <c r="T160">
        <v>11</v>
      </c>
      <c r="U160" s="9" t="s">
        <v>273</v>
      </c>
      <c r="V160" s="9" t="s">
        <v>756</v>
      </c>
      <c r="W160">
        <v>11</v>
      </c>
      <c r="X160" s="9" t="s">
        <v>757</v>
      </c>
      <c r="Y160">
        <v>337</v>
      </c>
      <c r="Z160" s="9" t="s">
        <v>754</v>
      </c>
      <c r="AA160" s="9" t="s">
        <v>50</v>
      </c>
      <c r="AB160" s="9" t="s">
        <v>267</v>
      </c>
      <c r="AC160" s="9" t="s">
        <v>3</v>
      </c>
      <c r="AD160" s="9" t="s">
        <v>179</v>
      </c>
      <c r="AE160" s="9">
        <f>IF(Table5[[#This Row],[Team_Name]]=Table5[[#This Row],[Correct_Winner]],1,0)</f>
        <v>1</v>
      </c>
    </row>
    <row r="161" spans="1:31" x14ac:dyDescent="0.3">
      <c r="A161" s="9" t="s">
        <v>251</v>
      </c>
      <c r="B161">
        <v>2018</v>
      </c>
      <c r="C161" s="9" t="s">
        <v>224</v>
      </c>
      <c r="D161" s="9" t="s">
        <v>755</v>
      </c>
      <c r="E161" s="9" t="s">
        <v>270</v>
      </c>
      <c r="F161" s="3" t="s">
        <v>142</v>
      </c>
      <c r="G161">
        <v>174</v>
      </c>
      <c r="H161">
        <v>5</v>
      </c>
      <c r="I161" t="str">
        <f>Clean_Data!$I161</f>
        <v>Rajshahi Kings</v>
      </c>
      <c r="J161">
        <v>163</v>
      </c>
      <c r="K161">
        <v>9</v>
      </c>
      <c r="L161" s="9" t="s">
        <v>272</v>
      </c>
      <c r="M161" s="9" t="s">
        <v>179</v>
      </c>
      <c r="N161" s="9" t="s">
        <v>37</v>
      </c>
      <c r="O161" s="9" t="s">
        <v>245</v>
      </c>
      <c r="P161" s="9" t="s">
        <v>179</v>
      </c>
      <c r="Q161" s="9" t="s">
        <v>88</v>
      </c>
      <c r="R161" s="9" t="s">
        <v>89</v>
      </c>
      <c r="S161">
        <v>0</v>
      </c>
      <c r="T161">
        <v>11</v>
      </c>
      <c r="U161" s="9" t="s">
        <v>273</v>
      </c>
      <c r="V161" s="9" t="s">
        <v>756</v>
      </c>
      <c r="W161">
        <v>11</v>
      </c>
      <c r="X161" s="9" t="s">
        <v>757</v>
      </c>
      <c r="Y161">
        <v>337</v>
      </c>
      <c r="Z161" s="9" t="s">
        <v>754</v>
      </c>
      <c r="AA161" s="9" t="s">
        <v>50</v>
      </c>
      <c r="AB161" s="9" t="s">
        <v>267</v>
      </c>
      <c r="AC161" s="9" t="s">
        <v>6</v>
      </c>
      <c r="AD161" s="9" t="s">
        <v>160</v>
      </c>
      <c r="AE161" s="9">
        <f>IF(Table5[[#This Row],[Team_Name]]=Table5[[#This Row],[Correct_Winner]],1,0)</f>
        <v>0</v>
      </c>
    </row>
    <row r="162" spans="1:31" x14ac:dyDescent="0.3">
      <c r="A162" s="9" t="s">
        <v>274</v>
      </c>
      <c r="B162">
        <v>2019</v>
      </c>
      <c r="C162" s="9" t="s">
        <v>21</v>
      </c>
      <c r="D162" s="9" t="s">
        <v>21</v>
      </c>
      <c r="E162" s="9" t="s">
        <v>275</v>
      </c>
      <c r="F162" s="2" t="s">
        <v>199</v>
      </c>
      <c r="G162">
        <v>170</v>
      </c>
      <c r="H162">
        <v>4</v>
      </c>
      <c r="I162" t="str">
        <f>Clean_Data!$I162</f>
        <v>Comilla Victorians</v>
      </c>
      <c r="J162">
        <v>149</v>
      </c>
      <c r="K162">
        <v>8</v>
      </c>
      <c r="L162" s="9" t="s">
        <v>127</v>
      </c>
      <c r="M162" s="9" t="s">
        <v>277</v>
      </c>
      <c r="N162" s="9" t="s">
        <v>26</v>
      </c>
      <c r="O162" s="9" t="s">
        <v>64</v>
      </c>
      <c r="P162" s="9" t="s">
        <v>276</v>
      </c>
      <c r="Q162" s="9" t="s">
        <v>28</v>
      </c>
      <c r="R162" s="9" t="s">
        <v>29</v>
      </c>
      <c r="S162">
        <v>0</v>
      </c>
      <c r="T162">
        <v>21</v>
      </c>
      <c r="U162" s="9" t="s">
        <v>165</v>
      </c>
      <c r="V162" s="9" t="s">
        <v>756</v>
      </c>
      <c r="W162">
        <v>21</v>
      </c>
      <c r="X162" s="9" t="s">
        <v>757</v>
      </c>
      <c r="Y162">
        <v>319</v>
      </c>
      <c r="Z162" s="9" t="s">
        <v>754</v>
      </c>
      <c r="AA162" s="9" t="s">
        <v>278</v>
      </c>
      <c r="AB162" s="9" t="s">
        <v>56</v>
      </c>
      <c r="AC162" s="9" t="s">
        <v>3</v>
      </c>
      <c r="AD162" s="9" t="s">
        <v>276</v>
      </c>
      <c r="AE162" s="9">
        <f>IF(Table5[[#This Row],[Team_Name]]=Table5[[#This Row],[Correct_Winner]],1,0)</f>
        <v>1</v>
      </c>
    </row>
    <row r="163" spans="1:31" x14ac:dyDescent="0.3">
      <c r="A163" s="9" t="s">
        <v>274</v>
      </c>
      <c r="B163">
        <v>2019</v>
      </c>
      <c r="C163" s="9" t="s">
        <v>21</v>
      </c>
      <c r="D163" s="9" t="s">
        <v>21</v>
      </c>
      <c r="E163" s="9" t="s">
        <v>275</v>
      </c>
      <c r="F163" s="3" t="s">
        <v>160</v>
      </c>
      <c r="G163">
        <v>170</v>
      </c>
      <c r="H163">
        <v>4</v>
      </c>
      <c r="I163" t="str">
        <f>Clean_Data!$I163</f>
        <v>Rangpur Riders</v>
      </c>
      <c r="J163">
        <v>149</v>
      </c>
      <c r="K163">
        <v>8</v>
      </c>
      <c r="L163" s="9" t="s">
        <v>127</v>
      </c>
      <c r="M163" s="9" t="s">
        <v>277</v>
      </c>
      <c r="N163" s="9" t="s">
        <v>26</v>
      </c>
      <c r="O163" s="9" t="s">
        <v>64</v>
      </c>
      <c r="P163" s="9" t="s">
        <v>276</v>
      </c>
      <c r="Q163" s="9" t="s">
        <v>28</v>
      </c>
      <c r="R163" s="9" t="s">
        <v>29</v>
      </c>
      <c r="S163">
        <v>0</v>
      </c>
      <c r="T163">
        <v>21</v>
      </c>
      <c r="U163" s="9" t="s">
        <v>165</v>
      </c>
      <c r="V163" s="9" t="s">
        <v>756</v>
      </c>
      <c r="W163">
        <v>21</v>
      </c>
      <c r="X163" s="9" t="s">
        <v>757</v>
      </c>
      <c r="Y163">
        <v>319</v>
      </c>
      <c r="Z163" s="9" t="s">
        <v>754</v>
      </c>
      <c r="AA163" s="9" t="s">
        <v>278</v>
      </c>
      <c r="AB163" s="9" t="s">
        <v>56</v>
      </c>
      <c r="AC163" s="9" t="s">
        <v>6</v>
      </c>
      <c r="AD163" s="9" t="s">
        <v>277</v>
      </c>
      <c r="AE163" s="9">
        <f>IF(Table5[[#This Row],[Team_Name]]=Table5[[#This Row],[Correct_Winner]],1,0)</f>
        <v>0</v>
      </c>
    </row>
    <row r="164" spans="1:31" x14ac:dyDescent="0.3">
      <c r="A164" s="9" t="s">
        <v>274</v>
      </c>
      <c r="B164">
        <v>2019</v>
      </c>
      <c r="C164" s="9" t="s">
        <v>33</v>
      </c>
      <c r="D164" s="9" t="s">
        <v>755</v>
      </c>
      <c r="E164" s="9" t="s">
        <v>279</v>
      </c>
      <c r="F164" s="2" t="s">
        <v>206</v>
      </c>
      <c r="G164">
        <v>164</v>
      </c>
      <c r="H164">
        <v>9</v>
      </c>
      <c r="I164" t="str">
        <f>Clean_Data!$I164</f>
        <v>Chittagong Vikings</v>
      </c>
      <c r="J164">
        <v>165</v>
      </c>
      <c r="K164">
        <v>8</v>
      </c>
      <c r="L164" s="9" t="s">
        <v>127</v>
      </c>
      <c r="M164" s="9" t="s">
        <v>276</v>
      </c>
      <c r="N164" s="9" t="s">
        <v>26</v>
      </c>
      <c r="O164" s="9" t="s">
        <v>64</v>
      </c>
      <c r="P164" s="9" t="s">
        <v>276</v>
      </c>
      <c r="Q164" s="9" t="s">
        <v>28</v>
      </c>
      <c r="R164" s="9" t="s">
        <v>29</v>
      </c>
      <c r="S164">
        <v>2</v>
      </c>
      <c r="T164">
        <v>0</v>
      </c>
      <c r="U164" s="9" t="s">
        <v>281</v>
      </c>
      <c r="V164" s="9" t="s">
        <v>752</v>
      </c>
      <c r="W164">
        <v>2</v>
      </c>
      <c r="X164" s="9" t="s">
        <v>753</v>
      </c>
      <c r="Y164">
        <v>329</v>
      </c>
      <c r="Z164" s="9" t="s">
        <v>754</v>
      </c>
      <c r="AA164" s="9" t="s">
        <v>278</v>
      </c>
      <c r="AB164" s="9" t="s">
        <v>50</v>
      </c>
      <c r="AC164" s="9" t="s">
        <v>3</v>
      </c>
      <c r="AD164" s="9" t="s">
        <v>280</v>
      </c>
      <c r="AE164" s="9">
        <f>IF(Table5[[#This Row],[Team_Name]]=Table5[[#This Row],[Correct_Winner]],1,0)</f>
        <v>0</v>
      </c>
    </row>
    <row r="165" spans="1:31" x14ac:dyDescent="0.3">
      <c r="A165" s="9" t="s">
        <v>274</v>
      </c>
      <c r="B165">
        <v>2019</v>
      </c>
      <c r="C165" s="9" t="s">
        <v>33</v>
      </c>
      <c r="D165" s="9" t="s">
        <v>755</v>
      </c>
      <c r="E165" s="9" t="s">
        <v>279</v>
      </c>
      <c r="F165" s="3" t="s">
        <v>142</v>
      </c>
      <c r="G165">
        <v>164</v>
      </c>
      <c r="H165">
        <v>9</v>
      </c>
      <c r="I165" t="str">
        <f>Clean_Data!$I165</f>
        <v>Comilla Victorians</v>
      </c>
      <c r="J165">
        <v>165</v>
      </c>
      <c r="K165">
        <v>8</v>
      </c>
      <c r="L165" s="9" t="s">
        <v>127</v>
      </c>
      <c r="M165" s="9" t="s">
        <v>276</v>
      </c>
      <c r="N165" s="9" t="s">
        <v>26</v>
      </c>
      <c r="O165" s="9" t="s">
        <v>64</v>
      </c>
      <c r="P165" s="9" t="s">
        <v>276</v>
      </c>
      <c r="Q165" s="9" t="s">
        <v>28</v>
      </c>
      <c r="R165" s="9" t="s">
        <v>29</v>
      </c>
      <c r="S165">
        <v>2</v>
      </c>
      <c r="T165">
        <v>0</v>
      </c>
      <c r="U165" s="9" t="s">
        <v>281</v>
      </c>
      <c r="V165" s="9" t="s">
        <v>752</v>
      </c>
      <c r="W165">
        <v>2</v>
      </c>
      <c r="X165" s="9" t="s">
        <v>753</v>
      </c>
      <c r="Y165">
        <v>329</v>
      </c>
      <c r="Z165" s="9" t="s">
        <v>754</v>
      </c>
      <c r="AA165" s="9" t="s">
        <v>278</v>
      </c>
      <c r="AB165" s="9" t="s">
        <v>50</v>
      </c>
      <c r="AC165" s="9" t="s">
        <v>6</v>
      </c>
      <c r="AD165" s="9" t="s">
        <v>276</v>
      </c>
      <c r="AE165" s="9">
        <f>IF(Table5[[#This Row],[Team_Name]]=Table5[[#This Row],[Correct_Winner]],1,0)</f>
        <v>1</v>
      </c>
    </row>
    <row r="166" spans="1:31" x14ac:dyDescent="0.3">
      <c r="A166" s="9" t="s">
        <v>274</v>
      </c>
      <c r="B166">
        <v>2019</v>
      </c>
      <c r="C166" s="9" t="s">
        <v>40</v>
      </c>
      <c r="D166" s="9" t="s">
        <v>755</v>
      </c>
      <c r="E166" s="9" t="s">
        <v>282</v>
      </c>
      <c r="F166" s="2" t="s">
        <v>199</v>
      </c>
      <c r="G166">
        <v>158</v>
      </c>
      <c r="H166">
        <v>3</v>
      </c>
      <c r="I166" t="str">
        <f>Clean_Data!$I166</f>
        <v>Rangpur Riders</v>
      </c>
      <c r="J166">
        <v>131</v>
      </c>
      <c r="K166">
        <v>10</v>
      </c>
      <c r="L166" s="9" t="s">
        <v>283</v>
      </c>
      <c r="M166" s="9" t="s">
        <v>276</v>
      </c>
      <c r="N166" s="9" t="s">
        <v>26</v>
      </c>
      <c r="O166" s="9" t="s">
        <v>284</v>
      </c>
      <c r="P166" s="9" t="s">
        <v>277</v>
      </c>
      <c r="Q166" s="9" t="s">
        <v>28</v>
      </c>
      <c r="R166" s="9" t="s">
        <v>29</v>
      </c>
      <c r="S166">
        <v>0</v>
      </c>
      <c r="T166">
        <v>27</v>
      </c>
      <c r="U166" s="9" t="s">
        <v>285</v>
      </c>
      <c r="V166" s="9" t="s">
        <v>756</v>
      </c>
      <c r="W166">
        <v>27</v>
      </c>
      <c r="X166" s="9" t="s">
        <v>757</v>
      </c>
      <c r="Y166">
        <v>289</v>
      </c>
      <c r="Z166" s="9" t="s">
        <v>754</v>
      </c>
      <c r="AA166" s="9" t="s">
        <v>56</v>
      </c>
      <c r="AB166" s="9" t="s">
        <v>286</v>
      </c>
      <c r="AC166" s="9" t="s">
        <v>3</v>
      </c>
      <c r="AD166" s="9" t="s">
        <v>277</v>
      </c>
      <c r="AE166" s="9">
        <f>IF(Table5[[#This Row],[Team_Name]]=Table5[[#This Row],[Correct_Winner]],1,0)</f>
        <v>1</v>
      </c>
    </row>
    <row r="167" spans="1:31" x14ac:dyDescent="0.3">
      <c r="A167" s="9" t="s">
        <v>274</v>
      </c>
      <c r="B167">
        <v>2019</v>
      </c>
      <c r="C167" s="9" t="s">
        <v>40</v>
      </c>
      <c r="D167" s="9" t="s">
        <v>755</v>
      </c>
      <c r="E167" s="9" t="s">
        <v>282</v>
      </c>
      <c r="F167" s="3" t="s">
        <v>113</v>
      </c>
      <c r="G167">
        <v>158</v>
      </c>
      <c r="H167">
        <v>3</v>
      </c>
      <c r="I167" t="str">
        <f>Clean_Data!$I167</f>
        <v>Chittagong Vikings</v>
      </c>
      <c r="J167">
        <v>131</v>
      </c>
      <c r="K167">
        <v>10</v>
      </c>
      <c r="L167" s="9" t="s">
        <v>283</v>
      </c>
      <c r="M167" s="9" t="s">
        <v>276</v>
      </c>
      <c r="N167" s="9" t="s">
        <v>26</v>
      </c>
      <c r="O167" s="9" t="s">
        <v>284</v>
      </c>
      <c r="P167" s="9" t="s">
        <v>277</v>
      </c>
      <c r="Q167" s="9" t="s">
        <v>28</v>
      </c>
      <c r="R167" s="9" t="s">
        <v>29</v>
      </c>
      <c r="S167">
        <v>0</v>
      </c>
      <c r="T167">
        <v>27</v>
      </c>
      <c r="U167" s="9" t="s">
        <v>285</v>
      </c>
      <c r="V167" s="9" t="s">
        <v>756</v>
      </c>
      <c r="W167">
        <v>27</v>
      </c>
      <c r="X167" s="9" t="s">
        <v>757</v>
      </c>
      <c r="Y167">
        <v>289</v>
      </c>
      <c r="Z167" s="9" t="s">
        <v>754</v>
      </c>
      <c r="AA167" s="9" t="s">
        <v>56</v>
      </c>
      <c r="AB167" s="9" t="s">
        <v>286</v>
      </c>
      <c r="AC167" s="9" t="s">
        <v>6</v>
      </c>
      <c r="AD167" s="9" t="s">
        <v>276</v>
      </c>
      <c r="AE167" s="9">
        <f>IF(Table5[[#This Row],[Team_Name]]=Table5[[#This Row],[Correct_Winner]],1,0)</f>
        <v>0</v>
      </c>
    </row>
    <row r="168" spans="1:31" x14ac:dyDescent="0.3">
      <c r="A168" s="9" t="s">
        <v>274</v>
      </c>
      <c r="B168">
        <v>2019</v>
      </c>
      <c r="C168" s="9" t="s">
        <v>212</v>
      </c>
      <c r="D168" s="9" t="s">
        <v>755</v>
      </c>
      <c r="E168" s="9" t="s">
        <v>282</v>
      </c>
      <c r="F168" s="2" t="s">
        <v>142</v>
      </c>
      <c r="G168">
        <v>144</v>
      </c>
      <c r="H168">
        <v>8</v>
      </c>
      <c r="I168" t="str">
        <f>Clean_Data!$I168</f>
        <v>Dhaka Dynamites</v>
      </c>
      <c r="J168">
        <v>147</v>
      </c>
      <c r="K168">
        <v>3</v>
      </c>
      <c r="L168" s="9" t="s">
        <v>288</v>
      </c>
      <c r="M168" s="9" t="s">
        <v>280</v>
      </c>
      <c r="N168" s="9" t="s">
        <v>26</v>
      </c>
      <c r="O168" s="9" t="s">
        <v>289</v>
      </c>
      <c r="P168" s="9" t="s">
        <v>280</v>
      </c>
      <c r="Q168" s="9" t="s">
        <v>28</v>
      </c>
      <c r="R168" s="9" t="s">
        <v>29</v>
      </c>
      <c r="S168">
        <v>7</v>
      </c>
      <c r="T168">
        <v>0</v>
      </c>
      <c r="U168" s="9" t="s">
        <v>118</v>
      </c>
      <c r="V168" s="9" t="s">
        <v>752</v>
      </c>
      <c r="W168">
        <v>7</v>
      </c>
      <c r="X168" s="9" t="s">
        <v>753</v>
      </c>
      <c r="Y168">
        <v>291</v>
      </c>
      <c r="Z168" s="9" t="s">
        <v>754</v>
      </c>
      <c r="AA168" s="9" t="s">
        <v>278</v>
      </c>
      <c r="AB168" s="9" t="s">
        <v>50</v>
      </c>
      <c r="AC168" s="9" t="s">
        <v>3</v>
      </c>
      <c r="AD168" s="9" t="s">
        <v>287</v>
      </c>
      <c r="AE168" s="9">
        <f>IF(Table5[[#This Row],[Team_Name]]=Table5[[#This Row],[Correct_Winner]],1,0)</f>
        <v>0</v>
      </c>
    </row>
    <row r="169" spans="1:31" x14ac:dyDescent="0.3">
      <c r="A169" s="9" t="s">
        <v>274</v>
      </c>
      <c r="B169">
        <v>2019</v>
      </c>
      <c r="C169" s="9" t="s">
        <v>212</v>
      </c>
      <c r="D169" s="9" t="s">
        <v>755</v>
      </c>
      <c r="E169" s="9" t="s">
        <v>282</v>
      </c>
      <c r="F169" s="3" t="s">
        <v>199</v>
      </c>
      <c r="G169">
        <v>144</v>
      </c>
      <c r="H169">
        <v>8</v>
      </c>
      <c r="I169" t="str">
        <f>Clean_Data!$I169</f>
        <v>Khulna Titans</v>
      </c>
      <c r="J169">
        <v>147</v>
      </c>
      <c r="K169">
        <v>3</v>
      </c>
      <c r="L169" s="9" t="s">
        <v>288</v>
      </c>
      <c r="M169" s="9" t="s">
        <v>280</v>
      </c>
      <c r="N169" s="9" t="s">
        <v>26</v>
      </c>
      <c r="O169" s="9" t="s">
        <v>289</v>
      </c>
      <c r="P169" s="9" t="s">
        <v>280</v>
      </c>
      <c r="Q169" s="9" t="s">
        <v>28</v>
      </c>
      <c r="R169" s="9" t="s">
        <v>29</v>
      </c>
      <c r="S169">
        <v>7</v>
      </c>
      <c r="T169">
        <v>0</v>
      </c>
      <c r="U169" s="9" t="s">
        <v>118</v>
      </c>
      <c r="V169" s="9" t="s">
        <v>752</v>
      </c>
      <c r="W169">
        <v>7</v>
      </c>
      <c r="X169" s="9" t="s">
        <v>753</v>
      </c>
      <c r="Y169">
        <v>291</v>
      </c>
      <c r="Z169" s="9" t="s">
        <v>754</v>
      </c>
      <c r="AA169" s="9" t="s">
        <v>278</v>
      </c>
      <c r="AB169" s="9" t="s">
        <v>50</v>
      </c>
      <c r="AC169" s="9" t="s">
        <v>6</v>
      </c>
      <c r="AD169" s="9" t="s">
        <v>280</v>
      </c>
      <c r="AE169" s="9">
        <f>IF(Table5[[#This Row],[Team_Name]]=Table5[[#This Row],[Correct_Winner]],1,0)</f>
        <v>1</v>
      </c>
    </row>
    <row r="170" spans="1:31" x14ac:dyDescent="0.3">
      <c r="A170" s="9" t="s">
        <v>274</v>
      </c>
      <c r="B170">
        <v>2019</v>
      </c>
      <c r="C170" s="9" t="s">
        <v>106</v>
      </c>
      <c r="D170" s="9" t="s">
        <v>755</v>
      </c>
      <c r="E170" s="9" t="s">
        <v>290</v>
      </c>
      <c r="F170" s="2" t="s">
        <v>160</v>
      </c>
      <c r="G170">
        <v>205</v>
      </c>
      <c r="H170">
        <v>4</v>
      </c>
      <c r="I170" t="str">
        <f>Clean_Data!$I170</f>
        <v>Comilla Victorians</v>
      </c>
      <c r="J170">
        <v>207</v>
      </c>
      <c r="K170">
        <v>2</v>
      </c>
      <c r="L170" s="9" t="s">
        <v>291</v>
      </c>
      <c r="M170" s="9" t="s">
        <v>277</v>
      </c>
      <c r="N170" s="9" t="s">
        <v>26</v>
      </c>
      <c r="O170" s="9" t="s">
        <v>284</v>
      </c>
      <c r="P170" s="9" t="s">
        <v>277</v>
      </c>
      <c r="Q170" s="9" t="s">
        <v>28</v>
      </c>
      <c r="R170" s="9" t="s">
        <v>29</v>
      </c>
      <c r="S170">
        <v>8</v>
      </c>
      <c r="T170">
        <v>0</v>
      </c>
      <c r="U170" s="9" t="s">
        <v>30</v>
      </c>
      <c r="V170" s="9" t="s">
        <v>752</v>
      </c>
      <c r="W170">
        <v>8</v>
      </c>
      <c r="X170" s="9" t="s">
        <v>753</v>
      </c>
      <c r="Y170">
        <v>412</v>
      </c>
      <c r="Z170" s="9" t="s">
        <v>754</v>
      </c>
      <c r="AA170" s="9" t="s">
        <v>278</v>
      </c>
      <c r="AB170" s="9" t="s">
        <v>50</v>
      </c>
      <c r="AC170" s="9" t="s">
        <v>3</v>
      </c>
      <c r="AD170" s="9" t="s">
        <v>287</v>
      </c>
      <c r="AE170" s="9">
        <f>IF(Table5[[#This Row],[Team_Name]]=Table5[[#This Row],[Correct_Winner]],1,0)</f>
        <v>0</v>
      </c>
    </row>
    <row r="171" spans="1:31" x14ac:dyDescent="0.3">
      <c r="A171" s="9" t="s">
        <v>274</v>
      </c>
      <c r="B171">
        <v>2019</v>
      </c>
      <c r="C171" s="9" t="s">
        <v>106</v>
      </c>
      <c r="D171" s="9" t="s">
        <v>755</v>
      </c>
      <c r="E171" s="9" t="s">
        <v>290</v>
      </c>
      <c r="F171" s="3" t="s">
        <v>142</v>
      </c>
      <c r="G171">
        <v>205</v>
      </c>
      <c r="H171">
        <v>4</v>
      </c>
      <c r="I171" t="str">
        <f>Clean_Data!$I171</f>
        <v>Khulna Titans</v>
      </c>
      <c r="J171">
        <v>207</v>
      </c>
      <c r="K171">
        <v>2</v>
      </c>
      <c r="L171" s="9" t="s">
        <v>291</v>
      </c>
      <c r="M171" s="9" t="s">
        <v>277</v>
      </c>
      <c r="N171" s="9" t="s">
        <v>26</v>
      </c>
      <c r="O171" s="9" t="s">
        <v>284</v>
      </c>
      <c r="P171" s="9" t="s">
        <v>277</v>
      </c>
      <c r="Q171" s="9" t="s">
        <v>28</v>
      </c>
      <c r="R171" s="9" t="s">
        <v>29</v>
      </c>
      <c r="S171">
        <v>8</v>
      </c>
      <c r="T171">
        <v>0</v>
      </c>
      <c r="U171" s="9" t="s">
        <v>30</v>
      </c>
      <c r="V171" s="9" t="s">
        <v>752</v>
      </c>
      <c r="W171">
        <v>8</v>
      </c>
      <c r="X171" s="9" t="s">
        <v>753</v>
      </c>
      <c r="Y171">
        <v>412</v>
      </c>
      <c r="Z171" s="9" t="s">
        <v>754</v>
      </c>
      <c r="AA171" s="9" t="s">
        <v>278</v>
      </c>
      <c r="AB171" s="9" t="s">
        <v>50</v>
      </c>
      <c r="AC171" s="9" t="s">
        <v>6</v>
      </c>
      <c r="AD171" s="9" t="s">
        <v>277</v>
      </c>
      <c r="AE171" s="9">
        <f>IF(Table5[[#This Row],[Team_Name]]=Table5[[#This Row],[Correct_Winner]],1,0)</f>
        <v>1</v>
      </c>
    </row>
    <row r="172" spans="1:31" x14ac:dyDescent="0.3">
      <c r="A172" s="9" t="s">
        <v>274</v>
      </c>
      <c r="B172">
        <v>2019</v>
      </c>
      <c r="C172" s="9" t="s">
        <v>112</v>
      </c>
      <c r="D172" s="9" t="s">
        <v>755</v>
      </c>
      <c r="E172" s="9" t="s">
        <v>290</v>
      </c>
      <c r="F172" s="2" t="s">
        <v>199</v>
      </c>
      <c r="G172">
        <v>155</v>
      </c>
      <c r="H172">
        <v>5</v>
      </c>
      <c r="I172" t="str">
        <f>Clean_Data!$I172</f>
        <v>Rangpur Riders</v>
      </c>
      <c r="J172">
        <v>156</v>
      </c>
      <c r="K172">
        <v>2</v>
      </c>
      <c r="L172" s="9" t="s">
        <v>239</v>
      </c>
      <c r="M172" s="9" t="s">
        <v>276</v>
      </c>
      <c r="N172" s="9" t="s">
        <v>26</v>
      </c>
      <c r="O172" s="9" t="s">
        <v>64</v>
      </c>
      <c r="P172" s="9" t="s">
        <v>276</v>
      </c>
      <c r="Q172" s="9" t="s">
        <v>28</v>
      </c>
      <c r="R172" s="9" t="s">
        <v>29</v>
      </c>
      <c r="S172">
        <v>8</v>
      </c>
      <c r="T172">
        <v>0</v>
      </c>
      <c r="U172" s="9" t="s">
        <v>30</v>
      </c>
      <c r="V172" s="9" t="s">
        <v>752</v>
      </c>
      <c r="W172">
        <v>8</v>
      </c>
      <c r="X172" s="9" t="s">
        <v>753</v>
      </c>
      <c r="Y172">
        <v>311</v>
      </c>
      <c r="Z172" s="9" t="s">
        <v>754</v>
      </c>
      <c r="AA172" s="9" t="s">
        <v>286</v>
      </c>
      <c r="AB172" s="9" t="s">
        <v>225</v>
      </c>
      <c r="AC172" s="9" t="s">
        <v>3</v>
      </c>
      <c r="AD172" s="9" t="s">
        <v>280</v>
      </c>
      <c r="AE172" s="9">
        <f>IF(Table5[[#This Row],[Team_Name]]=Table5[[#This Row],[Correct_Winner]],1,0)</f>
        <v>0</v>
      </c>
    </row>
    <row r="173" spans="1:31" x14ac:dyDescent="0.3">
      <c r="A173" s="9" t="s">
        <v>274</v>
      </c>
      <c r="B173">
        <v>2019</v>
      </c>
      <c r="C173" s="9" t="s">
        <v>112</v>
      </c>
      <c r="D173" s="9" t="s">
        <v>755</v>
      </c>
      <c r="E173" s="9" t="s">
        <v>290</v>
      </c>
      <c r="F173" s="3" t="s">
        <v>179</v>
      </c>
      <c r="G173">
        <v>155</v>
      </c>
      <c r="H173">
        <v>5</v>
      </c>
      <c r="I173" t="str">
        <f>Clean_Data!$I173</f>
        <v>Barisal Bulls</v>
      </c>
      <c r="J173">
        <v>156</v>
      </c>
      <c r="K173">
        <v>2</v>
      </c>
      <c r="L173" s="9" t="s">
        <v>239</v>
      </c>
      <c r="M173" s="9" t="s">
        <v>276</v>
      </c>
      <c r="N173" s="9" t="s">
        <v>26</v>
      </c>
      <c r="O173" s="9" t="s">
        <v>64</v>
      </c>
      <c r="P173" s="9" t="s">
        <v>276</v>
      </c>
      <c r="Q173" s="9" t="s">
        <v>28</v>
      </c>
      <c r="R173" s="9" t="s">
        <v>29</v>
      </c>
      <c r="S173">
        <v>8</v>
      </c>
      <c r="T173">
        <v>0</v>
      </c>
      <c r="U173" s="9" t="s">
        <v>30</v>
      </c>
      <c r="V173" s="9" t="s">
        <v>752</v>
      </c>
      <c r="W173">
        <v>8</v>
      </c>
      <c r="X173" s="9" t="s">
        <v>753</v>
      </c>
      <c r="Y173">
        <v>311</v>
      </c>
      <c r="Z173" s="9" t="s">
        <v>754</v>
      </c>
      <c r="AA173" s="9" t="s">
        <v>286</v>
      </c>
      <c r="AB173" s="9" t="s">
        <v>225</v>
      </c>
      <c r="AC173" s="9" t="s">
        <v>6</v>
      </c>
      <c r="AD173" s="9" t="s">
        <v>276</v>
      </c>
      <c r="AE173" s="9">
        <f>IF(Table5[[#This Row],[Team_Name]]=Table5[[#This Row],[Correct_Winner]],1,0)</f>
        <v>1</v>
      </c>
    </row>
    <row r="174" spans="1:31" x14ac:dyDescent="0.3">
      <c r="A174" s="9" t="s">
        <v>274</v>
      </c>
      <c r="B174">
        <v>2019</v>
      </c>
      <c r="C174" s="9" t="s">
        <v>119</v>
      </c>
      <c r="D174" s="9" t="s">
        <v>755</v>
      </c>
      <c r="E174" s="9" t="s">
        <v>292</v>
      </c>
      <c r="F174" s="2" t="s">
        <v>206</v>
      </c>
      <c r="G174">
        <v>218</v>
      </c>
      <c r="H174">
        <v>2</v>
      </c>
      <c r="I174" t="str">
        <f>Clean_Data!$I174</f>
        <v>Rangpur Riders</v>
      </c>
      <c r="J174">
        <v>126</v>
      </c>
      <c r="K174">
        <v>9</v>
      </c>
      <c r="L174" s="9" t="s">
        <v>150</v>
      </c>
      <c r="M174" s="9" t="s">
        <v>293</v>
      </c>
      <c r="N174" s="9" t="s">
        <v>26</v>
      </c>
      <c r="O174" s="9" t="s">
        <v>284</v>
      </c>
      <c r="P174" s="9" t="s">
        <v>277</v>
      </c>
      <c r="Q174" s="9" t="s">
        <v>28</v>
      </c>
      <c r="R174" s="9" t="s">
        <v>29</v>
      </c>
      <c r="S174">
        <v>0</v>
      </c>
      <c r="T174">
        <v>92</v>
      </c>
      <c r="U174" s="9" t="s">
        <v>294</v>
      </c>
      <c r="V174" s="9" t="s">
        <v>756</v>
      </c>
      <c r="W174">
        <v>92</v>
      </c>
      <c r="X174" s="9" t="s">
        <v>757</v>
      </c>
      <c r="Y174">
        <v>344</v>
      </c>
      <c r="Z174" s="9" t="s">
        <v>754</v>
      </c>
      <c r="AA174" s="9" t="s">
        <v>56</v>
      </c>
      <c r="AB174" s="9" t="s">
        <v>286</v>
      </c>
      <c r="AC174" s="9" t="s">
        <v>3</v>
      </c>
      <c r="AD174" s="9" t="s">
        <v>277</v>
      </c>
      <c r="AE174" s="9">
        <f>IF(Table5[[#This Row],[Team_Name]]=Table5[[#This Row],[Correct_Winner]],1,0)</f>
        <v>1</v>
      </c>
    </row>
    <row r="175" spans="1:31" x14ac:dyDescent="0.3">
      <c r="A175" s="9" t="s">
        <v>274</v>
      </c>
      <c r="B175">
        <v>2019</v>
      </c>
      <c r="C175" s="9" t="s">
        <v>119</v>
      </c>
      <c r="D175" s="9" t="s">
        <v>755</v>
      </c>
      <c r="E175" s="9" t="s">
        <v>292</v>
      </c>
      <c r="F175" s="3" t="s">
        <v>143</v>
      </c>
      <c r="G175">
        <v>218</v>
      </c>
      <c r="H175">
        <v>2</v>
      </c>
      <c r="I175" t="str">
        <f>Clean_Data!$I175</f>
        <v>Chittagong Vikings</v>
      </c>
      <c r="J175">
        <v>126</v>
      </c>
      <c r="K175">
        <v>9</v>
      </c>
      <c r="L175" s="9" t="s">
        <v>150</v>
      </c>
      <c r="M175" s="9" t="s">
        <v>293</v>
      </c>
      <c r="N175" s="9" t="s">
        <v>26</v>
      </c>
      <c r="O175" s="9" t="s">
        <v>284</v>
      </c>
      <c r="P175" s="9" t="s">
        <v>277</v>
      </c>
      <c r="Q175" s="9" t="s">
        <v>28</v>
      </c>
      <c r="R175" s="9" t="s">
        <v>29</v>
      </c>
      <c r="S175">
        <v>0</v>
      </c>
      <c r="T175">
        <v>92</v>
      </c>
      <c r="U175" s="9" t="s">
        <v>294</v>
      </c>
      <c r="V175" s="9" t="s">
        <v>756</v>
      </c>
      <c r="W175">
        <v>92</v>
      </c>
      <c r="X175" s="9" t="s">
        <v>757</v>
      </c>
      <c r="Y175">
        <v>344</v>
      </c>
      <c r="Z175" s="9" t="s">
        <v>754</v>
      </c>
      <c r="AA175" s="9" t="s">
        <v>56</v>
      </c>
      <c r="AB175" s="9" t="s">
        <v>286</v>
      </c>
      <c r="AC175" s="9" t="s">
        <v>6</v>
      </c>
      <c r="AD175" s="9" t="s">
        <v>293</v>
      </c>
      <c r="AE175" s="9">
        <f>IF(Table5[[#This Row],[Team_Name]]=Table5[[#This Row],[Correct_Winner]],1,0)</f>
        <v>0</v>
      </c>
    </row>
    <row r="176" spans="1:31" x14ac:dyDescent="0.3">
      <c r="A176" s="9" t="s">
        <v>274</v>
      </c>
      <c r="B176">
        <v>2019</v>
      </c>
      <c r="C176" s="9" t="s">
        <v>129</v>
      </c>
      <c r="D176" s="9" t="s">
        <v>755</v>
      </c>
      <c r="E176" s="9" t="s">
        <v>292</v>
      </c>
      <c r="F176" s="2" t="s">
        <v>160</v>
      </c>
      <c r="G176">
        <v>149</v>
      </c>
      <c r="H176">
        <v>9</v>
      </c>
      <c r="I176" t="str">
        <f>Clean_Data!$I176</f>
        <v>Rajshahi Kings</v>
      </c>
      <c r="J176">
        <v>138</v>
      </c>
      <c r="K176">
        <v>9</v>
      </c>
      <c r="L176" s="9" t="s">
        <v>296</v>
      </c>
      <c r="M176" s="9" t="s">
        <v>287</v>
      </c>
      <c r="N176" s="9" t="s">
        <v>26</v>
      </c>
      <c r="O176" s="9" t="s">
        <v>297</v>
      </c>
      <c r="P176" s="9" t="s">
        <v>295</v>
      </c>
      <c r="Q176" s="9" t="s">
        <v>28</v>
      </c>
      <c r="R176" s="9" t="s">
        <v>29</v>
      </c>
      <c r="S176">
        <v>0</v>
      </c>
      <c r="T176">
        <v>11</v>
      </c>
      <c r="U176" s="9" t="s">
        <v>273</v>
      </c>
      <c r="V176" s="9" t="s">
        <v>756</v>
      </c>
      <c r="W176">
        <v>11</v>
      </c>
      <c r="X176" s="9" t="s">
        <v>757</v>
      </c>
      <c r="Y176">
        <v>287</v>
      </c>
      <c r="Z176" s="9" t="s">
        <v>754</v>
      </c>
      <c r="AA176" s="9" t="s">
        <v>278</v>
      </c>
      <c r="AB176" s="9" t="s">
        <v>225</v>
      </c>
      <c r="AC176" s="9" t="s">
        <v>3</v>
      </c>
      <c r="AD176" s="9" t="s">
        <v>295</v>
      </c>
      <c r="AE176" s="9">
        <f>IF(Table5[[#This Row],[Team_Name]]=Table5[[#This Row],[Correct_Winner]],1,0)</f>
        <v>1</v>
      </c>
    </row>
    <row r="177" spans="1:31" x14ac:dyDescent="0.3">
      <c r="A177" s="9" t="s">
        <v>274</v>
      </c>
      <c r="B177">
        <v>2019</v>
      </c>
      <c r="C177" s="9" t="s">
        <v>129</v>
      </c>
      <c r="D177" s="9" t="s">
        <v>755</v>
      </c>
      <c r="E177" s="9" t="s">
        <v>292</v>
      </c>
      <c r="F177" s="3" t="s">
        <v>206</v>
      </c>
      <c r="G177">
        <v>149</v>
      </c>
      <c r="H177">
        <v>9</v>
      </c>
      <c r="I177" t="str">
        <f>Clean_Data!$I177</f>
        <v>Barisal Bulls</v>
      </c>
      <c r="J177">
        <v>138</v>
      </c>
      <c r="K177">
        <v>9</v>
      </c>
      <c r="L177" s="9" t="s">
        <v>296</v>
      </c>
      <c r="M177" s="9" t="s">
        <v>287</v>
      </c>
      <c r="N177" s="9" t="s">
        <v>26</v>
      </c>
      <c r="O177" s="9" t="s">
        <v>297</v>
      </c>
      <c r="P177" s="9" t="s">
        <v>295</v>
      </c>
      <c r="Q177" s="9" t="s">
        <v>28</v>
      </c>
      <c r="R177" s="9" t="s">
        <v>29</v>
      </c>
      <c r="S177">
        <v>0</v>
      </c>
      <c r="T177">
        <v>11</v>
      </c>
      <c r="U177" s="9" t="s">
        <v>273</v>
      </c>
      <c r="V177" s="9" t="s">
        <v>756</v>
      </c>
      <c r="W177">
        <v>11</v>
      </c>
      <c r="X177" s="9" t="s">
        <v>757</v>
      </c>
      <c r="Y177">
        <v>287</v>
      </c>
      <c r="Z177" s="9" t="s">
        <v>754</v>
      </c>
      <c r="AA177" s="9" t="s">
        <v>278</v>
      </c>
      <c r="AB177" s="9" t="s">
        <v>225</v>
      </c>
      <c r="AC177" s="9" t="s">
        <v>6</v>
      </c>
      <c r="AD177" s="9" t="s">
        <v>287</v>
      </c>
      <c r="AE177" s="9">
        <f>IF(Table5[[#This Row],[Team_Name]]=Table5[[#This Row],[Correct_Winner]],1,0)</f>
        <v>0</v>
      </c>
    </row>
    <row r="178" spans="1:31" x14ac:dyDescent="0.3">
      <c r="A178" s="9" t="s">
        <v>274</v>
      </c>
      <c r="B178">
        <v>2019</v>
      </c>
      <c r="C178" s="9" t="s">
        <v>136</v>
      </c>
      <c r="D178" s="9" t="s">
        <v>755</v>
      </c>
      <c r="E178" s="9" t="s">
        <v>298</v>
      </c>
      <c r="F178" s="2" t="s">
        <v>143</v>
      </c>
      <c r="G178">
        <v>145</v>
      </c>
      <c r="H178">
        <v>9</v>
      </c>
      <c r="I178" t="str">
        <f>Clean_Data!$I178</f>
        <v>Rajshahi Kings</v>
      </c>
      <c r="J178">
        <v>84</v>
      </c>
      <c r="K178">
        <v>10</v>
      </c>
      <c r="L178" s="9" t="s">
        <v>299</v>
      </c>
      <c r="M178" s="9" t="s">
        <v>295</v>
      </c>
      <c r="N178" s="9" t="s">
        <v>26</v>
      </c>
      <c r="O178" s="9" t="s">
        <v>300</v>
      </c>
      <c r="P178" s="9" t="s">
        <v>287</v>
      </c>
      <c r="Q178" s="9" t="s">
        <v>28</v>
      </c>
      <c r="R178" s="9" t="s">
        <v>29</v>
      </c>
      <c r="S178">
        <v>0</v>
      </c>
      <c r="T178">
        <v>61</v>
      </c>
      <c r="U178" s="9" t="s">
        <v>301</v>
      </c>
      <c r="V178" s="9" t="s">
        <v>756</v>
      </c>
      <c r="W178">
        <v>61</v>
      </c>
      <c r="X178" s="9" t="s">
        <v>757</v>
      </c>
      <c r="Y178">
        <v>229</v>
      </c>
      <c r="Z178" s="9" t="s">
        <v>754</v>
      </c>
      <c r="AA178" s="9" t="s">
        <v>50</v>
      </c>
      <c r="AB178" s="9" t="s">
        <v>286</v>
      </c>
      <c r="AC178" s="9" t="s">
        <v>3</v>
      </c>
      <c r="AD178" s="9" t="s">
        <v>287</v>
      </c>
      <c r="AE178" s="9">
        <f>IF(Table5[[#This Row],[Team_Name]]=Table5[[#This Row],[Correct_Winner]],1,0)</f>
        <v>1</v>
      </c>
    </row>
    <row r="179" spans="1:31" x14ac:dyDescent="0.3">
      <c r="A179" s="9" t="s">
        <v>274</v>
      </c>
      <c r="B179">
        <v>2019</v>
      </c>
      <c r="C179" s="9" t="s">
        <v>136</v>
      </c>
      <c r="D179" s="9" t="s">
        <v>755</v>
      </c>
      <c r="E179" s="9" t="s">
        <v>298</v>
      </c>
      <c r="F179" s="3" t="s">
        <v>206</v>
      </c>
      <c r="G179">
        <v>145</v>
      </c>
      <c r="H179">
        <v>9</v>
      </c>
      <c r="I179" t="str">
        <f>Clean_Data!$I179</f>
        <v>Dhaka Dynamites</v>
      </c>
      <c r="J179">
        <v>84</v>
      </c>
      <c r="K179">
        <v>10</v>
      </c>
      <c r="L179" s="9" t="s">
        <v>299</v>
      </c>
      <c r="M179" s="9" t="s">
        <v>295</v>
      </c>
      <c r="N179" s="9" t="s">
        <v>26</v>
      </c>
      <c r="O179" s="9" t="s">
        <v>300</v>
      </c>
      <c r="P179" s="9" t="s">
        <v>287</v>
      </c>
      <c r="Q179" s="9" t="s">
        <v>28</v>
      </c>
      <c r="R179" s="9" t="s">
        <v>29</v>
      </c>
      <c r="S179">
        <v>0</v>
      </c>
      <c r="T179">
        <v>61</v>
      </c>
      <c r="U179" s="9" t="s">
        <v>301</v>
      </c>
      <c r="V179" s="9" t="s">
        <v>756</v>
      </c>
      <c r="W179">
        <v>61</v>
      </c>
      <c r="X179" s="9" t="s">
        <v>757</v>
      </c>
      <c r="Y179">
        <v>229</v>
      </c>
      <c r="Z179" s="9" t="s">
        <v>754</v>
      </c>
      <c r="AA179" s="9" t="s">
        <v>50</v>
      </c>
      <c r="AB179" s="9" t="s">
        <v>286</v>
      </c>
      <c r="AC179" s="9" t="s">
        <v>6</v>
      </c>
      <c r="AD179" s="9" t="s">
        <v>295</v>
      </c>
      <c r="AE179" s="9">
        <f>IF(Table5[[#This Row],[Team_Name]]=Table5[[#This Row],[Correct_Winner]],1,0)</f>
        <v>0</v>
      </c>
    </row>
    <row r="180" spans="1:31" x14ac:dyDescent="0.3">
      <c r="A180" s="9" t="s">
        <v>274</v>
      </c>
      <c r="B180">
        <v>2019</v>
      </c>
      <c r="C180" s="9" t="s">
        <v>224</v>
      </c>
      <c r="D180" s="9" t="s">
        <v>755</v>
      </c>
      <c r="E180" s="9" t="s">
        <v>298</v>
      </c>
      <c r="F180" s="2" t="s">
        <v>143</v>
      </c>
      <c r="G180">
        <v>179</v>
      </c>
      <c r="H180">
        <v>2</v>
      </c>
      <c r="I180" t="str">
        <f>Clean_Data!$I180</f>
        <v>Rangpur Riders</v>
      </c>
      <c r="J180">
        <v>145</v>
      </c>
      <c r="K180">
        <v>10</v>
      </c>
      <c r="L180" s="9" t="s">
        <v>302</v>
      </c>
      <c r="M180" s="9" t="s">
        <v>293</v>
      </c>
      <c r="N180" s="9" t="s">
        <v>26</v>
      </c>
      <c r="O180" s="9" t="s">
        <v>284</v>
      </c>
      <c r="P180" s="9" t="s">
        <v>277</v>
      </c>
      <c r="Q180" s="9" t="s">
        <v>28</v>
      </c>
      <c r="R180" s="9" t="s">
        <v>29</v>
      </c>
      <c r="S180">
        <v>0</v>
      </c>
      <c r="T180">
        <v>34</v>
      </c>
      <c r="U180" s="9" t="s">
        <v>303</v>
      </c>
      <c r="V180" s="9" t="s">
        <v>756</v>
      </c>
      <c r="W180">
        <v>34</v>
      </c>
      <c r="X180" s="9" t="s">
        <v>757</v>
      </c>
      <c r="Y180">
        <v>324</v>
      </c>
      <c r="Z180" s="9" t="s">
        <v>754</v>
      </c>
      <c r="AA180" s="9" t="s">
        <v>278</v>
      </c>
      <c r="AB180" s="9" t="s">
        <v>56</v>
      </c>
      <c r="AC180" s="9" t="s">
        <v>3</v>
      </c>
      <c r="AD180" s="9" t="s">
        <v>277</v>
      </c>
      <c r="AE180" s="9">
        <f>IF(Table5[[#This Row],[Team_Name]]=Table5[[#This Row],[Correct_Winner]],1,0)</f>
        <v>1</v>
      </c>
    </row>
    <row r="181" spans="1:31" x14ac:dyDescent="0.3">
      <c r="A181" s="9" t="s">
        <v>274</v>
      </c>
      <c r="B181">
        <v>2019</v>
      </c>
      <c r="C181" s="9" t="s">
        <v>224</v>
      </c>
      <c r="D181" s="9" t="s">
        <v>755</v>
      </c>
      <c r="E181" s="9" t="s">
        <v>298</v>
      </c>
      <c r="F181" s="3" t="s">
        <v>179</v>
      </c>
      <c r="G181">
        <v>179</v>
      </c>
      <c r="H181">
        <v>2</v>
      </c>
      <c r="I181" t="str">
        <f>Clean_Data!$I181</f>
        <v>Rajshahi Kings</v>
      </c>
      <c r="J181">
        <v>145</v>
      </c>
      <c r="K181">
        <v>10</v>
      </c>
      <c r="L181" s="9" t="s">
        <v>302</v>
      </c>
      <c r="M181" s="9" t="s">
        <v>293</v>
      </c>
      <c r="N181" s="9" t="s">
        <v>26</v>
      </c>
      <c r="O181" s="9" t="s">
        <v>284</v>
      </c>
      <c r="P181" s="9" t="s">
        <v>277</v>
      </c>
      <c r="Q181" s="9" t="s">
        <v>28</v>
      </c>
      <c r="R181" s="9" t="s">
        <v>29</v>
      </c>
      <c r="S181">
        <v>0</v>
      </c>
      <c r="T181">
        <v>34</v>
      </c>
      <c r="U181" s="9" t="s">
        <v>303</v>
      </c>
      <c r="V181" s="9" t="s">
        <v>756</v>
      </c>
      <c r="W181">
        <v>34</v>
      </c>
      <c r="X181" s="9" t="s">
        <v>757</v>
      </c>
      <c r="Y181">
        <v>324</v>
      </c>
      <c r="Z181" s="9" t="s">
        <v>754</v>
      </c>
      <c r="AA181" s="9" t="s">
        <v>278</v>
      </c>
      <c r="AB181" s="9" t="s">
        <v>56</v>
      </c>
      <c r="AC181" s="9" t="s">
        <v>6</v>
      </c>
      <c r="AD181" s="9" t="s">
        <v>293</v>
      </c>
      <c r="AE181" s="9">
        <f>IF(Table5[[#This Row],[Team_Name]]=Table5[[#This Row],[Correct_Winner]],1,0)</f>
        <v>0</v>
      </c>
    </row>
    <row r="182" spans="1:31" x14ac:dyDescent="0.3">
      <c r="A182" s="9" t="s">
        <v>304</v>
      </c>
      <c r="B182">
        <v>2021</v>
      </c>
      <c r="C182" s="9" t="s">
        <v>110</v>
      </c>
      <c r="D182" s="9" t="s">
        <v>755</v>
      </c>
      <c r="E182" s="9" t="s">
        <v>305</v>
      </c>
      <c r="F182" s="2" t="s">
        <v>113</v>
      </c>
      <c r="G182">
        <v>138</v>
      </c>
      <c r="H182">
        <v>8</v>
      </c>
      <c r="I182" t="str">
        <f>Clean_Data!$I182</f>
        <v>Barisal Bulls</v>
      </c>
      <c r="J182">
        <v>148</v>
      </c>
      <c r="K182">
        <v>1</v>
      </c>
      <c r="L182" s="9" t="s">
        <v>306</v>
      </c>
      <c r="M182" s="9" t="s">
        <v>143</v>
      </c>
      <c r="N182" s="9" t="s">
        <v>26</v>
      </c>
      <c r="O182" s="9" t="s">
        <v>145</v>
      </c>
      <c r="P182" s="9" t="s">
        <v>143</v>
      </c>
      <c r="Q182" s="9" t="s">
        <v>28</v>
      </c>
      <c r="R182" s="9" t="s">
        <v>29</v>
      </c>
      <c r="S182">
        <v>9</v>
      </c>
      <c r="T182">
        <v>0</v>
      </c>
      <c r="U182" s="9" t="s">
        <v>71</v>
      </c>
      <c r="V182" s="9" t="s">
        <v>752</v>
      </c>
      <c r="W182">
        <v>9</v>
      </c>
      <c r="X182" s="9" t="s">
        <v>753</v>
      </c>
      <c r="Y182">
        <v>286</v>
      </c>
      <c r="Z182" s="9" t="s">
        <v>754</v>
      </c>
      <c r="AA182" s="9" t="s">
        <v>50</v>
      </c>
      <c r="AB182" s="9" t="s">
        <v>286</v>
      </c>
      <c r="AC182" s="9" t="s">
        <v>3</v>
      </c>
      <c r="AD182" s="9" t="s">
        <v>280</v>
      </c>
      <c r="AE182" s="9">
        <f>IF(Table5[[#This Row],[Team_Name]]=Table5[[#This Row],[Correct_Winner]],1,0)</f>
        <v>0</v>
      </c>
    </row>
    <row r="183" spans="1:31" x14ac:dyDescent="0.3">
      <c r="A183" s="9" t="s">
        <v>304</v>
      </c>
      <c r="B183">
        <v>2021</v>
      </c>
      <c r="C183" s="9" t="s">
        <v>110</v>
      </c>
      <c r="D183" s="9" t="s">
        <v>755</v>
      </c>
      <c r="E183" s="9" t="s">
        <v>305</v>
      </c>
      <c r="F183" s="3" t="s">
        <v>160</v>
      </c>
      <c r="G183">
        <v>138</v>
      </c>
      <c r="H183">
        <v>8</v>
      </c>
      <c r="I183" t="str">
        <f>Clean_Data!$I183</f>
        <v>Chittagong Vikings</v>
      </c>
      <c r="J183">
        <v>148</v>
      </c>
      <c r="K183">
        <v>1</v>
      </c>
      <c r="L183" s="9" t="s">
        <v>306</v>
      </c>
      <c r="M183" s="9" t="s">
        <v>143</v>
      </c>
      <c r="N183" s="9" t="s">
        <v>26</v>
      </c>
      <c r="O183" s="9" t="s">
        <v>145</v>
      </c>
      <c r="P183" s="9" t="s">
        <v>143</v>
      </c>
      <c r="Q183" s="9" t="s">
        <v>28</v>
      </c>
      <c r="R183" s="9" t="s">
        <v>29</v>
      </c>
      <c r="S183">
        <v>9</v>
      </c>
      <c r="T183">
        <v>0</v>
      </c>
      <c r="U183" s="9" t="s">
        <v>71</v>
      </c>
      <c r="V183" s="9" t="s">
        <v>752</v>
      </c>
      <c r="W183">
        <v>9</v>
      </c>
      <c r="X183" s="9" t="s">
        <v>753</v>
      </c>
      <c r="Y183">
        <v>286</v>
      </c>
      <c r="Z183" s="9" t="s">
        <v>754</v>
      </c>
      <c r="AA183" s="9" t="s">
        <v>50</v>
      </c>
      <c r="AB183" s="9" t="s">
        <v>286</v>
      </c>
      <c r="AC183" s="9" t="s">
        <v>6</v>
      </c>
      <c r="AD183" s="9" t="s">
        <v>143</v>
      </c>
      <c r="AE183" s="9">
        <f>IF(Table5[[#This Row],[Team_Name]]=Table5[[#This Row],[Correct_Winner]],1,0)</f>
        <v>1</v>
      </c>
    </row>
    <row r="184" spans="1:31" x14ac:dyDescent="0.3">
      <c r="A184" s="9" t="s">
        <v>304</v>
      </c>
      <c r="B184">
        <v>2021</v>
      </c>
      <c r="C184" s="9" t="s">
        <v>116</v>
      </c>
      <c r="D184" s="9" t="s">
        <v>755</v>
      </c>
      <c r="E184" s="9" t="s">
        <v>305</v>
      </c>
      <c r="F184" s="2" t="s">
        <v>160</v>
      </c>
      <c r="G184">
        <v>142</v>
      </c>
      <c r="H184">
        <v>5</v>
      </c>
      <c r="I184" t="str">
        <f>Clean_Data!$I184</f>
        <v>Comilla Victorians</v>
      </c>
      <c r="J184">
        <v>144</v>
      </c>
      <c r="K184">
        <v>1</v>
      </c>
      <c r="L184" s="9" t="s">
        <v>308</v>
      </c>
      <c r="M184" s="9" t="s">
        <v>277</v>
      </c>
      <c r="N184" s="9" t="s">
        <v>26</v>
      </c>
      <c r="O184" s="9" t="s">
        <v>284</v>
      </c>
      <c r="P184" s="9" t="s">
        <v>277</v>
      </c>
      <c r="Q184" s="9" t="s">
        <v>28</v>
      </c>
      <c r="R184" s="9" t="s">
        <v>29</v>
      </c>
      <c r="S184">
        <v>9</v>
      </c>
      <c r="T184">
        <v>0</v>
      </c>
      <c r="U184" s="9" t="s">
        <v>71</v>
      </c>
      <c r="V184" s="9" t="s">
        <v>752</v>
      </c>
      <c r="W184">
        <v>9</v>
      </c>
      <c r="X184" s="9" t="s">
        <v>753</v>
      </c>
      <c r="Y184">
        <v>286</v>
      </c>
      <c r="Z184" s="9" t="s">
        <v>754</v>
      </c>
      <c r="AA184" s="9" t="s">
        <v>66</v>
      </c>
      <c r="AB184" s="9" t="s">
        <v>216</v>
      </c>
      <c r="AC184" s="9" t="s">
        <v>3</v>
      </c>
      <c r="AD184" s="9" t="s">
        <v>307</v>
      </c>
      <c r="AE184" s="9">
        <f>IF(Table5[[#This Row],[Team_Name]]=Table5[[#This Row],[Correct_Winner]],1,0)</f>
        <v>0</v>
      </c>
    </row>
    <row r="185" spans="1:31" x14ac:dyDescent="0.3">
      <c r="A185" s="9" t="s">
        <v>304</v>
      </c>
      <c r="B185">
        <v>2021</v>
      </c>
      <c r="C185" s="9" t="s">
        <v>116</v>
      </c>
      <c r="D185" s="9" t="s">
        <v>755</v>
      </c>
      <c r="E185" s="9" t="s">
        <v>305</v>
      </c>
      <c r="F185" s="3" t="s">
        <v>179</v>
      </c>
      <c r="G185">
        <v>142</v>
      </c>
      <c r="H185">
        <v>5</v>
      </c>
      <c r="I185" t="str">
        <f>Clean_Data!$I185</f>
        <v>Barisal Bulls</v>
      </c>
      <c r="J185">
        <v>144</v>
      </c>
      <c r="K185">
        <v>1</v>
      </c>
      <c r="L185" s="9" t="s">
        <v>308</v>
      </c>
      <c r="M185" s="9" t="s">
        <v>277</v>
      </c>
      <c r="N185" s="9" t="s">
        <v>26</v>
      </c>
      <c r="O185" s="9" t="s">
        <v>284</v>
      </c>
      <c r="P185" s="9" t="s">
        <v>277</v>
      </c>
      <c r="Q185" s="9" t="s">
        <v>28</v>
      </c>
      <c r="R185" s="9" t="s">
        <v>29</v>
      </c>
      <c r="S185">
        <v>9</v>
      </c>
      <c r="T185">
        <v>0</v>
      </c>
      <c r="U185" s="9" t="s">
        <v>71</v>
      </c>
      <c r="V185" s="9" t="s">
        <v>752</v>
      </c>
      <c r="W185">
        <v>9</v>
      </c>
      <c r="X185" s="9" t="s">
        <v>753</v>
      </c>
      <c r="Y185">
        <v>286</v>
      </c>
      <c r="Z185" s="9" t="s">
        <v>754</v>
      </c>
      <c r="AA185" s="9" t="s">
        <v>66</v>
      </c>
      <c r="AB185" s="9" t="s">
        <v>216</v>
      </c>
      <c r="AC185" s="9" t="s">
        <v>6</v>
      </c>
      <c r="AD185" s="9" t="s">
        <v>277</v>
      </c>
      <c r="AE185" s="9">
        <f>IF(Table5[[#This Row],[Team_Name]]=Table5[[#This Row],[Correct_Winner]],1,0)</f>
        <v>1</v>
      </c>
    </row>
    <row r="186" spans="1:31" x14ac:dyDescent="0.3">
      <c r="A186" s="9" t="s">
        <v>304</v>
      </c>
      <c r="B186">
        <v>2021</v>
      </c>
      <c r="C186" s="9" t="s">
        <v>123</v>
      </c>
      <c r="D186" s="9" t="s">
        <v>755</v>
      </c>
      <c r="E186" s="9" t="s">
        <v>309</v>
      </c>
      <c r="F186" s="2" t="s">
        <v>206</v>
      </c>
      <c r="G186">
        <v>149</v>
      </c>
      <c r="H186">
        <v>10</v>
      </c>
      <c r="I186" t="str">
        <f>Clean_Data!$I186</f>
        <v>Comilla Victorians</v>
      </c>
      <c r="J186">
        <v>135</v>
      </c>
      <c r="K186">
        <v>10</v>
      </c>
      <c r="L186" s="9" t="s">
        <v>108</v>
      </c>
      <c r="M186" s="9" t="s">
        <v>310</v>
      </c>
      <c r="N186" s="9" t="s">
        <v>37</v>
      </c>
      <c r="O186" s="9" t="s">
        <v>311</v>
      </c>
      <c r="P186" s="9" t="s">
        <v>310</v>
      </c>
      <c r="Q186" s="9" t="s">
        <v>88</v>
      </c>
      <c r="R186" s="9" t="s">
        <v>89</v>
      </c>
      <c r="S186">
        <v>0</v>
      </c>
      <c r="T186">
        <v>14</v>
      </c>
      <c r="U186" s="9" t="s">
        <v>135</v>
      </c>
      <c r="V186" s="9" t="s">
        <v>756</v>
      </c>
      <c r="W186">
        <v>14</v>
      </c>
      <c r="X186" s="9" t="s">
        <v>757</v>
      </c>
      <c r="Y186">
        <v>284</v>
      </c>
      <c r="Z186" s="9" t="s">
        <v>754</v>
      </c>
      <c r="AA186" s="9" t="s">
        <v>50</v>
      </c>
      <c r="AB186" s="9" t="s">
        <v>66</v>
      </c>
      <c r="AC186" s="9" t="s">
        <v>3</v>
      </c>
      <c r="AD186" s="9" t="s">
        <v>310</v>
      </c>
      <c r="AE186" s="9">
        <f>IF(Table5[[#This Row],[Team_Name]]=Table5[[#This Row],[Correct_Winner]],1,0)</f>
        <v>1</v>
      </c>
    </row>
    <row r="187" spans="1:31" x14ac:dyDescent="0.3">
      <c r="A187" s="9" t="s">
        <v>304</v>
      </c>
      <c r="B187">
        <v>2021</v>
      </c>
      <c r="C187" s="9" t="s">
        <v>123</v>
      </c>
      <c r="D187" s="9" t="s">
        <v>755</v>
      </c>
      <c r="E187" s="9" t="s">
        <v>309</v>
      </c>
      <c r="F187" s="3" t="s">
        <v>142</v>
      </c>
      <c r="G187">
        <v>149</v>
      </c>
      <c r="H187">
        <v>10</v>
      </c>
      <c r="I187" t="str">
        <f>Clean_Data!$I187</f>
        <v>Rajshahi Kings</v>
      </c>
      <c r="J187">
        <v>135</v>
      </c>
      <c r="K187">
        <v>10</v>
      </c>
      <c r="L187" s="9" t="s">
        <v>108</v>
      </c>
      <c r="M187" s="9" t="s">
        <v>310</v>
      </c>
      <c r="N187" s="9" t="s">
        <v>37</v>
      </c>
      <c r="O187" s="9" t="s">
        <v>311</v>
      </c>
      <c r="P187" s="9" t="s">
        <v>310</v>
      </c>
      <c r="Q187" s="9" t="s">
        <v>88</v>
      </c>
      <c r="R187" s="9" t="s">
        <v>89</v>
      </c>
      <c r="S187">
        <v>0</v>
      </c>
      <c r="T187">
        <v>14</v>
      </c>
      <c r="U187" s="9" t="s">
        <v>135</v>
      </c>
      <c r="V187" s="9" t="s">
        <v>756</v>
      </c>
      <c r="W187">
        <v>14</v>
      </c>
      <c r="X187" s="9" t="s">
        <v>757</v>
      </c>
      <c r="Y187">
        <v>284</v>
      </c>
      <c r="Z187" s="9" t="s">
        <v>754</v>
      </c>
      <c r="AA187" s="9" t="s">
        <v>50</v>
      </c>
      <c r="AB187" s="9" t="s">
        <v>66</v>
      </c>
      <c r="AC187" s="9" t="s">
        <v>6</v>
      </c>
      <c r="AD187" s="9" t="s">
        <v>280</v>
      </c>
      <c r="AE187" s="9">
        <f>IF(Table5[[#This Row],[Team_Name]]=Table5[[#This Row],[Correct_Winner]],1,0)</f>
        <v>0</v>
      </c>
    </row>
    <row r="188" spans="1:31" x14ac:dyDescent="0.3">
      <c r="A188" s="9" t="s">
        <v>304</v>
      </c>
      <c r="B188">
        <v>2021</v>
      </c>
      <c r="C188" s="9" t="s">
        <v>126</v>
      </c>
      <c r="D188" s="9" t="s">
        <v>755</v>
      </c>
      <c r="E188" s="9" t="s">
        <v>309</v>
      </c>
      <c r="F188" s="2" t="s">
        <v>160</v>
      </c>
      <c r="G188">
        <v>181</v>
      </c>
      <c r="H188">
        <v>6</v>
      </c>
      <c r="I188" t="str">
        <f>Clean_Data!$I188</f>
        <v>Rangpur Riders</v>
      </c>
      <c r="J188">
        <v>131</v>
      </c>
      <c r="K188">
        <v>10</v>
      </c>
      <c r="L188" s="9" t="s">
        <v>157</v>
      </c>
      <c r="M188" s="9" t="s">
        <v>143</v>
      </c>
      <c r="N188" s="9" t="s">
        <v>26</v>
      </c>
      <c r="O188" s="9" t="s">
        <v>27</v>
      </c>
      <c r="P188" s="9" t="s">
        <v>312</v>
      </c>
      <c r="Q188" s="9" t="s">
        <v>88</v>
      </c>
      <c r="R188" s="9" t="s">
        <v>89</v>
      </c>
      <c r="S188">
        <v>0</v>
      </c>
      <c r="T188">
        <v>50</v>
      </c>
      <c r="U188" s="9" t="s">
        <v>313</v>
      </c>
      <c r="V188" s="9" t="s">
        <v>756</v>
      </c>
      <c r="W188">
        <v>50</v>
      </c>
      <c r="X188" s="9" t="s">
        <v>757</v>
      </c>
      <c r="Y188">
        <v>312</v>
      </c>
      <c r="Z188" s="9" t="s">
        <v>754</v>
      </c>
      <c r="AA188" s="9" t="s">
        <v>286</v>
      </c>
      <c r="AB188" s="9" t="s">
        <v>225</v>
      </c>
      <c r="AC188" s="9" t="s">
        <v>3</v>
      </c>
      <c r="AD188" s="9" t="s">
        <v>312</v>
      </c>
      <c r="AE188" s="9">
        <f>IF(Table5[[#This Row],[Team_Name]]=Table5[[#This Row],[Correct_Winner]],1,0)</f>
        <v>1</v>
      </c>
    </row>
    <row r="189" spans="1:31" x14ac:dyDescent="0.3">
      <c r="A189" s="9" t="s">
        <v>304</v>
      </c>
      <c r="B189">
        <v>2021</v>
      </c>
      <c r="C189" s="9" t="s">
        <v>126</v>
      </c>
      <c r="D189" s="9" t="s">
        <v>755</v>
      </c>
      <c r="E189" s="9" t="s">
        <v>309</v>
      </c>
      <c r="F189" s="3" t="s">
        <v>206</v>
      </c>
      <c r="G189">
        <v>181</v>
      </c>
      <c r="H189">
        <v>6</v>
      </c>
      <c r="I189" t="str">
        <f>Clean_Data!$I189</f>
        <v>Chittagong Vikings</v>
      </c>
      <c r="J189">
        <v>131</v>
      </c>
      <c r="K189">
        <v>10</v>
      </c>
      <c r="L189" s="9" t="s">
        <v>157</v>
      </c>
      <c r="M189" s="9" t="s">
        <v>143</v>
      </c>
      <c r="N189" s="9" t="s">
        <v>26</v>
      </c>
      <c r="O189" s="9" t="s">
        <v>27</v>
      </c>
      <c r="P189" s="9" t="s">
        <v>312</v>
      </c>
      <c r="Q189" s="9" t="s">
        <v>88</v>
      </c>
      <c r="R189" s="9" t="s">
        <v>89</v>
      </c>
      <c r="S189">
        <v>0</v>
      </c>
      <c r="T189">
        <v>50</v>
      </c>
      <c r="U189" s="9" t="s">
        <v>313</v>
      </c>
      <c r="V189" s="9" t="s">
        <v>756</v>
      </c>
      <c r="W189">
        <v>50</v>
      </c>
      <c r="X189" s="9" t="s">
        <v>757</v>
      </c>
      <c r="Y189">
        <v>312</v>
      </c>
      <c r="Z189" s="9" t="s">
        <v>754</v>
      </c>
      <c r="AA189" s="9" t="s">
        <v>286</v>
      </c>
      <c r="AB189" s="9" t="s">
        <v>225</v>
      </c>
      <c r="AC189" s="9" t="s">
        <v>6</v>
      </c>
      <c r="AD189" s="9" t="s">
        <v>143</v>
      </c>
      <c r="AE189" s="9">
        <f>IF(Table5[[#This Row],[Team_Name]]=Table5[[#This Row],[Correct_Winner]],1,0)</f>
        <v>0</v>
      </c>
    </row>
    <row r="190" spans="1:31" x14ac:dyDescent="0.3">
      <c r="A190" s="9" t="s">
        <v>304</v>
      </c>
      <c r="B190">
        <v>2021</v>
      </c>
      <c r="C190" s="9" t="s">
        <v>132</v>
      </c>
      <c r="D190" s="9" t="s">
        <v>755</v>
      </c>
      <c r="E190" s="9" t="s">
        <v>314</v>
      </c>
      <c r="F190" s="2" t="s">
        <v>160</v>
      </c>
      <c r="G190">
        <v>145</v>
      </c>
      <c r="H190">
        <v>10</v>
      </c>
      <c r="I190" t="str">
        <f>Clean_Data!$I190</f>
        <v>Rajshahi Kings</v>
      </c>
      <c r="J190">
        <v>139</v>
      </c>
      <c r="K190">
        <v>6</v>
      </c>
      <c r="L190" s="9" t="s">
        <v>108</v>
      </c>
      <c r="M190" s="9" t="s">
        <v>310</v>
      </c>
      <c r="N190" s="9" t="s">
        <v>37</v>
      </c>
      <c r="O190" s="9" t="s">
        <v>311</v>
      </c>
      <c r="P190" s="9" t="s">
        <v>310</v>
      </c>
      <c r="Q190" s="9" t="s">
        <v>88</v>
      </c>
      <c r="R190" s="9" t="s">
        <v>89</v>
      </c>
      <c r="S190">
        <v>0</v>
      </c>
      <c r="T190">
        <v>6</v>
      </c>
      <c r="U190" s="9" t="s">
        <v>315</v>
      </c>
      <c r="V190" s="9" t="s">
        <v>756</v>
      </c>
      <c r="W190">
        <v>6</v>
      </c>
      <c r="X190" s="9" t="s">
        <v>753</v>
      </c>
      <c r="Y190">
        <v>284</v>
      </c>
      <c r="Z190" s="9" t="s">
        <v>754</v>
      </c>
      <c r="AA190" s="9" t="s">
        <v>50</v>
      </c>
      <c r="AB190" s="9" t="s">
        <v>286</v>
      </c>
      <c r="AC190" s="9" t="s">
        <v>3</v>
      </c>
      <c r="AD190" s="9" t="s">
        <v>310</v>
      </c>
      <c r="AE190" s="9">
        <f>IF(Table5[[#This Row],[Team_Name]]=Table5[[#This Row],[Correct_Winner]],1,0)</f>
        <v>1</v>
      </c>
    </row>
    <row r="191" spans="1:31" x14ac:dyDescent="0.3">
      <c r="A191" s="9" t="s">
        <v>304</v>
      </c>
      <c r="B191">
        <v>2021</v>
      </c>
      <c r="C191" s="9" t="s">
        <v>132</v>
      </c>
      <c r="D191" s="9" t="s">
        <v>755</v>
      </c>
      <c r="E191" s="9" t="s">
        <v>314</v>
      </c>
      <c r="F191" s="3" t="s">
        <v>143</v>
      </c>
      <c r="G191">
        <v>145</v>
      </c>
      <c r="H191">
        <v>10</v>
      </c>
      <c r="I191" t="str">
        <f>Clean_Data!$I191</f>
        <v>Barisal Bulls</v>
      </c>
      <c r="J191">
        <v>139</v>
      </c>
      <c r="K191">
        <v>6</v>
      </c>
      <c r="L191" s="9" t="s">
        <v>108</v>
      </c>
      <c r="M191" s="9" t="s">
        <v>310</v>
      </c>
      <c r="N191" s="9" t="s">
        <v>37</v>
      </c>
      <c r="O191" s="9" t="s">
        <v>311</v>
      </c>
      <c r="P191" s="9" t="s">
        <v>310</v>
      </c>
      <c r="Q191" s="9" t="s">
        <v>88</v>
      </c>
      <c r="R191" s="9" t="s">
        <v>89</v>
      </c>
      <c r="S191">
        <v>0</v>
      </c>
      <c r="T191">
        <v>6</v>
      </c>
      <c r="U191" s="9" t="s">
        <v>315</v>
      </c>
      <c r="V191" s="9" t="s">
        <v>756</v>
      </c>
      <c r="W191">
        <v>6</v>
      </c>
      <c r="X191" s="9" t="s">
        <v>753</v>
      </c>
      <c r="Y191">
        <v>284</v>
      </c>
      <c r="Z191" s="9" t="s">
        <v>754</v>
      </c>
      <c r="AA191" s="9" t="s">
        <v>50</v>
      </c>
      <c r="AB191" s="9" t="s">
        <v>286</v>
      </c>
      <c r="AC191" s="9" t="s">
        <v>6</v>
      </c>
      <c r="AD191" s="9" t="s">
        <v>277</v>
      </c>
      <c r="AE191" s="9">
        <f>IF(Table5[[#This Row],[Team_Name]]=Table5[[#This Row],[Correct_Winner]],1,0)</f>
        <v>0</v>
      </c>
    </row>
    <row r="192" spans="1:31" x14ac:dyDescent="0.3">
      <c r="A192" s="9" t="s">
        <v>304</v>
      </c>
      <c r="B192">
        <v>2021</v>
      </c>
      <c r="C192" s="9" t="s">
        <v>138</v>
      </c>
      <c r="D192" s="9" t="s">
        <v>755</v>
      </c>
      <c r="E192" s="9" t="s">
        <v>314</v>
      </c>
      <c r="F192" s="2" t="s">
        <v>206</v>
      </c>
      <c r="G192">
        <v>183</v>
      </c>
      <c r="H192">
        <v>3</v>
      </c>
      <c r="I192" t="str">
        <f>Clean_Data!$I192</f>
        <v>Rangpur Riders</v>
      </c>
      <c r="J192">
        <v>131</v>
      </c>
      <c r="K192">
        <v>10</v>
      </c>
      <c r="L192" s="9" t="s">
        <v>316</v>
      </c>
      <c r="M192" s="9" t="s">
        <v>280</v>
      </c>
      <c r="N192" s="9" t="s">
        <v>26</v>
      </c>
      <c r="O192" s="9" t="s">
        <v>145</v>
      </c>
      <c r="P192" s="9" t="s">
        <v>143</v>
      </c>
      <c r="Q192" s="9" t="s">
        <v>88</v>
      </c>
      <c r="R192" s="9" t="s">
        <v>89</v>
      </c>
      <c r="S192">
        <v>0</v>
      </c>
      <c r="T192">
        <v>52</v>
      </c>
      <c r="U192" s="9" t="s">
        <v>317</v>
      </c>
      <c r="V192" s="9" t="s">
        <v>756</v>
      </c>
      <c r="W192">
        <v>52</v>
      </c>
      <c r="X192" s="9" t="s">
        <v>757</v>
      </c>
      <c r="Y192">
        <v>314</v>
      </c>
      <c r="Z192" s="9" t="s">
        <v>754</v>
      </c>
      <c r="AA192" s="9" t="s">
        <v>216</v>
      </c>
      <c r="AB192" s="9" t="s">
        <v>44</v>
      </c>
      <c r="AC192" s="9" t="s">
        <v>3</v>
      </c>
      <c r="AD192" s="9" t="s">
        <v>143</v>
      </c>
      <c r="AE192" s="9">
        <f>IF(Table5[[#This Row],[Team_Name]]=Table5[[#This Row],[Correct_Winner]],1,0)</f>
        <v>1</v>
      </c>
    </row>
    <row r="193" spans="1:31" x14ac:dyDescent="0.3">
      <c r="A193" s="9" t="s">
        <v>304</v>
      </c>
      <c r="B193">
        <v>2021</v>
      </c>
      <c r="C193" s="9" t="s">
        <v>138</v>
      </c>
      <c r="D193" s="9" t="s">
        <v>755</v>
      </c>
      <c r="E193" s="9" t="s">
        <v>314</v>
      </c>
      <c r="F193" s="3" t="s">
        <v>179</v>
      </c>
      <c r="G193">
        <v>183</v>
      </c>
      <c r="H193">
        <v>3</v>
      </c>
      <c r="I193" t="str">
        <f>Clean_Data!$I193</f>
        <v>Rangpur Riders</v>
      </c>
      <c r="J193">
        <v>131</v>
      </c>
      <c r="K193">
        <v>10</v>
      </c>
      <c r="L193" s="9" t="s">
        <v>316</v>
      </c>
      <c r="M193" s="9" t="s">
        <v>280</v>
      </c>
      <c r="N193" s="9" t="s">
        <v>26</v>
      </c>
      <c r="O193" s="9" t="s">
        <v>145</v>
      </c>
      <c r="P193" s="9" t="s">
        <v>143</v>
      </c>
      <c r="Q193" s="9" t="s">
        <v>88</v>
      </c>
      <c r="R193" s="9" t="s">
        <v>89</v>
      </c>
      <c r="S193">
        <v>0</v>
      </c>
      <c r="T193">
        <v>52</v>
      </c>
      <c r="U193" s="9" t="s">
        <v>317</v>
      </c>
      <c r="V193" s="9" t="s">
        <v>756</v>
      </c>
      <c r="W193">
        <v>52</v>
      </c>
      <c r="X193" s="9" t="s">
        <v>757</v>
      </c>
      <c r="Y193">
        <v>314</v>
      </c>
      <c r="Z193" s="9" t="s">
        <v>754</v>
      </c>
      <c r="AA193" s="9" t="s">
        <v>216</v>
      </c>
      <c r="AB193" s="9" t="s">
        <v>44</v>
      </c>
      <c r="AC193" s="9" t="s">
        <v>6</v>
      </c>
      <c r="AD193" s="9" t="s">
        <v>280</v>
      </c>
      <c r="AE193" s="9">
        <f>IF(Table5[[#This Row],[Team_Name]]=Table5[[#This Row],[Correct_Winner]],1,0)</f>
        <v>0</v>
      </c>
    </row>
    <row r="194" spans="1:31" x14ac:dyDescent="0.3">
      <c r="A194" s="9" t="s">
        <v>304</v>
      </c>
      <c r="B194">
        <v>2021</v>
      </c>
      <c r="C194" s="9" t="s">
        <v>148</v>
      </c>
      <c r="D194" s="9" t="s">
        <v>755</v>
      </c>
      <c r="E194" s="9" t="s">
        <v>318</v>
      </c>
      <c r="F194" s="2" t="s">
        <v>206</v>
      </c>
      <c r="G194">
        <v>202</v>
      </c>
      <c r="H194">
        <v>5</v>
      </c>
      <c r="I194" t="str">
        <f>Clean_Data!$I194</f>
        <v>Rajshahi Kings</v>
      </c>
      <c r="J194">
        <v>186</v>
      </c>
      <c r="K194">
        <v>6</v>
      </c>
      <c r="L194" s="9" t="s">
        <v>319</v>
      </c>
      <c r="M194" s="9" t="s">
        <v>307</v>
      </c>
      <c r="N194" s="9" t="s">
        <v>26</v>
      </c>
      <c r="O194" s="9" t="s">
        <v>289</v>
      </c>
      <c r="P194" s="9" t="s">
        <v>280</v>
      </c>
      <c r="Q194" s="9" t="s">
        <v>88</v>
      </c>
      <c r="R194" s="9" t="s">
        <v>89</v>
      </c>
      <c r="S194">
        <v>0</v>
      </c>
      <c r="T194">
        <v>16</v>
      </c>
      <c r="U194" s="9" t="s">
        <v>169</v>
      </c>
      <c r="V194" s="9" t="s">
        <v>756</v>
      </c>
      <c r="W194">
        <v>16</v>
      </c>
      <c r="X194" s="9" t="s">
        <v>757</v>
      </c>
      <c r="Y194">
        <v>388</v>
      </c>
      <c r="Z194" s="9" t="s">
        <v>754</v>
      </c>
      <c r="AA194" s="9" t="s">
        <v>50</v>
      </c>
      <c r="AB194" s="9" t="s">
        <v>44</v>
      </c>
      <c r="AC194" s="9" t="s">
        <v>3</v>
      </c>
      <c r="AD194" s="9" t="s">
        <v>280</v>
      </c>
      <c r="AE194" s="9">
        <f>IF(Table5[[#This Row],[Team_Name]]=Table5[[#This Row],[Correct_Winner]],1,0)</f>
        <v>1</v>
      </c>
    </row>
    <row r="195" spans="1:31" x14ac:dyDescent="0.3">
      <c r="A195" s="9" t="s">
        <v>304</v>
      </c>
      <c r="B195">
        <v>2021</v>
      </c>
      <c r="C195" s="9" t="s">
        <v>148</v>
      </c>
      <c r="D195" s="9" t="s">
        <v>755</v>
      </c>
      <c r="E195" s="9" t="s">
        <v>318</v>
      </c>
      <c r="F195" s="3" t="s">
        <v>142</v>
      </c>
      <c r="G195">
        <v>202</v>
      </c>
      <c r="H195">
        <v>5</v>
      </c>
      <c r="I195" t="str">
        <f>Clean_Data!$I195</f>
        <v>Dhaka Dynamites</v>
      </c>
      <c r="J195">
        <v>186</v>
      </c>
      <c r="K195">
        <v>6</v>
      </c>
      <c r="L195" s="9" t="s">
        <v>319</v>
      </c>
      <c r="M195" s="9" t="s">
        <v>307</v>
      </c>
      <c r="N195" s="9" t="s">
        <v>26</v>
      </c>
      <c r="O195" s="9" t="s">
        <v>289</v>
      </c>
      <c r="P195" s="9" t="s">
        <v>280</v>
      </c>
      <c r="Q195" s="9" t="s">
        <v>88</v>
      </c>
      <c r="R195" s="9" t="s">
        <v>89</v>
      </c>
      <c r="S195">
        <v>0</v>
      </c>
      <c r="T195">
        <v>16</v>
      </c>
      <c r="U195" s="9" t="s">
        <v>169</v>
      </c>
      <c r="V195" s="9" t="s">
        <v>756</v>
      </c>
      <c r="W195">
        <v>16</v>
      </c>
      <c r="X195" s="9" t="s">
        <v>757</v>
      </c>
      <c r="Y195">
        <v>388</v>
      </c>
      <c r="Z195" s="9" t="s">
        <v>754</v>
      </c>
      <c r="AA195" s="9" t="s">
        <v>50</v>
      </c>
      <c r="AB195" s="9" t="s">
        <v>44</v>
      </c>
      <c r="AC195" s="9" t="s">
        <v>6</v>
      </c>
      <c r="AD195" s="9" t="s">
        <v>307</v>
      </c>
      <c r="AE195" s="9">
        <f>IF(Table5[[#This Row],[Team_Name]]=Table5[[#This Row],[Correct_Winner]],1,0)</f>
        <v>0</v>
      </c>
    </row>
    <row r="196" spans="1:31" x14ac:dyDescent="0.3">
      <c r="A196" s="9" t="s">
        <v>304</v>
      </c>
      <c r="B196">
        <v>2021</v>
      </c>
      <c r="C196" s="9" t="s">
        <v>156</v>
      </c>
      <c r="D196" s="9" t="s">
        <v>755</v>
      </c>
      <c r="E196" s="9" t="s">
        <v>318</v>
      </c>
      <c r="F196" s="2" t="s">
        <v>179</v>
      </c>
      <c r="G196">
        <v>141</v>
      </c>
      <c r="H196">
        <v>9</v>
      </c>
      <c r="I196" t="str">
        <f>Clean_Data!$I196</f>
        <v>Comilla Victorians</v>
      </c>
      <c r="J196">
        <v>124</v>
      </c>
      <c r="K196">
        <v>10</v>
      </c>
      <c r="L196" s="9" t="s">
        <v>320</v>
      </c>
      <c r="M196" s="9" t="s">
        <v>277</v>
      </c>
      <c r="N196" s="9" t="s">
        <v>26</v>
      </c>
      <c r="O196" s="9" t="s">
        <v>311</v>
      </c>
      <c r="P196" s="9" t="s">
        <v>310</v>
      </c>
      <c r="Q196" s="9" t="s">
        <v>88</v>
      </c>
      <c r="R196" s="9" t="s">
        <v>89</v>
      </c>
      <c r="S196">
        <v>0</v>
      </c>
      <c r="T196">
        <v>17</v>
      </c>
      <c r="U196" s="9" t="s">
        <v>254</v>
      </c>
      <c r="V196" s="9" t="s">
        <v>756</v>
      </c>
      <c r="W196">
        <v>17</v>
      </c>
      <c r="X196" s="9" t="s">
        <v>757</v>
      </c>
      <c r="Y196">
        <v>265</v>
      </c>
      <c r="Z196" s="9" t="s">
        <v>754</v>
      </c>
      <c r="AA196" s="9" t="s">
        <v>216</v>
      </c>
      <c r="AB196" s="9" t="s">
        <v>286</v>
      </c>
      <c r="AC196" s="9" t="s">
        <v>3</v>
      </c>
      <c r="AD196" s="9" t="s">
        <v>310</v>
      </c>
      <c r="AE196" s="9">
        <f>IF(Table5[[#This Row],[Team_Name]]=Table5[[#This Row],[Correct_Winner]],1,0)</f>
        <v>1</v>
      </c>
    </row>
    <row r="197" spans="1:31" x14ac:dyDescent="0.3">
      <c r="A197" s="9" t="s">
        <v>304</v>
      </c>
      <c r="B197">
        <v>2021</v>
      </c>
      <c r="C197" s="9" t="s">
        <v>156</v>
      </c>
      <c r="D197" s="9" t="s">
        <v>755</v>
      </c>
      <c r="E197" s="9" t="s">
        <v>318</v>
      </c>
      <c r="F197" s="3" t="s">
        <v>160</v>
      </c>
      <c r="G197">
        <v>141</v>
      </c>
      <c r="H197">
        <v>9</v>
      </c>
      <c r="I197" t="str">
        <f>Clean_Data!$I197</f>
        <v>Rajshahi Kings</v>
      </c>
      <c r="J197">
        <v>124</v>
      </c>
      <c r="K197">
        <v>10</v>
      </c>
      <c r="L197" s="9" t="s">
        <v>320</v>
      </c>
      <c r="M197" s="9" t="s">
        <v>277</v>
      </c>
      <c r="N197" s="9" t="s">
        <v>26</v>
      </c>
      <c r="O197" s="9" t="s">
        <v>311</v>
      </c>
      <c r="P197" s="9" t="s">
        <v>310</v>
      </c>
      <c r="Q197" s="9" t="s">
        <v>88</v>
      </c>
      <c r="R197" s="9" t="s">
        <v>89</v>
      </c>
      <c r="S197">
        <v>0</v>
      </c>
      <c r="T197">
        <v>17</v>
      </c>
      <c r="U197" s="9" t="s">
        <v>254</v>
      </c>
      <c r="V197" s="9" t="s">
        <v>756</v>
      </c>
      <c r="W197">
        <v>17</v>
      </c>
      <c r="X197" s="9" t="s">
        <v>757</v>
      </c>
      <c r="Y197">
        <v>265</v>
      </c>
      <c r="Z197" s="9" t="s">
        <v>754</v>
      </c>
      <c r="AA197" s="9" t="s">
        <v>216</v>
      </c>
      <c r="AB197" s="9" t="s">
        <v>286</v>
      </c>
      <c r="AC197" s="9" t="s">
        <v>6</v>
      </c>
      <c r="AD197" s="9" t="s">
        <v>277</v>
      </c>
      <c r="AE197" s="9">
        <f>IF(Table5[[#This Row],[Team_Name]]=Table5[[#This Row],[Correct_Winner]],1,0)</f>
        <v>0</v>
      </c>
    </row>
    <row r="198" spans="1:31" x14ac:dyDescent="0.3">
      <c r="A198" s="9" t="s">
        <v>73</v>
      </c>
      <c r="B198">
        <v>2012</v>
      </c>
      <c r="C198" s="9" t="s">
        <v>224</v>
      </c>
      <c r="D198" s="9" t="s">
        <v>755</v>
      </c>
      <c r="E198" s="9" t="s">
        <v>137</v>
      </c>
      <c r="F198" s="2" t="s">
        <v>113</v>
      </c>
      <c r="G198">
        <v>196</v>
      </c>
      <c r="H198">
        <v>3</v>
      </c>
      <c r="I198" t="str">
        <f>Clean_Data!$I198</f>
        <v>Comilla Victorians</v>
      </c>
      <c r="J198">
        <v>135</v>
      </c>
      <c r="K198">
        <v>7</v>
      </c>
      <c r="L198" s="9" t="s">
        <v>121</v>
      </c>
      <c r="M198" s="9" t="s">
        <v>35</v>
      </c>
      <c r="N198" s="9" t="s">
        <v>26</v>
      </c>
      <c r="O198" s="9" t="s">
        <v>64</v>
      </c>
      <c r="P198" s="9" t="s">
        <v>62</v>
      </c>
      <c r="Q198" s="9" t="s">
        <v>28</v>
      </c>
      <c r="R198" s="9" t="s">
        <v>29</v>
      </c>
      <c r="S198">
        <v>0</v>
      </c>
      <c r="T198">
        <v>61</v>
      </c>
      <c r="U198" s="9" t="s">
        <v>301</v>
      </c>
      <c r="V198" s="9" t="s">
        <v>756</v>
      </c>
      <c r="W198">
        <v>61</v>
      </c>
      <c r="X198" s="9" t="s">
        <v>757</v>
      </c>
      <c r="Y198">
        <v>331</v>
      </c>
      <c r="Z198" s="9" t="s">
        <v>754</v>
      </c>
      <c r="AA198" s="9" t="s">
        <v>57</v>
      </c>
      <c r="AB198" s="9" t="s">
        <v>225</v>
      </c>
      <c r="AC198" s="9" t="s">
        <v>3</v>
      </c>
      <c r="AD198" s="9" t="s">
        <v>62</v>
      </c>
      <c r="AE198" s="9">
        <f>IF(Table5[[#This Row],[Team_Name]]=Table5[[#This Row],[Correct_Winner]],1,0)</f>
        <v>1</v>
      </c>
    </row>
    <row r="199" spans="1:31" x14ac:dyDescent="0.3">
      <c r="A199" s="9" t="s">
        <v>73</v>
      </c>
      <c r="B199">
        <v>2012</v>
      </c>
      <c r="C199" s="9" t="s">
        <v>224</v>
      </c>
      <c r="D199" s="9" t="s">
        <v>755</v>
      </c>
      <c r="E199" s="9" t="s">
        <v>137</v>
      </c>
      <c r="F199" s="3" t="s">
        <v>143</v>
      </c>
      <c r="G199">
        <v>196</v>
      </c>
      <c r="H199">
        <v>3</v>
      </c>
      <c r="I199" t="str">
        <f>Clean_Data!$I199</f>
        <v>Dhaka Dynamites</v>
      </c>
      <c r="J199">
        <v>135</v>
      </c>
      <c r="K199">
        <v>7</v>
      </c>
      <c r="L199" s="9" t="s">
        <v>121</v>
      </c>
      <c r="M199" s="9" t="s">
        <v>35</v>
      </c>
      <c r="N199" s="9" t="s">
        <v>26</v>
      </c>
      <c r="O199" s="9" t="s">
        <v>64</v>
      </c>
      <c r="P199" s="9" t="s">
        <v>62</v>
      </c>
      <c r="Q199" s="9" t="s">
        <v>28</v>
      </c>
      <c r="R199" s="9" t="s">
        <v>29</v>
      </c>
      <c r="S199">
        <v>0</v>
      </c>
      <c r="T199">
        <v>61</v>
      </c>
      <c r="U199" s="9" t="s">
        <v>301</v>
      </c>
      <c r="V199" s="9" t="s">
        <v>756</v>
      </c>
      <c r="W199">
        <v>61</v>
      </c>
      <c r="X199" s="9" t="s">
        <v>757</v>
      </c>
      <c r="Y199">
        <v>331</v>
      </c>
      <c r="Z199" s="9" t="s">
        <v>754</v>
      </c>
      <c r="AA199" s="9" t="s">
        <v>57</v>
      </c>
      <c r="AB199" s="9" t="s">
        <v>225</v>
      </c>
      <c r="AC199" s="9" t="s">
        <v>6</v>
      </c>
      <c r="AD199" s="9" t="s">
        <v>35</v>
      </c>
      <c r="AE199" s="9">
        <f>IF(Table5[[#This Row],[Team_Name]]=Table5[[#This Row],[Correct_Winner]],1,0)</f>
        <v>0</v>
      </c>
    </row>
    <row r="200" spans="1:31" x14ac:dyDescent="0.3">
      <c r="A200" s="9" t="s">
        <v>73</v>
      </c>
      <c r="B200">
        <v>2012</v>
      </c>
      <c r="C200" s="9" t="s">
        <v>321</v>
      </c>
      <c r="D200" s="9" t="s">
        <v>755</v>
      </c>
      <c r="E200" s="9" t="s">
        <v>322</v>
      </c>
      <c r="F200" s="2" t="s">
        <v>199</v>
      </c>
      <c r="G200">
        <v>179</v>
      </c>
      <c r="H200">
        <v>8</v>
      </c>
      <c r="I200" t="str">
        <f>Clean_Data!$I200</f>
        <v>Chittagong Vikings</v>
      </c>
      <c r="J200">
        <v>160</v>
      </c>
      <c r="K200">
        <v>10</v>
      </c>
      <c r="L200" s="9" t="s">
        <v>323</v>
      </c>
      <c r="M200" s="9" t="s">
        <v>41</v>
      </c>
      <c r="N200" s="9" t="s">
        <v>26</v>
      </c>
      <c r="O200" s="9" t="s">
        <v>189</v>
      </c>
      <c r="P200" s="9" t="s">
        <v>113</v>
      </c>
      <c r="Q200" s="9" t="s">
        <v>28</v>
      </c>
      <c r="R200" s="9" t="s">
        <v>29</v>
      </c>
      <c r="S200">
        <v>0</v>
      </c>
      <c r="T200">
        <v>19</v>
      </c>
      <c r="U200" s="9" t="s">
        <v>196</v>
      </c>
      <c r="V200" s="9" t="s">
        <v>756</v>
      </c>
      <c r="W200">
        <v>19</v>
      </c>
      <c r="X200" s="9" t="s">
        <v>757</v>
      </c>
      <c r="Y200">
        <v>339</v>
      </c>
      <c r="Z200" s="9" t="s">
        <v>754</v>
      </c>
      <c r="AA200" s="9" t="s">
        <v>32</v>
      </c>
      <c r="AB200" s="9" t="s">
        <v>57</v>
      </c>
      <c r="AC200" s="9" t="s">
        <v>3</v>
      </c>
      <c r="AD200" s="9" t="s">
        <v>113</v>
      </c>
      <c r="AE200" s="9">
        <f>IF(Table5[[#This Row],[Team_Name]]=Table5[[#This Row],[Correct_Winner]],1,0)</f>
        <v>1</v>
      </c>
    </row>
    <row r="201" spans="1:31" x14ac:dyDescent="0.3">
      <c r="A201" s="9" t="s">
        <v>73</v>
      </c>
      <c r="B201">
        <v>2012</v>
      </c>
      <c r="C201" s="9" t="s">
        <v>321</v>
      </c>
      <c r="D201" s="9" t="s">
        <v>755</v>
      </c>
      <c r="E201" s="9" t="s">
        <v>322</v>
      </c>
      <c r="F201" s="3" t="s">
        <v>206</v>
      </c>
      <c r="G201">
        <v>179</v>
      </c>
      <c r="H201">
        <v>8</v>
      </c>
      <c r="I201" t="str">
        <f>Clean_Data!$I201</f>
        <v>Comilla Victorians</v>
      </c>
      <c r="J201">
        <v>160</v>
      </c>
      <c r="K201">
        <v>10</v>
      </c>
      <c r="L201" s="9" t="s">
        <v>323</v>
      </c>
      <c r="M201" s="9" t="s">
        <v>41</v>
      </c>
      <c r="N201" s="9" t="s">
        <v>26</v>
      </c>
      <c r="O201" s="9" t="s">
        <v>189</v>
      </c>
      <c r="P201" s="9" t="s">
        <v>113</v>
      </c>
      <c r="Q201" s="9" t="s">
        <v>28</v>
      </c>
      <c r="R201" s="9" t="s">
        <v>29</v>
      </c>
      <c r="S201">
        <v>0</v>
      </c>
      <c r="T201">
        <v>19</v>
      </c>
      <c r="U201" s="9" t="s">
        <v>196</v>
      </c>
      <c r="V201" s="9" t="s">
        <v>756</v>
      </c>
      <c r="W201">
        <v>19</v>
      </c>
      <c r="X201" s="9" t="s">
        <v>757</v>
      </c>
      <c r="Y201">
        <v>339</v>
      </c>
      <c r="Z201" s="9" t="s">
        <v>754</v>
      </c>
      <c r="AA201" s="9" t="s">
        <v>32</v>
      </c>
      <c r="AB201" s="9" t="s">
        <v>57</v>
      </c>
      <c r="AC201" s="9" t="s">
        <v>6</v>
      </c>
      <c r="AD201" s="9" t="s">
        <v>41</v>
      </c>
      <c r="AE201" s="9">
        <f>IF(Table5[[#This Row],[Team_Name]]=Table5[[#This Row],[Correct_Winner]],1,0)</f>
        <v>0</v>
      </c>
    </row>
    <row r="202" spans="1:31" x14ac:dyDescent="0.3">
      <c r="A202" s="9" t="s">
        <v>73</v>
      </c>
      <c r="B202">
        <v>2012</v>
      </c>
      <c r="C202" s="9" t="s">
        <v>324</v>
      </c>
      <c r="D202" s="9" t="s">
        <v>755</v>
      </c>
      <c r="E202" s="9" t="s">
        <v>322</v>
      </c>
      <c r="F202" s="2" t="s">
        <v>238</v>
      </c>
      <c r="G202">
        <v>176</v>
      </c>
      <c r="H202">
        <v>6</v>
      </c>
      <c r="I202" t="str">
        <f>Clean_Data!$I202</f>
        <v>Rangpur Riders</v>
      </c>
      <c r="J202">
        <v>180</v>
      </c>
      <c r="K202">
        <v>4</v>
      </c>
      <c r="L202" s="9" t="s">
        <v>325</v>
      </c>
      <c r="M202" s="9" t="s">
        <v>35</v>
      </c>
      <c r="N202" s="9" t="s">
        <v>37</v>
      </c>
      <c r="O202" s="9" t="s">
        <v>27</v>
      </c>
      <c r="P202" s="9" t="s">
        <v>24</v>
      </c>
      <c r="Q202" s="9" t="s">
        <v>28</v>
      </c>
      <c r="R202" s="9" t="s">
        <v>29</v>
      </c>
      <c r="S202">
        <v>6</v>
      </c>
      <c r="T202">
        <v>0</v>
      </c>
      <c r="U202" s="9" t="s">
        <v>151</v>
      </c>
      <c r="V202" s="9" t="s">
        <v>752</v>
      </c>
      <c r="W202">
        <v>6</v>
      </c>
      <c r="X202" s="9" t="s">
        <v>753</v>
      </c>
      <c r="Y202">
        <v>356</v>
      </c>
      <c r="Z202" s="9" t="s">
        <v>754</v>
      </c>
      <c r="AA202" s="9" t="s">
        <v>56</v>
      </c>
      <c r="AB202" s="9" t="s">
        <v>57</v>
      </c>
      <c r="AC202" s="9" t="s">
        <v>3</v>
      </c>
      <c r="AD202" s="9" t="s">
        <v>35</v>
      </c>
      <c r="AE202" s="9">
        <f>IF(Table5[[#This Row],[Team_Name]]=Table5[[#This Row],[Correct_Winner]],1,0)</f>
        <v>0</v>
      </c>
    </row>
    <row r="203" spans="1:31" x14ac:dyDescent="0.3">
      <c r="A203" s="9" t="s">
        <v>73</v>
      </c>
      <c r="B203">
        <v>2012</v>
      </c>
      <c r="C203" s="9" t="s">
        <v>324</v>
      </c>
      <c r="D203" s="9" t="s">
        <v>755</v>
      </c>
      <c r="E203" s="9" t="s">
        <v>322</v>
      </c>
      <c r="F203" s="3" t="s">
        <v>206</v>
      </c>
      <c r="G203">
        <v>176</v>
      </c>
      <c r="H203">
        <v>6</v>
      </c>
      <c r="I203" t="str">
        <f>Clean_Data!$I203</f>
        <v>Rajshahi Kings</v>
      </c>
      <c r="J203">
        <v>180</v>
      </c>
      <c r="K203">
        <v>4</v>
      </c>
      <c r="L203" s="9" t="s">
        <v>325</v>
      </c>
      <c r="M203" s="9" t="s">
        <v>35</v>
      </c>
      <c r="N203" s="9" t="s">
        <v>37</v>
      </c>
      <c r="O203" s="9" t="s">
        <v>27</v>
      </c>
      <c r="P203" s="9" t="s">
        <v>24</v>
      </c>
      <c r="Q203" s="9" t="s">
        <v>28</v>
      </c>
      <c r="R203" s="9" t="s">
        <v>29</v>
      </c>
      <c r="S203">
        <v>6</v>
      </c>
      <c r="T203">
        <v>0</v>
      </c>
      <c r="U203" s="9" t="s">
        <v>151</v>
      </c>
      <c r="V203" s="9" t="s">
        <v>752</v>
      </c>
      <c r="W203">
        <v>6</v>
      </c>
      <c r="X203" s="9" t="s">
        <v>753</v>
      </c>
      <c r="Y203">
        <v>356</v>
      </c>
      <c r="Z203" s="9" t="s">
        <v>754</v>
      </c>
      <c r="AA203" s="9" t="s">
        <v>56</v>
      </c>
      <c r="AB203" s="9" t="s">
        <v>57</v>
      </c>
      <c r="AC203" s="9" t="s">
        <v>6</v>
      </c>
      <c r="AD203" s="9" t="s">
        <v>24</v>
      </c>
      <c r="AE203" s="9">
        <f>IF(Table5[[#This Row],[Team_Name]]=Table5[[#This Row],[Correct_Winner]],1,0)</f>
        <v>1</v>
      </c>
    </row>
    <row r="204" spans="1:31" x14ac:dyDescent="0.3">
      <c r="A204" s="9" t="s">
        <v>73</v>
      </c>
      <c r="B204">
        <v>2012</v>
      </c>
      <c r="C204" s="9" t="s">
        <v>326</v>
      </c>
      <c r="D204" s="9" t="s">
        <v>755</v>
      </c>
      <c r="E204" s="9" t="s">
        <v>327</v>
      </c>
      <c r="F204" s="2" t="s">
        <v>179</v>
      </c>
      <c r="G204">
        <v>114</v>
      </c>
      <c r="H204">
        <v>9</v>
      </c>
      <c r="I204" t="str">
        <f>Clean_Data!$I204</f>
        <v>Dhaka Dynamites</v>
      </c>
      <c r="J204">
        <v>115</v>
      </c>
      <c r="K204">
        <v>2</v>
      </c>
      <c r="L204" s="9" t="s">
        <v>108</v>
      </c>
      <c r="M204" s="9" t="s">
        <v>23</v>
      </c>
      <c r="N204" s="9" t="s">
        <v>37</v>
      </c>
      <c r="O204" s="9" t="s">
        <v>27</v>
      </c>
      <c r="P204" s="9" t="s">
        <v>24</v>
      </c>
      <c r="Q204" s="9" t="s">
        <v>28</v>
      </c>
      <c r="R204" s="9" t="s">
        <v>29</v>
      </c>
      <c r="S204">
        <v>8</v>
      </c>
      <c r="T204">
        <v>0</v>
      </c>
      <c r="U204" s="9" t="s">
        <v>30</v>
      </c>
      <c r="V204" s="9" t="s">
        <v>752</v>
      </c>
      <c r="W204">
        <v>8</v>
      </c>
      <c r="X204" s="9" t="s">
        <v>753</v>
      </c>
      <c r="Y204">
        <v>229</v>
      </c>
      <c r="Z204" s="9" t="s">
        <v>754</v>
      </c>
      <c r="AA204" s="9" t="s">
        <v>57</v>
      </c>
      <c r="AB204" s="9" t="s">
        <v>66</v>
      </c>
      <c r="AC204" s="9" t="s">
        <v>3</v>
      </c>
      <c r="AD204" s="9" t="s">
        <v>23</v>
      </c>
      <c r="AE204" s="9">
        <f>IF(Table5[[#This Row],[Team_Name]]=Table5[[#This Row],[Correct_Winner]],1,0)</f>
        <v>0</v>
      </c>
    </row>
    <row r="205" spans="1:31" x14ac:dyDescent="0.3">
      <c r="A205" s="9" t="s">
        <v>73</v>
      </c>
      <c r="B205">
        <v>2012</v>
      </c>
      <c r="C205" s="9" t="s">
        <v>326</v>
      </c>
      <c r="D205" s="9" t="s">
        <v>755</v>
      </c>
      <c r="E205" s="9" t="s">
        <v>327</v>
      </c>
      <c r="F205" s="3" t="s">
        <v>179</v>
      </c>
      <c r="G205">
        <v>114</v>
      </c>
      <c r="H205">
        <v>9</v>
      </c>
      <c r="I205" t="str">
        <f>Clean_Data!$I205</f>
        <v>Rangpur Riders</v>
      </c>
      <c r="J205">
        <v>115</v>
      </c>
      <c r="K205">
        <v>2</v>
      </c>
      <c r="L205" s="9" t="s">
        <v>108</v>
      </c>
      <c r="M205" s="9" t="s">
        <v>23</v>
      </c>
      <c r="N205" s="9" t="s">
        <v>37</v>
      </c>
      <c r="O205" s="9" t="s">
        <v>27</v>
      </c>
      <c r="P205" s="9" t="s">
        <v>24</v>
      </c>
      <c r="Q205" s="9" t="s">
        <v>28</v>
      </c>
      <c r="R205" s="9" t="s">
        <v>29</v>
      </c>
      <c r="S205">
        <v>8</v>
      </c>
      <c r="T205">
        <v>0</v>
      </c>
      <c r="U205" s="9" t="s">
        <v>30</v>
      </c>
      <c r="V205" s="9" t="s">
        <v>752</v>
      </c>
      <c r="W205">
        <v>8</v>
      </c>
      <c r="X205" s="9" t="s">
        <v>753</v>
      </c>
      <c r="Y205">
        <v>229</v>
      </c>
      <c r="Z205" s="9" t="s">
        <v>754</v>
      </c>
      <c r="AA205" s="9" t="s">
        <v>57</v>
      </c>
      <c r="AB205" s="9" t="s">
        <v>66</v>
      </c>
      <c r="AC205" s="9" t="s">
        <v>6</v>
      </c>
      <c r="AD205" s="9" t="s">
        <v>24</v>
      </c>
      <c r="AE205" s="9">
        <f>IF(Table5[[#This Row],[Team_Name]]=Table5[[#This Row],[Correct_Winner]],1,0)</f>
        <v>1</v>
      </c>
    </row>
    <row r="206" spans="1:31" x14ac:dyDescent="0.3">
      <c r="A206" s="9" t="s">
        <v>73</v>
      </c>
      <c r="B206">
        <v>2012</v>
      </c>
      <c r="C206" s="9" t="s">
        <v>328</v>
      </c>
      <c r="D206" s="9" t="s">
        <v>755</v>
      </c>
      <c r="E206" s="9" t="s">
        <v>327</v>
      </c>
      <c r="F206" s="2" t="s">
        <v>199</v>
      </c>
      <c r="G206">
        <v>160</v>
      </c>
      <c r="H206">
        <v>6</v>
      </c>
      <c r="I206" t="str">
        <f>Clean_Data!$I206</f>
        <v>Comilla Victorians</v>
      </c>
      <c r="J206">
        <v>161</v>
      </c>
      <c r="K206">
        <v>5</v>
      </c>
      <c r="L206" s="9" t="s">
        <v>329</v>
      </c>
      <c r="M206" s="9" t="s">
        <v>113</v>
      </c>
      <c r="N206" s="9" t="s">
        <v>26</v>
      </c>
      <c r="O206" s="9" t="s">
        <v>189</v>
      </c>
      <c r="P206" s="9" t="s">
        <v>113</v>
      </c>
      <c r="Q206" s="9" t="s">
        <v>28</v>
      </c>
      <c r="R206" s="9" t="s">
        <v>29</v>
      </c>
      <c r="S206">
        <v>5</v>
      </c>
      <c r="T206">
        <v>0</v>
      </c>
      <c r="U206" s="9" t="s">
        <v>55</v>
      </c>
      <c r="V206" s="9" t="s">
        <v>752</v>
      </c>
      <c r="W206">
        <v>5</v>
      </c>
      <c r="X206" s="9" t="s">
        <v>753</v>
      </c>
      <c r="Y206">
        <v>321</v>
      </c>
      <c r="Z206" s="9" t="s">
        <v>754</v>
      </c>
      <c r="AA206" s="9" t="s">
        <v>32</v>
      </c>
      <c r="AB206" s="9" t="s">
        <v>77</v>
      </c>
      <c r="AC206" s="9" t="s">
        <v>3</v>
      </c>
      <c r="AD206" s="9" t="s">
        <v>53</v>
      </c>
      <c r="AE206" s="9">
        <f>IF(Table5[[#This Row],[Team_Name]]=Table5[[#This Row],[Correct_Winner]],1,0)</f>
        <v>0</v>
      </c>
    </row>
    <row r="207" spans="1:31" x14ac:dyDescent="0.3">
      <c r="A207" s="9" t="s">
        <v>73</v>
      </c>
      <c r="B207">
        <v>2012</v>
      </c>
      <c r="C207" s="9" t="s">
        <v>328</v>
      </c>
      <c r="D207" s="9" t="s">
        <v>755</v>
      </c>
      <c r="E207" s="9" t="s">
        <v>327</v>
      </c>
      <c r="F207" s="3" t="s">
        <v>179</v>
      </c>
      <c r="G207">
        <v>160</v>
      </c>
      <c r="H207">
        <v>6</v>
      </c>
      <c r="I207" t="str">
        <f>Clean_Data!$I207</f>
        <v>Sylhet Sixers</v>
      </c>
      <c r="J207">
        <v>161</v>
      </c>
      <c r="K207">
        <v>5</v>
      </c>
      <c r="L207" s="9" t="s">
        <v>329</v>
      </c>
      <c r="M207" s="9" t="s">
        <v>113</v>
      </c>
      <c r="N207" s="9" t="s">
        <v>26</v>
      </c>
      <c r="O207" s="9" t="s">
        <v>189</v>
      </c>
      <c r="P207" s="9" t="s">
        <v>113</v>
      </c>
      <c r="Q207" s="9" t="s">
        <v>28</v>
      </c>
      <c r="R207" s="9" t="s">
        <v>29</v>
      </c>
      <c r="S207">
        <v>5</v>
      </c>
      <c r="T207">
        <v>0</v>
      </c>
      <c r="U207" s="9" t="s">
        <v>55</v>
      </c>
      <c r="V207" s="9" t="s">
        <v>752</v>
      </c>
      <c r="W207">
        <v>5</v>
      </c>
      <c r="X207" s="9" t="s">
        <v>753</v>
      </c>
      <c r="Y207">
        <v>321</v>
      </c>
      <c r="Z207" s="9" t="s">
        <v>754</v>
      </c>
      <c r="AA207" s="9" t="s">
        <v>32</v>
      </c>
      <c r="AB207" s="9" t="s">
        <v>77</v>
      </c>
      <c r="AC207" s="9" t="s">
        <v>6</v>
      </c>
      <c r="AD207" s="9" t="s">
        <v>113</v>
      </c>
      <c r="AE207" s="9">
        <f>IF(Table5[[#This Row],[Team_Name]]=Table5[[#This Row],[Correct_Winner]],1,0)</f>
        <v>1</v>
      </c>
    </row>
    <row r="208" spans="1:31" x14ac:dyDescent="0.3">
      <c r="A208" s="9" t="s">
        <v>73</v>
      </c>
      <c r="B208">
        <v>2012</v>
      </c>
      <c r="C208" s="9" t="s">
        <v>330</v>
      </c>
      <c r="D208" s="9" t="s">
        <v>755</v>
      </c>
      <c r="E208" s="9" t="s">
        <v>331</v>
      </c>
      <c r="F208" s="2" t="s">
        <v>206</v>
      </c>
      <c r="G208">
        <v>193</v>
      </c>
      <c r="H208">
        <v>4</v>
      </c>
      <c r="I208" t="str">
        <f>Clean_Data!$I208</f>
        <v>Rangpur Riders</v>
      </c>
      <c r="J208">
        <v>74</v>
      </c>
      <c r="K208">
        <v>10</v>
      </c>
      <c r="L208" s="9" t="s">
        <v>332</v>
      </c>
      <c r="M208" s="9" t="s">
        <v>62</v>
      </c>
      <c r="N208" s="9" t="s">
        <v>26</v>
      </c>
      <c r="O208" s="9" t="s">
        <v>80</v>
      </c>
      <c r="P208" s="9" t="s">
        <v>53</v>
      </c>
      <c r="Q208" s="9" t="s">
        <v>28</v>
      </c>
      <c r="R208" s="9" t="s">
        <v>29</v>
      </c>
      <c r="S208">
        <v>0</v>
      </c>
      <c r="T208">
        <v>119</v>
      </c>
      <c r="U208" s="9" t="s">
        <v>333</v>
      </c>
      <c r="V208" s="9" t="s">
        <v>756</v>
      </c>
      <c r="W208">
        <v>119</v>
      </c>
      <c r="X208" s="9" t="s">
        <v>757</v>
      </c>
      <c r="Y208">
        <v>267</v>
      </c>
      <c r="Z208" s="9" t="s">
        <v>754</v>
      </c>
      <c r="AA208" s="9" t="s">
        <v>56</v>
      </c>
      <c r="AB208" s="9" t="s">
        <v>77</v>
      </c>
      <c r="AC208" s="9" t="s">
        <v>3</v>
      </c>
      <c r="AD208" s="9" t="s">
        <v>53</v>
      </c>
      <c r="AE208" s="9">
        <f>IF(Table5[[#This Row],[Team_Name]]=Table5[[#This Row],[Correct_Winner]],1,0)</f>
        <v>1</v>
      </c>
    </row>
    <row r="209" spans="1:31" x14ac:dyDescent="0.3">
      <c r="A209" s="9" t="s">
        <v>73</v>
      </c>
      <c r="B209">
        <v>2012</v>
      </c>
      <c r="C209" s="9" t="s">
        <v>330</v>
      </c>
      <c r="D209" s="9" t="s">
        <v>755</v>
      </c>
      <c r="E209" s="9" t="s">
        <v>331</v>
      </c>
      <c r="F209" s="3" t="s">
        <v>113</v>
      </c>
      <c r="G209">
        <v>193</v>
      </c>
      <c r="H209">
        <v>4</v>
      </c>
      <c r="I209" t="str">
        <f>Clean_Data!$I209</f>
        <v>Dhaka Dynamites</v>
      </c>
      <c r="J209">
        <v>74</v>
      </c>
      <c r="K209">
        <v>10</v>
      </c>
      <c r="L209" s="9" t="s">
        <v>332</v>
      </c>
      <c r="M209" s="9" t="s">
        <v>62</v>
      </c>
      <c r="N209" s="9" t="s">
        <v>26</v>
      </c>
      <c r="O209" s="9" t="s">
        <v>80</v>
      </c>
      <c r="P209" s="9" t="s">
        <v>53</v>
      </c>
      <c r="Q209" s="9" t="s">
        <v>28</v>
      </c>
      <c r="R209" s="9" t="s">
        <v>29</v>
      </c>
      <c r="S209">
        <v>0</v>
      </c>
      <c r="T209">
        <v>119</v>
      </c>
      <c r="U209" s="9" t="s">
        <v>333</v>
      </c>
      <c r="V209" s="9" t="s">
        <v>756</v>
      </c>
      <c r="W209">
        <v>119</v>
      </c>
      <c r="X209" s="9" t="s">
        <v>757</v>
      </c>
      <c r="Y209">
        <v>267</v>
      </c>
      <c r="Z209" s="9" t="s">
        <v>754</v>
      </c>
      <c r="AA209" s="9" t="s">
        <v>56</v>
      </c>
      <c r="AB209" s="9" t="s">
        <v>77</v>
      </c>
      <c r="AC209" s="9" t="s">
        <v>6</v>
      </c>
      <c r="AD209" s="9" t="s">
        <v>62</v>
      </c>
      <c r="AE209" s="9">
        <f>IF(Table5[[#This Row],[Team_Name]]=Table5[[#This Row],[Correct_Winner]],1,0)</f>
        <v>0</v>
      </c>
    </row>
    <row r="210" spans="1:31" x14ac:dyDescent="0.3">
      <c r="A210" s="9" t="s">
        <v>73</v>
      </c>
      <c r="B210">
        <v>2012</v>
      </c>
      <c r="C210" s="9" t="s">
        <v>334</v>
      </c>
      <c r="D210" s="9" t="s">
        <v>755</v>
      </c>
      <c r="E210" s="9" t="s">
        <v>331</v>
      </c>
      <c r="F210" s="2" t="s">
        <v>199</v>
      </c>
      <c r="G210">
        <v>138</v>
      </c>
      <c r="H210">
        <v>9</v>
      </c>
      <c r="I210" t="str">
        <f>Clean_Data!$I210</f>
        <v>Khulna Titans</v>
      </c>
      <c r="J210">
        <v>140</v>
      </c>
      <c r="K210">
        <v>3</v>
      </c>
      <c r="L210" s="9" t="s">
        <v>335</v>
      </c>
      <c r="M210" s="9" t="s">
        <v>41</v>
      </c>
      <c r="N210" s="9" t="s">
        <v>37</v>
      </c>
      <c r="O210" s="9" t="s">
        <v>98</v>
      </c>
      <c r="P210" s="9" t="s">
        <v>35</v>
      </c>
      <c r="Q210" s="9" t="s">
        <v>28</v>
      </c>
      <c r="R210" s="9" t="s">
        <v>29</v>
      </c>
      <c r="S210">
        <v>7</v>
      </c>
      <c r="T210">
        <v>0</v>
      </c>
      <c r="U210" s="9" t="s">
        <v>118</v>
      </c>
      <c r="V210" s="9" t="s">
        <v>752</v>
      </c>
      <c r="W210">
        <v>7</v>
      </c>
      <c r="X210" s="9" t="s">
        <v>753</v>
      </c>
      <c r="Y210">
        <v>278</v>
      </c>
      <c r="Z210" s="9" t="s">
        <v>754</v>
      </c>
      <c r="AA210" s="9" t="s">
        <v>32</v>
      </c>
      <c r="AB210" s="9" t="s">
        <v>57</v>
      </c>
      <c r="AC210" s="9" t="s">
        <v>3</v>
      </c>
      <c r="AD210" s="9" t="s">
        <v>41</v>
      </c>
      <c r="AE210" s="9">
        <f>IF(Table5[[#This Row],[Team_Name]]=Table5[[#This Row],[Correct_Winner]],1,0)</f>
        <v>0</v>
      </c>
    </row>
    <row r="211" spans="1:31" x14ac:dyDescent="0.3">
      <c r="A211" s="9" t="s">
        <v>73</v>
      </c>
      <c r="B211">
        <v>2012</v>
      </c>
      <c r="C211" s="9" t="s">
        <v>334</v>
      </c>
      <c r="D211" s="9" t="s">
        <v>755</v>
      </c>
      <c r="E211" s="9" t="s">
        <v>331</v>
      </c>
      <c r="F211" s="3" t="s">
        <v>113</v>
      </c>
      <c r="G211">
        <v>138</v>
      </c>
      <c r="H211">
        <v>9</v>
      </c>
      <c r="I211" t="str">
        <f>Clean_Data!$I211</f>
        <v>Sylhet Sixers</v>
      </c>
      <c r="J211">
        <v>140</v>
      </c>
      <c r="K211">
        <v>3</v>
      </c>
      <c r="L211" s="9" t="s">
        <v>335</v>
      </c>
      <c r="M211" s="9" t="s">
        <v>41</v>
      </c>
      <c r="N211" s="9" t="s">
        <v>37</v>
      </c>
      <c r="O211" s="9" t="s">
        <v>98</v>
      </c>
      <c r="P211" s="9" t="s">
        <v>35</v>
      </c>
      <c r="Q211" s="9" t="s">
        <v>28</v>
      </c>
      <c r="R211" s="9" t="s">
        <v>29</v>
      </c>
      <c r="S211">
        <v>7</v>
      </c>
      <c r="T211">
        <v>0</v>
      </c>
      <c r="U211" s="9" t="s">
        <v>118</v>
      </c>
      <c r="V211" s="9" t="s">
        <v>752</v>
      </c>
      <c r="W211">
        <v>7</v>
      </c>
      <c r="X211" s="9" t="s">
        <v>753</v>
      </c>
      <c r="Y211">
        <v>278</v>
      </c>
      <c r="Z211" s="9" t="s">
        <v>754</v>
      </c>
      <c r="AA211" s="9" t="s">
        <v>32</v>
      </c>
      <c r="AB211" s="9" t="s">
        <v>57</v>
      </c>
      <c r="AC211" s="9" t="s">
        <v>6</v>
      </c>
      <c r="AD211" s="9" t="s">
        <v>35</v>
      </c>
      <c r="AE211" s="9">
        <f>IF(Table5[[#This Row],[Team_Name]]=Table5[[#This Row],[Correct_Winner]],1,0)</f>
        <v>1</v>
      </c>
    </row>
    <row r="212" spans="1:31" x14ac:dyDescent="0.3">
      <c r="A212" s="9" t="s">
        <v>73</v>
      </c>
      <c r="B212">
        <v>2012</v>
      </c>
      <c r="C212" s="9" t="s">
        <v>336</v>
      </c>
      <c r="D212" s="9" t="s">
        <v>755</v>
      </c>
      <c r="E212" s="9" t="s">
        <v>337</v>
      </c>
      <c r="F212" s="2" t="s">
        <v>160</v>
      </c>
      <c r="G212">
        <v>197</v>
      </c>
      <c r="H212">
        <v>4</v>
      </c>
      <c r="I212" t="str">
        <f>Clean_Data!$I212</f>
        <v>Comilla Victorians</v>
      </c>
      <c r="J212">
        <v>198</v>
      </c>
      <c r="K212">
        <v>4</v>
      </c>
      <c r="L212" s="9" t="s">
        <v>338</v>
      </c>
      <c r="M212" s="9" t="s">
        <v>62</v>
      </c>
      <c r="N212" s="9" t="s">
        <v>26</v>
      </c>
      <c r="O212" s="9" t="s">
        <v>64</v>
      </c>
      <c r="P212" s="9" t="s">
        <v>62</v>
      </c>
      <c r="Q212" s="9" t="s">
        <v>28</v>
      </c>
      <c r="R212" s="9" t="s">
        <v>29</v>
      </c>
      <c r="S212">
        <v>6</v>
      </c>
      <c r="T212">
        <v>0</v>
      </c>
      <c r="U212" s="9" t="s">
        <v>151</v>
      </c>
      <c r="V212" s="9" t="s">
        <v>752</v>
      </c>
      <c r="W212">
        <v>6</v>
      </c>
      <c r="X212" s="9" t="s">
        <v>753</v>
      </c>
      <c r="Y212">
        <v>395</v>
      </c>
      <c r="Z212" s="9" t="s">
        <v>754</v>
      </c>
      <c r="AA212" s="9" t="s">
        <v>32</v>
      </c>
      <c r="AB212" s="9" t="s">
        <v>77</v>
      </c>
      <c r="AC212" s="9" t="s">
        <v>3</v>
      </c>
      <c r="AD212" s="9" t="s">
        <v>113</v>
      </c>
      <c r="AE212" s="9">
        <f>IF(Table5[[#This Row],[Team_Name]]=Table5[[#This Row],[Correct_Winner]],1,0)</f>
        <v>0</v>
      </c>
    </row>
    <row r="213" spans="1:31" x14ac:dyDescent="0.3">
      <c r="A213" s="9" t="s">
        <v>73</v>
      </c>
      <c r="B213">
        <v>2012</v>
      </c>
      <c r="C213" s="9" t="s">
        <v>336</v>
      </c>
      <c r="D213" s="9" t="s">
        <v>755</v>
      </c>
      <c r="E213" s="9" t="s">
        <v>337</v>
      </c>
      <c r="F213" s="3" t="s">
        <v>143</v>
      </c>
      <c r="G213">
        <v>197</v>
      </c>
      <c r="H213">
        <v>4</v>
      </c>
      <c r="I213" t="str">
        <f>Clean_Data!$I213</f>
        <v>Rangpur Riders</v>
      </c>
      <c r="J213">
        <v>198</v>
      </c>
      <c r="K213">
        <v>4</v>
      </c>
      <c r="L213" s="9" t="s">
        <v>338</v>
      </c>
      <c r="M213" s="9" t="s">
        <v>62</v>
      </c>
      <c r="N213" s="9" t="s">
        <v>26</v>
      </c>
      <c r="O213" s="9" t="s">
        <v>64</v>
      </c>
      <c r="P213" s="9" t="s">
        <v>62</v>
      </c>
      <c r="Q213" s="9" t="s">
        <v>28</v>
      </c>
      <c r="R213" s="9" t="s">
        <v>29</v>
      </c>
      <c r="S213">
        <v>6</v>
      </c>
      <c r="T213">
        <v>0</v>
      </c>
      <c r="U213" s="9" t="s">
        <v>151</v>
      </c>
      <c r="V213" s="9" t="s">
        <v>752</v>
      </c>
      <c r="W213">
        <v>6</v>
      </c>
      <c r="X213" s="9" t="s">
        <v>753</v>
      </c>
      <c r="Y213">
        <v>395</v>
      </c>
      <c r="Z213" s="9" t="s">
        <v>754</v>
      </c>
      <c r="AA213" s="9" t="s">
        <v>32</v>
      </c>
      <c r="AB213" s="9" t="s">
        <v>77</v>
      </c>
      <c r="AC213" s="9" t="s">
        <v>6</v>
      </c>
      <c r="AD213" s="9" t="s">
        <v>62</v>
      </c>
      <c r="AE213" s="9">
        <f>IF(Table5[[#This Row],[Team_Name]]=Table5[[#This Row],[Correct_Winner]],1,0)</f>
        <v>1</v>
      </c>
    </row>
    <row r="214" spans="1:31" x14ac:dyDescent="0.3">
      <c r="A214" s="9" t="s">
        <v>73</v>
      </c>
      <c r="B214">
        <v>2012</v>
      </c>
      <c r="C214" s="9" t="s">
        <v>45</v>
      </c>
      <c r="D214" s="9" t="s">
        <v>755</v>
      </c>
      <c r="E214" s="9" t="s">
        <v>337</v>
      </c>
      <c r="F214" s="2" t="s">
        <v>160</v>
      </c>
      <c r="G214">
        <v>156</v>
      </c>
      <c r="H214">
        <v>5</v>
      </c>
      <c r="I214" t="str">
        <f>Clean_Data!$I214</f>
        <v>Rajshahi Kings</v>
      </c>
      <c r="J214">
        <v>67</v>
      </c>
      <c r="K214">
        <v>10</v>
      </c>
      <c r="L214" s="9" t="s">
        <v>84</v>
      </c>
      <c r="M214" s="9" t="s">
        <v>35</v>
      </c>
      <c r="N214" s="9" t="s">
        <v>26</v>
      </c>
      <c r="O214" s="9" t="s">
        <v>80</v>
      </c>
      <c r="P214" s="9" t="s">
        <v>53</v>
      </c>
      <c r="Q214" s="9" t="s">
        <v>28</v>
      </c>
      <c r="R214" s="9" t="s">
        <v>29</v>
      </c>
      <c r="S214">
        <v>0</v>
      </c>
      <c r="T214">
        <v>89</v>
      </c>
      <c r="U214" s="9" t="s">
        <v>339</v>
      </c>
      <c r="V214" s="9" t="s">
        <v>756</v>
      </c>
      <c r="W214">
        <v>89</v>
      </c>
      <c r="X214" s="9" t="s">
        <v>757</v>
      </c>
      <c r="Y214">
        <v>223</v>
      </c>
      <c r="Z214" s="9" t="s">
        <v>754</v>
      </c>
      <c r="AA214" s="9" t="s">
        <v>57</v>
      </c>
      <c r="AB214" s="9" t="s">
        <v>66</v>
      </c>
      <c r="AC214" s="9" t="s">
        <v>3</v>
      </c>
      <c r="AD214" s="9" t="s">
        <v>53</v>
      </c>
      <c r="AE214" s="9">
        <f>IF(Table5[[#This Row],[Team_Name]]=Table5[[#This Row],[Correct_Winner]],1,0)</f>
        <v>1</v>
      </c>
    </row>
    <row r="215" spans="1:31" x14ac:dyDescent="0.3">
      <c r="A215" s="9" t="s">
        <v>73</v>
      </c>
      <c r="B215">
        <v>2012</v>
      </c>
      <c r="C215" s="9" t="s">
        <v>45</v>
      </c>
      <c r="D215" s="9" t="s">
        <v>755</v>
      </c>
      <c r="E215" s="9" t="s">
        <v>337</v>
      </c>
      <c r="F215" s="3" t="s">
        <v>179</v>
      </c>
      <c r="G215">
        <v>156</v>
      </c>
      <c r="H215">
        <v>5</v>
      </c>
      <c r="I215" t="str">
        <f>Clean_Data!$I215</f>
        <v>Khulna Titans</v>
      </c>
      <c r="J215">
        <v>67</v>
      </c>
      <c r="K215">
        <v>10</v>
      </c>
      <c r="L215" s="9" t="s">
        <v>84</v>
      </c>
      <c r="M215" s="9" t="s">
        <v>35</v>
      </c>
      <c r="N215" s="9" t="s">
        <v>26</v>
      </c>
      <c r="O215" s="9" t="s">
        <v>80</v>
      </c>
      <c r="P215" s="9" t="s">
        <v>53</v>
      </c>
      <c r="Q215" s="9" t="s">
        <v>28</v>
      </c>
      <c r="R215" s="9" t="s">
        <v>29</v>
      </c>
      <c r="S215">
        <v>0</v>
      </c>
      <c r="T215">
        <v>89</v>
      </c>
      <c r="U215" s="9" t="s">
        <v>339</v>
      </c>
      <c r="V215" s="9" t="s">
        <v>756</v>
      </c>
      <c r="W215">
        <v>89</v>
      </c>
      <c r="X215" s="9" t="s">
        <v>757</v>
      </c>
      <c r="Y215">
        <v>223</v>
      </c>
      <c r="Z215" s="9" t="s">
        <v>754</v>
      </c>
      <c r="AA215" s="9" t="s">
        <v>57</v>
      </c>
      <c r="AB215" s="9" t="s">
        <v>66</v>
      </c>
      <c r="AC215" s="9" t="s">
        <v>6</v>
      </c>
      <c r="AD215" s="9" t="s">
        <v>35</v>
      </c>
      <c r="AE215" s="9">
        <f>IF(Table5[[#This Row],[Team_Name]]=Table5[[#This Row],[Correct_Winner]],1,0)</f>
        <v>0</v>
      </c>
    </row>
    <row r="216" spans="1:31" x14ac:dyDescent="0.3">
      <c r="A216" s="9" t="s">
        <v>73</v>
      </c>
      <c r="B216">
        <v>2012</v>
      </c>
      <c r="C216" s="9" t="s">
        <v>51</v>
      </c>
      <c r="D216" s="9" t="s">
        <v>755</v>
      </c>
      <c r="E216" s="9" t="s">
        <v>340</v>
      </c>
      <c r="F216" s="2" t="s">
        <v>238</v>
      </c>
      <c r="G216">
        <v>217</v>
      </c>
      <c r="H216">
        <v>4</v>
      </c>
      <c r="I216" t="str">
        <f>Clean_Data!$I216</f>
        <v>Rajshahi Kings</v>
      </c>
      <c r="J216">
        <v>129</v>
      </c>
      <c r="K216">
        <v>10</v>
      </c>
      <c r="L216" s="9" t="s">
        <v>182</v>
      </c>
      <c r="M216" s="9" t="s">
        <v>113</v>
      </c>
      <c r="N216" s="9" t="s">
        <v>26</v>
      </c>
      <c r="O216" s="9" t="s">
        <v>27</v>
      </c>
      <c r="P216" s="9" t="s">
        <v>24</v>
      </c>
      <c r="Q216" s="9" t="s">
        <v>28</v>
      </c>
      <c r="R216" s="9" t="s">
        <v>29</v>
      </c>
      <c r="S216">
        <v>0</v>
      </c>
      <c r="T216">
        <v>88</v>
      </c>
      <c r="U216" s="9" t="s">
        <v>341</v>
      </c>
      <c r="V216" s="9" t="s">
        <v>756</v>
      </c>
      <c r="W216">
        <v>88</v>
      </c>
      <c r="X216" s="9" t="s">
        <v>757</v>
      </c>
      <c r="Y216">
        <v>346</v>
      </c>
      <c r="Z216" s="9" t="s">
        <v>754</v>
      </c>
      <c r="AA216" s="9" t="s">
        <v>32</v>
      </c>
      <c r="AB216" s="9" t="s">
        <v>225</v>
      </c>
      <c r="AC216" s="9" t="s">
        <v>3</v>
      </c>
      <c r="AD216" s="9" t="s">
        <v>24</v>
      </c>
      <c r="AE216" s="9">
        <f>IF(Table5[[#This Row],[Team_Name]]=Table5[[#This Row],[Correct_Winner]],1,0)</f>
        <v>1</v>
      </c>
    </row>
    <row r="217" spans="1:31" x14ac:dyDescent="0.3">
      <c r="A217" s="9" t="s">
        <v>73</v>
      </c>
      <c r="B217">
        <v>2012</v>
      </c>
      <c r="C217" s="9" t="s">
        <v>51</v>
      </c>
      <c r="D217" s="9" t="s">
        <v>755</v>
      </c>
      <c r="E217" s="9" t="s">
        <v>340</v>
      </c>
      <c r="F217" s="3" t="s">
        <v>179</v>
      </c>
      <c r="G217">
        <v>217</v>
      </c>
      <c r="H217">
        <v>4</v>
      </c>
      <c r="I217" t="str">
        <f>Clean_Data!$I217</f>
        <v>Comilla Victorians</v>
      </c>
      <c r="J217">
        <v>129</v>
      </c>
      <c r="K217">
        <v>10</v>
      </c>
      <c r="L217" s="9" t="s">
        <v>182</v>
      </c>
      <c r="M217" s="9" t="s">
        <v>113</v>
      </c>
      <c r="N217" s="9" t="s">
        <v>26</v>
      </c>
      <c r="O217" s="9" t="s">
        <v>27</v>
      </c>
      <c r="P217" s="9" t="s">
        <v>24</v>
      </c>
      <c r="Q217" s="9" t="s">
        <v>28</v>
      </c>
      <c r="R217" s="9" t="s">
        <v>29</v>
      </c>
      <c r="S217">
        <v>0</v>
      </c>
      <c r="T217">
        <v>88</v>
      </c>
      <c r="U217" s="9" t="s">
        <v>341</v>
      </c>
      <c r="V217" s="9" t="s">
        <v>756</v>
      </c>
      <c r="W217">
        <v>88</v>
      </c>
      <c r="X217" s="9" t="s">
        <v>757</v>
      </c>
      <c r="Y217">
        <v>346</v>
      </c>
      <c r="Z217" s="9" t="s">
        <v>754</v>
      </c>
      <c r="AA217" s="9" t="s">
        <v>32</v>
      </c>
      <c r="AB217" s="9" t="s">
        <v>225</v>
      </c>
      <c r="AC217" s="9" t="s">
        <v>6</v>
      </c>
      <c r="AD217" s="9" t="s">
        <v>113</v>
      </c>
      <c r="AE217" s="9">
        <f>IF(Table5[[#This Row],[Team_Name]]=Table5[[#This Row],[Correct_Winner]],1,0)</f>
        <v>0</v>
      </c>
    </row>
    <row r="218" spans="1:31" x14ac:dyDescent="0.3">
      <c r="A218" s="9" t="s">
        <v>73</v>
      </c>
      <c r="B218">
        <v>2012</v>
      </c>
      <c r="C218" s="9" t="s">
        <v>58</v>
      </c>
      <c r="D218" s="9" t="s">
        <v>755</v>
      </c>
      <c r="E218" s="9" t="s">
        <v>340</v>
      </c>
      <c r="F218" s="2" t="s">
        <v>206</v>
      </c>
      <c r="G218">
        <v>147</v>
      </c>
      <c r="H218">
        <v>8</v>
      </c>
      <c r="I218" t="str">
        <f>Clean_Data!$I218</f>
        <v>Dhaka Dynamites</v>
      </c>
      <c r="J218">
        <v>152</v>
      </c>
      <c r="K218">
        <v>5</v>
      </c>
      <c r="L218" s="9" t="s">
        <v>188</v>
      </c>
      <c r="M218" s="9" t="s">
        <v>41</v>
      </c>
      <c r="N218" s="9" t="s">
        <v>26</v>
      </c>
      <c r="O218" s="9" t="s">
        <v>48</v>
      </c>
      <c r="P218" s="9" t="s">
        <v>41</v>
      </c>
      <c r="Q218" s="9" t="s">
        <v>28</v>
      </c>
      <c r="R218" s="9" t="s">
        <v>29</v>
      </c>
      <c r="S218">
        <v>5</v>
      </c>
      <c r="T218">
        <v>0</v>
      </c>
      <c r="U218" s="9" t="s">
        <v>55</v>
      </c>
      <c r="V218" s="9" t="s">
        <v>752</v>
      </c>
      <c r="W218">
        <v>5</v>
      </c>
      <c r="X218" s="9" t="s">
        <v>753</v>
      </c>
      <c r="Y218">
        <v>299</v>
      </c>
      <c r="Z218" s="9" t="s">
        <v>754</v>
      </c>
      <c r="AA218" s="9" t="s">
        <v>32</v>
      </c>
      <c r="AB218" s="9" t="s">
        <v>66</v>
      </c>
      <c r="AC218" s="9" t="s">
        <v>3</v>
      </c>
      <c r="AD218" s="9" t="s">
        <v>62</v>
      </c>
      <c r="AE218" s="9">
        <f>IF(Table5[[#This Row],[Team_Name]]=Table5[[#This Row],[Correct_Winner]],1,0)</f>
        <v>0</v>
      </c>
    </row>
    <row r="219" spans="1:31" x14ac:dyDescent="0.3">
      <c r="A219" s="9" t="s">
        <v>73</v>
      </c>
      <c r="B219">
        <v>2012</v>
      </c>
      <c r="C219" s="9" t="s">
        <v>58</v>
      </c>
      <c r="D219" s="9" t="s">
        <v>755</v>
      </c>
      <c r="E219" s="9" t="s">
        <v>340</v>
      </c>
      <c r="F219" s="3" t="s">
        <v>199</v>
      </c>
      <c r="G219">
        <v>147</v>
      </c>
      <c r="H219">
        <v>8</v>
      </c>
      <c r="I219" t="str">
        <f>Clean_Data!$I219</f>
        <v>Comilla Victorians</v>
      </c>
      <c r="J219">
        <v>152</v>
      </c>
      <c r="K219">
        <v>5</v>
      </c>
      <c r="L219" s="9" t="s">
        <v>188</v>
      </c>
      <c r="M219" s="9" t="s">
        <v>41</v>
      </c>
      <c r="N219" s="9" t="s">
        <v>26</v>
      </c>
      <c r="O219" s="9" t="s">
        <v>48</v>
      </c>
      <c r="P219" s="9" t="s">
        <v>41</v>
      </c>
      <c r="Q219" s="9" t="s">
        <v>28</v>
      </c>
      <c r="R219" s="9" t="s">
        <v>29</v>
      </c>
      <c r="S219">
        <v>5</v>
      </c>
      <c r="T219">
        <v>0</v>
      </c>
      <c r="U219" s="9" t="s">
        <v>55</v>
      </c>
      <c r="V219" s="9" t="s">
        <v>752</v>
      </c>
      <c r="W219">
        <v>5</v>
      </c>
      <c r="X219" s="9" t="s">
        <v>753</v>
      </c>
      <c r="Y219">
        <v>299</v>
      </c>
      <c r="Z219" s="9" t="s">
        <v>754</v>
      </c>
      <c r="AA219" s="9" t="s">
        <v>32</v>
      </c>
      <c r="AB219" s="9" t="s">
        <v>66</v>
      </c>
      <c r="AC219" s="9" t="s">
        <v>6</v>
      </c>
      <c r="AD219" s="9" t="s">
        <v>41</v>
      </c>
      <c r="AE219" s="9">
        <f>IF(Table5[[#This Row],[Team_Name]]=Table5[[#This Row],[Correct_Winner]],1,0)</f>
        <v>1</v>
      </c>
    </row>
    <row r="220" spans="1:31" x14ac:dyDescent="0.3">
      <c r="A220" s="9" t="s">
        <v>73</v>
      </c>
      <c r="B220">
        <v>2012</v>
      </c>
      <c r="C220" s="9" t="s">
        <v>60</v>
      </c>
      <c r="D220" s="9" t="s">
        <v>755</v>
      </c>
      <c r="E220" s="9" t="s">
        <v>342</v>
      </c>
      <c r="F220" s="2" t="s">
        <v>206</v>
      </c>
      <c r="G220">
        <v>145</v>
      </c>
      <c r="H220">
        <v>7</v>
      </c>
      <c r="I220" t="str">
        <f>Clean_Data!$I220</f>
        <v>Chittagong Vikings</v>
      </c>
      <c r="J220">
        <v>148</v>
      </c>
      <c r="K220">
        <v>3</v>
      </c>
      <c r="L220" s="9" t="s">
        <v>36</v>
      </c>
      <c r="M220" s="9" t="s">
        <v>23</v>
      </c>
      <c r="N220" s="9" t="s">
        <v>26</v>
      </c>
      <c r="O220" s="9" t="s">
        <v>43</v>
      </c>
      <c r="P220" s="9" t="s">
        <v>23</v>
      </c>
      <c r="Q220" s="9" t="s">
        <v>28</v>
      </c>
      <c r="R220" s="9" t="s">
        <v>29</v>
      </c>
      <c r="S220">
        <v>7</v>
      </c>
      <c r="T220">
        <v>0</v>
      </c>
      <c r="U220" s="9" t="s">
        <v>118</v>
      </c>
      <c r="V220" s="9" t="s">
        <v>752</v>
      </c>
      <c r="W220">
        <v>7</v>
      </c>
      <c r="X220" s="9" t="s">
        <v>753</v>
      </c>
      <c r="Y220">
        <v>293</v>
      </c>
      <c r="Z220" s="9" t="s">
        <v>754</v>
      </c>
      <c r="AA220" s="9" t="s">
        <v>56</v>
      </c>
      <c r="AB220" s="9" t="s">
        <v>57</v>
      </c>
      <c r="AC220" s="9" t="s">
        <v>3</v>
      </c>
      <c r="AD220" s="9" t="s">
        <v>35</v>
      </c>
      <c r="AE220" s="9">
        <f>IF(Table5[[#This Row],[Team_Name]]=Table5[[#This Row],[Correct_Winner]],1,0)</f>
        <v>0</v>
      </c>
    </row>
    <row r="221" spans="1:31" x14ac:dyDescent="0.3">
      <c r="A221" s="9" t="s">
        <v>73</v>
      </c>
      <c r="B221">
        <v>2012</v>
      </c>
      <c r="C221" s="9" t="s">
        <v>60</v>
      </c>
      <c r="D221" s="9" t="s">
        <v>755</v>
      </c>
      <c r="E221" s="9" t="s">
        <v>342</v>
      </c>
      <c r="F221" s="3" t="s">
        <v>238</v>
      </c>
      <c r="G221">
        <v>145</v>
      </c>
      <c r="H221">
        <v>7</v>
      </c>
      <c r="I221" t="str">
        <f>Clean_Data!$I221</f>
        <v>Dhaka Dynamites</v>
      </c>
      <c r="J221">
        <v>148</v>
      </c>
      <c r="K221">
        <v>3</v>
      </c>
      <c r="L221" s="9" t="s">
        <v>36</v>
      </c>
      <c r="M221" s="9" t="s">
        <v>23</v>
      </c>
      <c r="N221" s="9" t="s">
        <v>26</v>
      </c>
      <c r="O221" s="9" t="s">
        <v>43</v>
      </c>
      <c r="P221" s="9" t="s">
        <v>23</v>
      </c>
      <c r="Q221" s="9" t="s">
        <v>28</v>
      </c>
      <c r="R221" s="9" t="s">
        <v>29</v>
      </c>
      <c r="S221">
        <v>7</v>
      </c>
      <c r="T221">
        <v>0</v>
      </c>
      <c r="U221" s="9" t="s">
        <v>118</v>
      </c>
      <c r="V221" s="9" t="s">
        <v>752</v>
      </c>
      <c r="W221">
        <v>7</v>
      </c>
      <c r="X221" s="9" t="s">
        <v>753</v>
      </c>
      <c r="Y221">
        <v>293</v>
      </c>
      <c r="Z221" s="9" t="s">
        <v>754</v>
      </c>
      <c r="AA221" s="9" t="s">
        <v>56</v>
      </c>
      <c r="AB221" s="9" t="s">
        <v>57</v>
      </c>
      <c r="AC221" s="9" t="s">
        <v>6</v>
      </c>
      <c r="AD221" s="9" t="s">
        <v>23</v>
      </c>
      <c r="AE221" s="9">
        <f>IF(Table5[[#This Row],[Team_Name]]=Table5[[#This Row],[Correct_Winner]],1,0)</f>
        <v>1</v>
      </c>
    </row>
    <row r="222" spans="1:31" x14ac:dyDescent="0.3">
      <c r="A222" s="9" t="s">
        <v>73</v>
      </c>
      <c r="B222">
        <v>2012</v>
      </c>
      <c r="C222" s="9" t="s">
        <v>67</v>
      </c>
      <c r="D222" s="9" t="s">
        <v>755</v>
      </c>
      <c r="E222" s="9" t="s">
        <v>342</v>
      </c>
      <c r="F222" s="2" t="s">
        <v>113</v>
      </c>
      <c r="G222">
        <v>163</v>
      </c>
      <c r="H222">
        <v>3</v>
      </c>
      <c r="I222" t="str">
        <f>Clean_Data!$I222</f>
        <v>Rajshahi Kings</v>
      </c>
      <c r="J222">
        <v>168</v>
      </c>
      <c r="K222">
        <v>3</v>
      </c>
      <c r="L222" s="9" t="s">
        <v>253</v>
      </c>
      <c r="M222" s="9" t="s">
        <v>113</v>
      </c>
      <c r="N222" s="9" t="s">
        <v>37</v>
      </c>
      <c r="O222" s="9" t="s">
        <v>48</v>
      </c>
      <c r="P222" s="9" t="s">
        <v>41</v>
      </c>
      <c r="Q222" s="9" t="s">
        <v>28</v>
      </c>
      <c r="R222" s="9" t="s">
        <v>29</v>
      </c>
      <c r="S222">
        <v>7</v>
      </c>
      <c r="T222">
        <v>0</v>
      </c>
      <c r="U222" s="9" t="s">
        <v>118</v>
      </c>
      <c r="V222" s="9" t="s">
        <v>752</v>
      </c>
      <c r="W222">
        <v>7</v>
      </c>
      <c r="X222" s="9" t="s">
        <v>753</v>
      </c>
      <c r="Y222">
        <v>331</v>
      </c>
      <c r="Z222" s="9" t="s">
        <v>754</v>
      </c>
      <c r="AA222" s="9" t="s">
        <v>32</v>
      </c>
      <c r="AB222" s="9" t="s">
        <v>77</v>
      </c>
      <c r="AC222" s="9" t="s">
        <v>3</v>
      </c>
      <c r="AD222" s="9" t="s">
        <v>113</v>
      </c>
      <c r="AE222" s="9">
        <f>IF(Table5[[#This Row],[Team_Name]]=Table5[[#This Row],[Correct_Winner]],1,0)</f>
        <v>0</v>
      </c>
    </row>
    <row r="223" spans="1:31" x14ac:dyDescent="0.3">
      <c r="A223" s="9" t="s">
        <v>73</v>
      </c>
      <c r="B223">
        <v>2012</v>
      </c>
      <c r="C223" s="9" t="s">
        <v>67</v>
      </c>
      <c r="D223" s="9" t="s">
        <v>755</v>
      </c>
      <c r="E223" s="9" t="s">
        <v>342</v>
      </c>
      <c r="F223" s="3" t="s">
        <v>238</v>
      </c>
      <c r="G223">
        <v>163</v>
      </c>
      <c r="H223">
        <v>3</v>
      </c>
      <c r="I223" t="str">
        <f>Clean_Data!$I223</f>
        <v>Khulna Titans</v>
      </c>
      <c r="J223">
        <v>168</v>
      </c>
      <c r="K223">
        <v>3</v>
      </c>
      <c r="L223" s="9" t="s">
        <v>253</v>
      </c>
      <c r="M223" s="9" t="s">
        <v>113</v>
      </c>
      <c r="N223" s="9" t="s">
        <v>37</v>
      </c>
      <c r="O223" s="9" t="s">
        <v>48</v>
      </c>
      <c r="P223" s="9" t="s">
        <v>41</v>
      </c>
      <c r="Q223" s="9" t="s">
        <v>28</v>
      </c>
      <c r="R223" s="9" t="s">
        <v>29</v>
      </c>
      <c r="S223">
        <v>7</v>
      </c>
      <c r="T223">
        <v>0</v>
      </c>
      <c r="U223" s="9" t="s">
        <v>118</v>
      </c>
      <c r="V223" s="9" t="s">
        <v>752</v>
      </c>
      <c r="W223">
        <v>7</v>
      </c>
      <c r="X223" s="9" t="s">
        <v>753</v>
      </c>
      <c r="Y223">
        <v>331</v>
      </c>
      <c r="Z223" s="9" t="s">
        <v>754</v>
      </c>
      <c r="AA223" s="9" t="s">
        <v>32</v>
      </c>
      <c r="AB223" s="9" t="s">
        <v>77</v>
      </c>
      <c r="AC223" s="9" t="s">
        <v>6</v>
      </c>
      <c r="AD223" s="9" t="s">
        <v>41</v>
      </c>
      <c r="AE223" s="9">
        <f>IF(Table5[[#This Row],[Team_Name]]=Table5[[#This Row],[Correct_Winner]],1,0)</f>
        <v>1</v>
      </c>
    </row>
    <row r="224" spans="1:31" x14ac:dyDescent="0.3">
      <c r="A224" s="9" t="s">
        <v>73</v>
      </c>
      <c r="B224">
        <v>2012</v>
      </c>
      <c r="C224" s="9" t="s">
        <v>68</v>
      </c>
      <c r="D224" s="9" t="s">
        <v>755</v>
      </c>
      <c r="E224" s="9" t="s">
        <v>343</v>
      </c>
      <c r="F224" s="2" t="s">
        <v>179</v>
      </c>
      <c r="G224">
        <v>142</v>
      </c>
      <c r="H224">
        <v>10</v>
      </c>
      <c r="I224" t="str">
        <f>Clean_Data!$I224</f>
        <v>Rangpur Riders</v>
      </c>
      <c r="J224">
        <v>88</v>
      </c>
      <c r="K224">
        <v>8</v>
      </c>
      <c r="L224" s="9" t="s">
        <v>344</v>
      </c>
      <c r="M224" s="9" t="s">
        <v>24</v>
      </c>
      <c r="N224" s="9" t="s">
        <v>26</v>
      </c>
      <c r="O224" s="9" t="s">
        <v>80</v>
      </c>
      <c r="P224" s="9" t="s">
        <v>53</v>
      </c>
      <c r="Q224" s="9" t="s">
        <v>345</v>
      </c>
      <c r="R224" s="9" t="s">
        <v>89</v>
      </c>
      <c r="S224">
        <v>0</v>
      </c>
      <c r="T224">
        <v>54</v>
      </c>
      <c r="U224" s="9" t="s">
        <v>211</v>
      </c>
      <c r="V224" s="9" t="s">
        <v>756</v>
      </c>
      <c r="W224">
        <v>54</v>
      </c>
      <c r="X224" s="9" t="s">
        <v>757</v>
      </c>
      <c r="Y224">
        <v>230</v>
      </c>
      <c r="Z224" s="9" t="s">
        <v>754</v>
      </c>
      <c r="AA224" s="9" t="s">
        <v>50</v>
      </c>
      <c r="AB224" s="9" t="s">
        <v>66</v>
      </c>
      <c r="AC224" s="9" t="s">
        <v>3</v>
      </c>
      <c r="AD224" s="9" t="s">
        <v>53</v>
      </c>
      <c r="AE224" s="9">
        <f>IF(Table5[[#This Row],[Team_Name]]=Table5[[#This Row],[Correct_Winner]],1,0)</f>
        <v>1</v>
      </c>
    </row>
    <row r="225" spans="1:31" x14ac:dyDescent="0.3">
      <c r="A225" s="9" t="s">
        <v>73</v>
      </c>
      <c r="B225">
        <v>2012</v>
      </c>
      <c r="C225" s="9" t="s">
        <v>68</v>
      </c>
      <c r="D225" s="9" t="s">
        <v>755</v>
      </c>
      <c r="E225" s="9" t="s">
        <v>343</v>
      </c>
      <c r="F225" s="3" t="s">
        <v>238</v>
      </c>
      <c r="G225">
        <v>142</v>
      </c>
      <c r="H225">
        <v>10</v>
      </c>
      <c r="I225" t="str">
        <f>Clean_Data!$I225</f>
        <v>Rajshahi Kings</v>
      </c>
      <c r="J225">
        <v>88</v>
      </c>
      <c r="K225">
        <v>8</v>
      </c>
      <c r="L225" s="9" t="s">
        <v>344</v>
      </c>
      <c r="M225" s="9" t="s">
        <v>24</v>
      </c>
      <c r="N225" s="9" t="s">
        <v>26</v>
      </c>
      <c r="O225" s="9" t="s">
        <v>80</v>
      </c>
      <c r="P225" s="9" t="s">
        <v>53</v>
      </c>
      <c r="Q225" s="9" t="s">
        <v>345</v>
      </c>
      <c r="R225" s="9" t="s">
        <v>89</v>
      </c>
      <c r="S225">
        <v>0</v>
      </c>
      <c r="T225">
        <v>54</v>
      </c>
      <c r="U225" s="9" t="s">
        <v>211</v>
      </c>
      <c r="V225" s="9" t="s">
        <v>756</v>
      </c>
      <c r="W225">
        <v>54</v>
      </c>
      <c r="X225" s="9" t="s">
        <v>757</v>
      </c>
      <c r="Y225">
        <v>230</v>
      </c>
      <c r="Z225" s="9" t="s">
        <v>754</v>
      </c>
      <c r="AA225" s="9" t="s">
        <v>50</v>
      </c>
      <c r="AB225" s="9" t="s">
        <v>66</v>
      </c>
      <c r="AC225" s="9" t="s">
        <v>6</v>
      </c>
      <c r="AD225" s="9" t="s">
        <v>24</v>
      </c>
      <c r="AE225" s="9">
        <f>IF(Table5[[#This Row],[Team_Name]]=Table5[[#This Row],[Correct_Winner]],1,0)</f>
        <v>0</v>
      </c>
    </row>
    <row r="226" spans="1:31" x14ac:dyDescent="0.3">
      <c r="A226" s="9" t="s">
        <v>73</v>
      </c>
      <c r="B226">
        <v>2012</v>
      </c>
      <c r="C226" s="9" t="s">
        <v>78</v>
      </c>
      <c r="D226" s="9" t="s">
        <v>755</v>
      </c>
      <c r="E226" s="9" t="s">
        <v>343</v>
      </c>
      <c r="F226" s="2" t="s">
        <v>179</v>
      </c>
      <c r="G226">
        <v>152</v>
      </c>
      <c r="H226">
        <v>6</v>
      </c>
      <c r="I226" t="str">
        <f>Clean_Data!$I226</f>
        <v>Comilla Victorians</v>
      </c>
      <c r="J226">
        <v>153</v>
      </c>
      <c r="K226">
        <v>6</v>
      </c>
      <c r="L226" s="9" t="s">
        <v>188</v>
      </c>
      <c r="M226" s="9" t="s">
        <v>23</v>
      </c>
      <c r="N226" s="9" t="s">
        <v>37</v>
      </c>
      <c r="O226" s="9" t="s">
        <v>48</v>
      </c>
      <c r="P226" s="9" t="s">
        <v>41</v>
      </c>
      <c r="Q226" s="9" t="s">
        <v>345</v>
      </c>
      <c r="R226" s="9" t="s">
        <v>89</v>
      </c>
      <c r="S226">
        <v>4</v>
      </c>
      <c r="T226">
        <v>0</v>
      </c>
      <c r="U226" s="9" t="s">
        <v>90</v>
      </c>
      <c r="V226" s="9" t="s">
        <v>752</v>
      </c>
      <c r="W226">
        <v>4</v>
      </c>
      <c r="X226" s="9" t="s">
        <v>753</v>
      </c>
      <c r="Y226">
        <v>305</v>
      </c>
      <c r="Z226" s="9" t="s">
        <v>754</v>
      </c>
      <c r="AA226" s="9" t="s">
        <v>56</v>
      </c>
      <c r="AB226" s="9" t="s">
        <v>57</v>
      </c>
      <c r="AC226" s="9" t="s">
        <v>3</v>
      </c>
      <c r="AD226" s="9" t="s">
        <v>23</v>
      </c>
      <c r="AE226" s="9">
        <f>IF(Table5[[#This Row],[Team_Name]]=Table5[[#This Row],[Correct_Winner]],1,0)</f>
        <v>0</v>
      </c>
    </row>
    <row r="227" spans="1:31" x14ac:dyDescent="0.3">
      <c r="A227" s="9" t="s">
        <v>73</v>
      </c>
      <c r="B227">
        <v>2012</v>
      </c>
      <c r="C227" s="9" t="s">
        <v>78</v>
      </c>
      <c r="D227" s="9" t="s">
        <v>755</v>
      </c>
      <c r="E227" s="9" t="s">
        <v>343</v>
      </c>
      <c r="F227" s="3" t="s">
        <v>160</v>
      </c>
      <c r="G227">
        <v>152</v>
      </c>
      <c r="H227">
        <v>6</v>
      </c>
      <c r="I227" t="str">
        <f>Clean_Data!$I227</f>
        <v>Khulna Titans</v>
      </c>
      <c r="J227">
        <v>153</v>
      </c>
      <c r="K227">
        <v>6</v>
      </c>
      <c r="L227" s="9" t="s">
        <v>188</v>
      </c>
      <c r="M227" s="9" t="s">
        <v>23</v>
      </c>
      <c r="N227" s="9" t="s">
        <v>37</v>
      </c>
      <c r="O227" s="9" t="s">
        <v>48</v>
      </c>
      <c r="P227" s="9" t="s">
        <v>41</v>
      </c>
      <c r="Q227" s="9" t="s">
        <v>345</v>
      </c>
      <c r="R227" s="9" t="s">
        <v>89</v>
      </c>
      <c r="S227">
        <v>4</v>
      </c>
      <c r="T227">
        <v>0</v>
      </c>
      <c r="U227" s="9" t="s">
        <v>90</v>
      </c>
      <c r="V227" s="9" t="s">
        <v>752</v>
      </c>
      <c r="W227">
        <v>4</v>
      </c>
      <c r="X227" s="9" t="s">
        <v>753</v>
      </c>
      <c r="Y227">
        <v>305</v>
      </c>
      <c r="Z227" s="9" t="s">
        <v>754</v>
      </c>
      <c r="AA227" s="9" t="s">
        <v>56</v>
      </c>
      <c r="AB227" s="9" t="s">
        <v>57</v>
      </c>
      <c r="AC227" s="9" t="s">
        <v>6</v>
      </c>
      <c r="AD227" s="9" t="s">
        <v>41</v>
      </c>
      <c r="AE227" s="9">
        <f>IF(Table5[[#This Row],[Team_Name]]=Table5[[#This Row],[Correct_Winner]],1,0)</f>
        <v>1</v>
      </c>
    </row>
    <row r="228" spans="1:31" x14ac:dyDescent="0.3">
      <c r="A228" s="9" t="s">
        <v>73</v>
      </c>
      <c r="B228">
        <v>2012</v>
      </c>
      <c r="C228" s="9" t="s">
        <v>85</v>
      </c>
      <c r="D228" s="9" t="s">
        <v>755</v>
      </c>
      <c r="E228" s="9" t="s">
        <v>346</v>
      </c>
      <c r="F228" s="2" t="s">
        <v>143</v>
      </c>
      <c r="G228">
        <v>136</v>
      </c>
      <c r="H228">
        <v>5</v>
      </c>
      <c r="I228" t="str">
        <f>Clean_Data!$I228</f>
        <v>Sylhet Sixers</v>
      </c>
      <c r="J228">
        <v>137</v>
      </c>
      <c r="K228">
        <v>2</v>
      </c>
      <c r="L228" s="9" t="s">
        <v>332</v>
      </c>
      <c r="M228" s="9" t="s">
        <v>53</v>
      </c>
      <c r="N228" s="9" t="s">
        <v>26</v>
      </c>
      <c r="O228" s="9" t="s">
        <v>80</v>
      </c>
      <c r="P228" s="9" t="s">
        <v>53</v>
      </c>
      <c r="Q228" s="9" t="s">
        <v>345</v>
      </c>
      <c r="R228" s="9" t="s">
        <v>89</v>
      </c>
      <c r="S228">
        <v>8</v>
      </c>
      <c r="T228">
        <v>0</v>
      </c>
      <c r="U228" s="9" t="s">
        <v>30</v>
      </c>
      <c r="V228" s="9" t="s">
        <v>752</v>
      </c>
      <c r="W228">
        <v>8</v>
      </c>
      <c r="X228" s="9" t="s">
        <v>753</v>
      </c>
      <c r="Y228">
        <v>273</v>
      </c>
      <c r="Z228" s="9" t="s">
        <v>754</v>
      </c>
      <c r="AA228" s="9" t="s">
        <v>50</v>
      </c>
      <c r="AB228" s="9" t="s">
        <v>66</v>
      </c>
      <c r="AC228" s="9" t="s">
        <v>3</v>
      </c>
      <c r="AD228" s="9" t="s">
        <v>35</v>
      </c>
      <c r="AE228" s="9">
        <f>IF(Table5[[#This Row],[Team_Name]]=Table5[[#This Row],[Correct_Winner]],1,0)</f>
        <v>0</v>
      </c>
    </row>
    <row r="229" spans="1:31" x14ac:dyDescent="0.3">
      <c r="A229" s="9" t="s">
        <v>73</v>
      </c>
      <c r="B229">
        <v>2012</v>
      </c>
      <c r="C229" s="9" t="s">
        <v>85</v>
      </c>
      <c r="D229" s="9" t="s">
        <v>755</v>
      </c>
      <c r="E229" s="9" t="s">
        <v>346</v>
      </c>
      <c r="F229" s="3" t="s">
        <v>199</v>
      </c>
      <c r="G229">
        <v>136</v>
      </c>
      <c r="H229">
        <v>5</v>
      </c>
      <c r="I229" t="str">
        <f>Clean_Data!$I229</f>
        <v>Rangpur Riders</v>
      </c>
      <c r="J229">
        <v>137</v>
      </c>
      <c r="K229">
        <v>2</v>
      </c>
      <c r="L229" s="9" t="s">
        <v>332</v>
      </c>
      <c r="M229" s="9" t="s">
        <v>53</v>
      </c>
      <c r="N229" s="9" t="s">
        <v>26</v>
      </c>
      <c r="O229" s="9" t="s">
        <v>80</v>
      </c>
      <c r="P229" s="9" t="s">
        <v>53</v>
      </c>
      <c r="Q229" s="9" t="s">
        <v>345</v>
      </c>
      <c r="R229" s="9" t="s">
        <v>89</v>
      </c>
      <c r="S229">
        <v>8</v>
      </c>
      <c r="T229">
        <v>0</v>
      </c>
      <c r="U229" s="9" t="s">
        <v>30</v>
      </c>
      <c r="V229" s="9" t="s">
        <v>752</v>
      </c>
      <c r="W229">
        <v>8</v>
      </c>
      <c r="X229" s="9" t="s">
        <v>753</v>
      </c>
      <c r="Y229">
        <v>273</v>
      </c>
      <c r="Z229" s="9" t="s">
        <v>754</v>
      </c>
      <c r="AA229" s="9" t="s">
        <v>50</v>
      </c>
      <c r="AB229" s="9" t="s">
        <v>66</v>
      </c>
      <c r="AC229" s="9" t="s">
        <v>6</v>
      </c>
      <c r="AD229" s="9" t="s">
        <v>53</v>
      </c>
      <c r="AE229" s="9">
        <f>IF(Table5[[#This Row],[Team_Name]]=Table5[[#This Row],[Correct_Winner]],1,0)</f>
        <v>1</v>
      </c>
    </row>
    <row r="230" spans="1:31" x14ac:dyDescent="0.3">
      <c r="A230" s="9" t="s">
        <v>73</v>
      </c>
      <c r="B230">
        <v>2012</v>
      </c>
      <c r="C230" s="9" t="s">
        <v>91</v>
      </c>
      <c r="D230" s="9" t="s">
        <v>755</v>
      </c>
      <c r="E230" s="9" t="s">
        <v>346</v>
      </c>
      <c r="F230" s="2" t="s">
        <v>160</v>
      </c>
      <c r="G230">
        <v>137</v>
      </c>
      <c r="H230">
        <v>5</v>
      </c>
      <c r="I230" t="str">
        <f>Clean_Data!$I230</f>
        <v>Sylhet Sixers</v>
      </c>
      <c r="J230">
        <v>124</v>
      </c>
      <c r="K230">
        <v>9</v>
      </c>
      <c r="L230" s="9" t="s">
        <v>347</v>
      </c>
      <c r="M230" s="9" t="s">
        <v>24</v>
      </c>
      <c r="N230" s="9" t="s">
        <v>37</v>
      </c>
      <c r="O230" s="9" t="s">
        <v>27</v>
      </c>
      <c r="P230" s="9" t="s">
        <v>24</v>
      </c>
      <c r="Q230" s="9" t="s">
        <v>345</v>
      </c>
      <c r="R230" s="9" t="s">
        <v>89</v>
      </c>
      <c r="S230">
        <v>0</v>
      </c>
      <c r="T230">
        <v>13</v>
      </c>
      <c r="U230" s="9" t="s">
        <v>81</v>
      </c>
      <c r="V230" s="9" t="s">
        <v>756</v>
      </c>
      <c r="W230">
        <v>13</v>
      </c>
      <c r="X230" s="9" t="s">
        <v>757</v>
      </c>
      <c r="Y230">
        <v>261</v>
      </c>
      <c r="Z230" s="9" t="s">
        <v>754</v>
      </c>
      <c r="AA230" s="9" t="s">
        <v>56</v>
      </c>
      <c r="AB230" s="9" t="s">
        <v>57</v>
      </c>
      <c r="AC230" s="9" t="s">
        <v>3</v>
      </c>
      <c r="AD230" s="9" t="s">
        <v>24</v>
      </c>
      <c r="AE230" s="9">
        <f>IF(Table5[[#This Row],[Team_Name]]=Table5[[#This Row],[Correct_Winner]],1,0)</f>
        <v>1</v>
      </c>
    </row>
    <row r="231" spans="1:31" x14ac:dyDescent="0.3">
      <c r="A231" s="9" t="s">
        <v>73</v>
      </c>
      <c r="B231">
        <v>2012</v>
      </c>
      <c r="C231" s="9" t="s">
        <v>91</v>
      </c>
      <c r="D231" s="9" t="s">
        <v>755</v>
      </c>
      <c r="E231" s="9" t="s">
        <v>346</v>
      </c>
      <c r="F231" s="3" t="s">
        <v>199</v>
      </c>
      <c r="G231">
        <v>137</v>
      </c>
      <c r="H231">
        <v>5</v>
      </c>
      <c r="I231" t="str">
        <f>Clean_Data!$I231</f>
        <v>Rangpur Riders</v>
      </c>
      <c r="J231">
        <v>124</v>
      </c>
      <c r="K231">
        <v>9</v>
      </c>
      <c r="L231" s="9" t="s">
        <v>347</v>
      </c>
      <c r="M231" s="9" t="s">
        <v>24</v>
      </c>
      <c r="N231" s="9" t="s">
        <v>37</v>
      </c>
      <c r="O231" s="9" t="s">
        <v>27</v>
      </c>
      <c r="P231" s="9" t="s">
        <v>24</v>
      </c>
      <c r="Q231" s="9" t="s">
        <v>345</v>
      </c>
      <c r="R231" s="9" t="s">
        <v>89</v>
      </c>
      <c r="S231">
        <v>0</v>
      </c>
      <c r="T231">
        <v>13</v>
      </c>
      <c r="U231" s="9" t="s">
        <v>81</v>
      </c>
      <c r="V231" s="9" t="s">
        <v>756</v>
      </c>
      <c r="W231">
        <v>13</v>
      </c>
      <c r="X231" s="9" t="s">
        <v>757</v>
      </c>
      <c r="Y231">
        <v>261</v>
      </c>
      <c r="Z231" s="9" t="s">
        <v>754</v>
      </c>
      <c r="AA231" s="9" t="s">
        <v>56</v>
      </c>
      <c r="AB231" s="9" t="s">
        <v>57</v>
      </c>
      <c r="AC231" s="9" t="s">
        <v>6</v>
      </c>
      <c r="AD231" s="9" t="s">
        <v>41</v>
      </c>
      <c r="AE231" s="9">
        <f>IF(Table5[[#This Row],[Team_Name]]=Table5[[#This Row],[Correct_Winner]],1,0)</f>
        <v>0</v>
      </c>
    </row>
    <row r="232" spans="1:31" x14ac:dyDescent="0.3">
      <c r="A232" s="9" t="s">
        <v>73</v>
      </c>
      <c r="B232">
        <v>2012</v>
      </c>
      <c r="C232" s="9" t="s">
        <v>95</v>
      </c>
      <c r="D232" s="9" t="s">
        <v>755</v>
      </c>
      <c r="E232" s="9" t="s">
        <v>348</v>
      </c>
      <c r="F232" s="2" t="s">
        <v>179</v>
      </c>
      <c r="G232">
        <v>182</v>
      </c>
      <c r="H232">
        <v>5</v>
      </c>
      <c r="I232" t="str">
        <f>Clean_Data!$I232</f>
        <v>Comilla Victorians</v>
      </c>
      <c r="J232">
        <v>176</v>
      </c>
      <c r="K232">
        <v>6</v>
      </c>
      <c r="L232" s="9" t="s">
        <v>36</v>
      </c>
      <c r="M232" s="9" t="s">
        <v>23</v>
      </c>
      <c r="N232" s="9" t="s">
        <v>37</v>
      </c>
      <c r="O232" s="9" t="s">
        <v>43</v>
      </c>
      <c r="P232" s="9" t="s">
        <v>23</v>
      </c>
      <c r="Q232" s="9" t="s">
        <v>345</v>
      </c>
      <c r="R232" s="9" t="s">
        <v>89</v>
      </c>
      <c r="S232">
        <v>0</v>
      </c>
      <c r="T232">
        <v>6</v>
      </c>
      <c r="U232" s="9" t="s">
        <v>315</v>
      </c>
      <c r="V232" s="9" t="s">
        <v>756</v>
      </c>
      <c r="W232">
        <v>6</v>
      </c>
      <c r="X232" s="9" t="s">
        <v>753</v>
      </c>
      <c r="Y232">
        <v>358</v>
      </c>
      <c r="Z232" s="9" t="s">
        <v>754</v>
      </c>
      <c r="AA232" s="9" t="s">
        <v>72</v>
      </c>
      <c r="AB232" s="9" t="s">
        <v>225</v>
      </c>
      <c r="AC232" s="9" t="s">
        <v>3</v>
      </c>
      <c r="AD232" s="9" t="s">
        <v>23</v>
      </c>
      <c r="AE232" s="9">
        <f>IF(Table5[[#This Row],[Team_Name]]=Table5[[#This Row],[Correct_Winner]],1,0)</f>
        <v>1</v>
      </c>
    </row>
    <row r="233" spans="1:31" x14ac:dyDescent="0.3">
      <c r="A233" s="9" t="s">
        <v>73</v>
      </c>
      <c r="B233">
        <v>2012</v>
      </c>
      <c r="C233" s="9" t="s">
        <v>95</v>
      </c>
      <c r="D233" s="9" t="s">
        <v>755</v>
      </c>
      <c r="E233" s="9" t="s">
        <v>348</v>
      </c>
      <c r="F233" s="3" t="s">
        <v>160</v>
      </c>
      <c r="G233">
        <v>182</v>
      </c>
      <c r="H233">
        <v>5</v>
      </c>
      <c r="I233" t="str">
        <f>Clean_Data!$I233</f>
        <v>Rangpur Riders</v>
      </c>
      <c r="J233">
        <v>176</v>
      </c>
      <c r="K233">
        <v>6</v>
      </c>
      <c r="L233" s="9" t="s">
        <v>36</v>
      </c>
      <c r="M233" s="9" t="s">
        <v>23</v>
      </c>
      <c r="N233" s="9" t="s">
        <v>37</v>
      </c>
      <c r="O233" s="9" t="s">
        <v>43</v>
      </c>
      <c r="P233" s="9" t="s">
        <v>23</v>
      </c>
      <c r="Q233" s="9" t="s">
        <v>345</v>
      </c>
      <c r="R233" s="9" t="s">
        <v>89</v>
      </c>
      <c r="S233">
        <v>0</v>
      </c>
      <c r="T233">
        <v>6</v>
      </c>
      <c r="U233" s="9" t="s">
        <v>315</v>
      </c>
      <c r="V233" s="9" t="s">
        <v>756</v>
      </c>
      <c r="W233">
        <v>6</v>
      </c>
      <c r="X233" s="9" t="s">
        <v>753</v>
      </c>
      <c r="Y233">
        <v>358</v>
      </c>
      <c r="Z233" s="9" t="s">
        <v>754</v>
      </c>
      <c r="AA233" s="9" t="s">
        <v>72</v>
      </c>
      <c r="AB233" s="9" t="s">
        <v>225</v>
      </c>
      <c r="AC233" s="9" t="s">
        <v>6</v>
      </c>
      <c r="AD233" s="9" t="s">
        <v>53</v>
      </c>
      <c r="AE233" s="9">
        <f>IF(Table5[[#This Row],[Team_Name]]=Table5[[#This Row],[Correct_Winner]],1,0)</f>
        <v>0</v>
      </c>
    </row>
    <row r="234" spans="1:31" x14ac:dyDescent="0.3">
      <c r="A234" s="9" t="s">
        <v>73</v>
      </c>
      <c r="B234">
        <v>2012</v>
      </c>
      <c r="C234" s="9" t="s">
        <v>104</v>
      </c>
      <c r="D234" s="9" t="s">
        <v>755</v>
      </c>
      <c r="E234" s="9" t="s">
        <v>348</v>
      </c>
      <c r="F234" s="2" t="s">
        <v>143</v>
      </c>
      <c r="G234">
        <v>122</v>
      </c>
      <c r="H234">
        <v>10</v>
      </c>
      <c r="I234" t="str">
        <f>Clean_Data!$I234</f>
        <v>Khulna Titans</v>
      </c>
      <c r="J234">
        <v>126</v>
      </c>
      <c r="K234">
        <v>5</v>
      </c>
      <c r="L234" s="9" t="s">
        <v>349</v>
      </c>
      <c r="M234" s="9" t="s">
        <v>62</v>
      </c>
      <c r="N234" s="9" t="s">
        <v>26</v>
      </c>
      <c r="O234" s="9" t="s">
        <v>64</v>
      </c>
      <c r="P234" s="9" t="s">
        <v>62</v>
      </c>
      <c r="Q234" s="9" t="s">
        <v>345</v>
      </c>
      <c r="R234" s="9" t="s">
        <v>89</v>
      </c>
      <c r="S234">
        <v>5</v>
      </c>
      <c r="T234">
        <v>0</v>
      </c>
      <c r="U234" s="9" t="s">
        <v>55</v>
      </c>
      <c r="V234" s="9" t="s">
        <v>752</v>
      </c>
      <c r="W234">
        <v>5</v>
      </c>
      <c r="X234" s="9" t="s">
        <v>753</v>
      </c>
      <c r="Y234">
        <v>248</v>
      </c>
      <c r="Z234" s="9" t="s">
        <v>754</v>
      </c>
      <c r="AA234" s="9" t="s">
        <v>57</v>
      </c>
      <c r="AB234" s="9" t="s">
        <v>225</v>
      </c>
      <c r="AC234" s="9" t="s">
        <v>3</v>
      </c>
      <c r="AD234" s="9" t="s">
        <v>113</v>
      </c>
      <c r="AE234" s="9">
        <f>IF(Table5[[#This Row],[Team_Name]]=Table5[[#This Row],[Correct_Winner]],1,0)</f>
        <v>0</v>
      </c>
    </row>
    <row r="235" spans="1:31" x14ac:dyDescent="0.3">
      <c r="A235" s="9" t="s">
        <v>73</v>
      </c>
      <c r="B235">
        <v>2012</v>
      </c>
      <c r="C235" s="9" t="s">
        <v>104</v>
      </c>
      <c r="D235" s="9" t="s">
        <v>755</v>
      </c>
      <c r="E235" s="9" t="s">
        <v>348</v>
      </c>
      <c r="F235" s="3" t="s">
        <v>199</v>
      </c>
      <c r="G235">
        <v>122</v>
      </c>
      <c r="H235">
        <v>10</v>
      </c>
      <c r="I235" t="str">
        <f>Clean_Data!$I235</f>
        <v>Chittagong Vikings</v>
      </c>
      <c r="J235">
        <v>126</v>
      </c>
      <c r="K235">
        <v>5</v>
      </c>
      <c r="L235" s="9" t="s">
        <v>349</v>
      </c>
      <c r="M235" s="9" t="s">
        <v>62</v>
      </c>
      <c r="N235" s="9" t="s">
        <v>26</v>
      </c>
      <c r="O235" s="9" t="s">
        <v>64</v>
      </c>
      <c r="P235" s="9" t="s">
        <v>62</v>
      </c>
      <c r="Q235" s="9" t="s">
        <v>345</v>
      </c>
      <c r="R235" s="9" t="s">
        <v>89</v>
      </c>
      <c r="S235">
        <v>5</v>
      </c>
      <c r="T235">
        <v>0</v>
      </c>
      <c r="U235" s="9" t="s">
        <v>55</v>
      </c>
      <c r="V235" s="9" t="s">
        <v>752</v>
      </c>
      <c r="W235">
        <v>5</v>
      </c>
      <c r="X235" s="9" t="s">
        <v>753</v>
      </c>
      <c r="Y235">
        <v>248</v>
      </c>
      <c r="Z235" s="9" t="s">
        <v>754</v>
      </c>
      <c r="AA235" s="9" t="s">
        <v>57</v>
      </c>
      <c r="AB235" s="9" t="s">
        <v>225</v>
      </c>
      <c r="AC235" s="9" t="s">
        <v>6</v>
      </c>
      <c r="AD235" s="9" t="s">
        <v>62</v>
      </c>
      <c r="AE235" s="9">
        <f>IF(Table5[[#This Row],[Team_Name]]=Table5[[#This Row],[Correct_Winner]],1,0)</f>
        <v>1</v>
      </c>
    </row>
    <row r="236" spans="1:31" x14ac:dyDescent="0.3">
      <c r="A236" s="9" t="s">
        <v>73</v>
      </c>
      <c r="B236">
        <v>2012</v>
      </c>
      <c r="C236" s="9" t="s">
        <v>110</v>
      </c>
      <c r="D236" s="9" t="s">
        <v>755</v>
      </c>
      <c r="E236" s="9" t="s">
        <v>350</v>
      </c>
      <c r="F236" s="2" t="s">
        <v>238</v>
      </c>
      <c r="G236">
        <v>122</v>
      </c>
      <c r="H236">
        <v>10</v>
      </c>
      <c r="I236" t="str">
        <f>Clean_Data!$I236</f>
        <v>Khulna Titans</v>
      </c>
      <c r="J236">
        <v>89</v>
      </c>
      <c r="K236">
        <v>10</v>
      </c>
      <c r="L236" s="9" t="s">
        <v>351</v>
      </c>
      <c r="M236" s="9" t="s">
        <v>113</v>
      </c>
      <c r="N236" s="9" t="s">
        <v>37</v>
      </c>
      <c r="O236" s="9" t="s">
        <v>189</v>
      </c>
      <c r="P236" s="9" t="s">
        <v>113</v>
      </c>
      <c r="Q236" s="9" t="s">
        <v>345</v>
      </c>
      <c r="R236" s="9" t="s">
        <v>89</v>
      </c>
      <c r="S236">
        <v>0</v>
      </c>
      <c r="T236">
        <v>33</v>
      </c>
      <c r="U236" s="9" t="s">
        <v>131</v>
      </c>
      <c r="V236" s="9" t="s">
        <v>756</v>
      </c>
      <c r="W236">
        <v>33</v>
      </c>
      <c r="X236" s="9" t="s">
        <v>757</v>
      </c>
      <c r="Y236">
        <v>211</v>
      </c>
      <c r="Z236" s="9" t="s">
        <v>754</v>
      </c>
      <c r="AA236" s="9" t="s">
        <v>72</v>
      </c>
      <c r="AB236" s="9" t="s">
        <v>50</v>
      </c>
      <c r="AC236" s="9" t="s">
        <v>3</v>
      </c>
      <c r="AD236" s="9" t="s">
        <v>113</v>
      </c>
      <c r="AE236" s="9">
        <f>IF(Table5[[#This Row],[Team_Name]]=Table5[[#This Row],[Correct_Winner]],1,0)</f>
        <v>1</v>
      </c>
    </row>
    <row r="237" spans="1:31" x14ac:dyDescent="0.3">
      <c r="A237" s="9" t="s">
        <v>73</v>
      </c>
      <c r="B237">
        <v>2012</v>
      </c>
      <c r="C237" s="9" t="s">
        <v>110</v>
      </c>
      <c r="D237" s="9" t="s">
        <v>755</v>
      </c>
      <c r="E237" s="9" t="s">
        <v>350</v>
      </c>
      <c r="F237" s="3" t="s">
        <v>113</v>
      </c>
      <c r="G237">
        <v>122</v>
      </c>
      <c r="H237">
        <v>10</v>
      </c>
      <c r="I237" t="str">
        <f>Clean_Data!$I237</f>
        <v>Chittagong Vikings</v>
      </c>
      <c r="J237">
        <v>89</v>
      </c>
      <c r="K237">
        <v>10</v>
      </c>
      <c r="L237" s="9" t="s">
        <v>351</v>
      </c>
      <c r="M237" s="9" t="s">
        <v>113</v>
      </c>
      <c r="N237" s="9" t="s">
        <v>37</v>
      </c>
      <c r="O237" s="9" t="s">
        <v>189</v>
      </c>
      <c r="P237" s="9" t="s">
        <v>113</v>
      </c>
      <c r="Q237" s="9" t="s">
        <v>345</v>
      </c>
      <c r="R237" s="9" t="s">
        <v>89</v>
      </c>
      <c r="S237">
        <v>0</v>
      </c>
      <c r="T237">
        <v>33</v>
      </c>
      <c r="U237" s="9" t="s">
        <v>131</v>
      </c>
      <c r="V237" s="9" t="s">
        <v>756</v>
      </c>
      <c r="W237">
        <v>33</v>
      </c>
      <c r="X237" s="9" t="s">
        <v>757</v>
      </c>
      <c r="Y237">
        <v>211</v>
      </c>
      <c r="Z237" s="9" t="s">
        <v>754</v>
      </c>
      <c r="AA237" s="9" t="s">
        <v>72</v>
      </c>
      <c r="AB237" s="9" t="s">
        <v>50</v>
      </c>
      <c r="AC237" s="9" t="s">
        <v>6</v>
      </c>
      <c r="AD237" s="9" t="s">
        <v>35</v>
      </c>
      <c r="AE237" s="9">
        <f>IF(Table5[[#This Row],[Team_Name]]=Table5[[#This Row],[Correct_Winner]],1,0)</f>
        <v>0</v>
      </c>
    </row>
    <row r="238" spans="1:31" x14ac:dyDescent="0.3">
      <c r="A238" s="9" t="s">
        <v>73</v>
      </c>
      <c r="B238">
        <v>2012</v>
      </c>
      <c r="C238" s="9" t="s">
        <v>116</v>
      </c>
      <c r="D238" s="9" t="s">
        <v>755</v>
      </c>
      <c r="E238" s="9" t="s">
        <v>350</v>
      </c>
      <c r="F238" s="2" t="s">
        <v>238</v>
      </c>
      <c r="G238">
        <v>158</v>
      </c>
      <c r="H238">
        <v>5</v>
      </c>
      <c r="I238" t="str">
        <f>Clean_Data!$I238</f>
        <v>Rajshahi Kings</v>
      </c>
      <c r="J238">
        <v>127</v>
      </c>
      <c r="K238">
        <v>8</v>
      </c>
      <c r="L238" s="9" t="s">
        <v>352</v>
      </c>
      <c r="M238" s="9" t="s">
        <v>62</v>
      </c>
      <c r="N238" s="9" t="s">
        <v>26</v>
      </c>
      <c r="O238" s="9" t="s">
        <v>27</v>
      </c>
      <c r="P238" s="9" t="s">
        <v>24</v>
      </c>
      <c r="Q238" s="9" t="s">
        <v>345</v>
      </c>
      <c r="R238" s="9" t="s">
        <v>89</v>
      </c>
      <c r="S238">
        <v>0</v>
      </c>
      <c r="T238">
        <v>31</v>
      </c>
      <c r="U238" s="9" t="s">
        <v>353</v>
      </c>
      <c r="V238" s="9" t="s">
        <v>756</v>
      </c>
      <c r="W238">
        <v>31</v>
      </c>
      <c r="X238" s="9" t="s">
        <v>757</v>
      </c>
      <c r="Y238">
        <v>285</v>
      </c>
      <c r="Z238" s="9" t="s">
        <v>754</v>
      </c>
      <c r="AA238" s="9" t="s">
        <v>57</v>
      </c>
      <c r="AB238" s="9" t="s">
        <v>66</v>
      </c>
      <c r="AC238" s="9" t="s">
        <v>3</v>
      </c>
      <c r="AD238" s="9" t="s">
        <v>24</v>
      </c>
      <c r="AE238" s="9">
        <f>IF(Table5[[#This Row],[Team_Name]]=Table5[[#This Row],[Correct_Winner]],1,0)</f>
        <v>1</v>
      </c>
    </row>
    <row r="239" spans="1:31" x14ac:dyDescent="0.3">
      <c r="A239" s="9" t="s">
        <v>73</v>
      </c>
      <c r="B239">
        <v>2012</v>
      </c>
      <c r="C239" s="9" t="s">
        <v>116</v>
      </c>
      <c r="D239" s="9" t="s">
        <v>755</v>
      </c>
      <c r="E239" s="9" t="s">
        <v>350</v>
      </c>
      <c r="F239" s="3" t="s">
        <v>206</v>
      </c>
      <c r="G239">
        <v>158</v>
      </c>
      <c r="H239">
        <v>5</v>
      </c>
      <c r="I239" t="str">
        <f>Clean_Data!$I239</f>
        <v>Sylhet Sixers</v>
      </c>
      <c r="J239">
        <v>127</v>
      </c>
      <c r="K239">
        <v>8</v>
      </c>
      <c r="L239" s="9" t="s">
        <v>352</v>
      </c>
      <c r="M239" s="9" t="s">
        <v>62</v>
      </c>
      <c r="N239" s="9" t="s">
        <v>26</v>
      </c>
      <c r="O239" s="9" t="s">
        <v>27</v>
      </c>
      <c r="P239" s="9" t="s">
        <v>24</v>
      </c>
      <c r="Q239" s="9" t="s">
        <v>345</v>
      </c>
      <c r="R239" s="9" t="s">
        <v>89</v>
      </c>
      <c r="S239">
        <v>0</v>
      </c>
      <c r="T239">
        <v>31</v>
      </c>
      <c r="U239" s="9" t="s">
        <v>353</v>
      </c>
      <c r="V239" s="9" t="s">
        <v>756</v>
      </c>
      <c r="W239">
        <v>31</v>
      </c>
      <c r="X239" s="9" t="s">
        <v>757</v>
      </c>
      <c r="Y239">
        <v>285</v>
      </c>
      <c r="Z239" s="9" t="s">
        <v>754</v>
      </c>
      <c r="AA239" s="9" t="s">
        <v>57</v>
      </c>
      <c r="AB239" s="9" t="s">
        <v>66</v>
      </c>
      <c r="AC239" s="9" t="s">
        <v>6</v>
      </c>
      <c r="AD239" s="9" t="s">
        <v>62</v>
      </c>
      <c r="AE239" s="9">
        <f>IF(Table5[[#This Row],[Team_Name]]=Table5[[#This Row],[Correct_Winner]],1,0)</f>
        <v>0</v>
      </c>
    </row>
    <row r="240" spans="1:31" x14ac:dyDescent="0.3">
      <c r="A240" s="9" t="s">
        <v>73</v>
      </c>
      <c r="B240">
        <v>2012</v>
      </c>
      <c r="C240" s="9" t="s">
        <v>123</v>
      </c>
      <c r="D240" s="9" t="s">
        <v>755</v>
      </c>
      <c r="E240" s="9" t="s">
        <v>354</v>
      </c>
      <c r="F240" s="2" t="s">
        <v>199</v>
      </c>
      <c r="G240">
        <v>213</v>
      </c>
      <c r="H240">
        <v>6</v>
      </c>
      <c r="I240" t="str">
        <f>Clean_Data!$I240</f>
        <v>Chittagong Vikings</v>
      </c>
      <c r="J240">
        <v>209</v>
      </c>
      <c r="K240">
        <v>7</v>
      </c>
      <c r="L240" s="9" t="s">
        <v>355</v>
      </c>
      <c r="M240" s="9" t="s">
        <v>41</v>
      </c>
      <c r="N240" s="9" t="s">
        <v>37</v>
      </c>
      <c r="O240" s="9" t="s">
        <v>48</v>
      </c>
      <c r="P240" s="9" t="s">
        <v>41</v>
      </c>
      <c r="Q240" s="9" t="s">
        <v>345</v>
      </c>
      <c r="R240" s="9" t="s">
        <v>89</v>
      </c>
      <c r="S240">
        <v>0</v>
      </c>
      <c r="T240">
        <v>4</v>
      </c>
      <c r="U240" s="9" t="s">
        <v>103</v>
      </c>
      <c r="V240" s="9" t="s">
        <v>756</v>
      </c>
      <c r="W240">
        <v>4</v>
      </c>
      <c r="X240" s="9" t="s">
        <v>753</v>
      </c>
      <c r="Y240">
        <v>422</v>
      </c>
      <c r="Z240" s="9" t="s">
        <v>754</v>
      </c>
      <c r="AA240" s="9" t="s">
        <v>72</v>
      </c>
      <c r="AB240" s="9" t="s">
        <v>56</v>
      </c>
      <c r="AC240" s="9" t="s">
        <v>3</v>
      </c>
      <c r="AD240" s="9" t="s">
        <v>41</v>
      </c>
      <c r="AE240" s="9">
        <f>IF(Table5[[#This Row],[Team_Name]]=Table5[[#This Row],[Correct_Winner]],1,0)</f>
        <v>1</v>
      </c>
    </row>
    <row r="241" spans="1:31" x14ac:dyDescent="0.3">
      <c r="A241" s="9" t="s">
        <v>73</v>
      </c>
      <c r="B241">
        <v>2012</v>
      </c>
      <c r="C241" s="9" t="s">
        <v>123</v>
      </c>
      <c r="D241" s="9" t="s">
        <v>755</v>
      </c>
      <c r="E241" s="9" t="s">
        <v>354</v>
      </c>
      <c r="F241" s="3" t="s">
        <v>143</v>
      </c>
      <c r="G241">
        <v>213</v>
      </c>
      <c r="H241">
        <v>6</v>
      </c>
      <c r="I241" t="str">
        <f>Clean_Data!$I241</f>
        <v>Dhaka Dynamites</v>
      </c>
      <c r="J241">
        <v>209</v>
      </c>
      <c r="K241">
        <v>7</v>
      </c>
      <c r="L241" s="9" t="s">
        <v>355</v>
      </c>
      <c r="M241" s="9" t="s">
        <v>41</v>
      </c>
      <c r="N241" s="9" t="s">
        <v>37</v>
      </c>
      <c r="O241" s="9" t="s">
        <v>48</v>
      </c>
      <c r="P241" s="9" t="s">
        <v>41</v>
      </c>
      <c r="Q241" s="9" t="s">
        <v>345</v>
      </c>
      <c r="R241" s="9" t="s">
        <v>89</v>
      </c>
      <c r="S241">
        <v>0</v>
      </c>
      <c r="T241">
        <v>4</v>
      </c>
      <c r="U241" s="9" t="s">
        <v>103</v>
      </c>
      <c r="V241" s="9" t="s">
        <v>756</v>
      </c>
      <c r="W241">
        <v>4</v>
      </c>
      <c r="X241" s="9" t="s">
        <v>753</v>
      </c>
      <c r="Y241">
        <v>422</v>
      </c>
      <c r="Z241" s="9" t="s">
        <v>754</v>
      </c>
      <c r="AA241" s="9" t="s">
        <v>72</v>
      </c>
      <c r="AB241" s="9" t="s">
        <v>56</v>
      </c>
      <c r="AC241" s="9" t="s">
        <v>6</v>
      </c>
      <c r="AD241" s="9" t="s">
        <v>23</v>
      </c>
      <c r="AE241" s="9">
        <f>IF(Table5[[#This Row],[Team_Name]]=Table5[[#This Row],[Correct_Winner]],1,0)</f>
        <v>0</v>
      </c>
    </row>
    <row r="242" spans="1:31" x14ac:dyDescent="0.3">
      <c r="A242" s="9" t="s">
        <v>73</v>
      </c>
      <c r="B242">
        <v>2012</v>
      </c>
      <c r="C242" s="9" t="s">
        <v>126</v>
      </c>
      <c r="D242" s="9" t="s">
        <v>755</v>
      </c>
      <c r="E242" s="9" t="s">
        <v>354</v>
      </c>
      <c r="F242" s="2" t="s">
        <v>206</v>
      </c>
      <c r="G242">
        <v>172</v>
      </c>
      <c r="H242">
        <v>6</v>
      </c>
      <c r="I242" t="str">
        <f>Clean_Data!$I242</f>
        <v>Rangpur Riders</v>
      </c>
      <c r="J242">
        <v>176</v>
      </c>
      <c r="K242">
        <v>7</v>
      </c>
      <c r="L242" s="9" t="s">
        <v>356</v>
      </c>
      <c r="M242" s="9" t="s">
        <v>62</v>
      </c>
      <c r="N242" s="9" t="s">
        <v>26</v>
      </c>
      <c r="O242" s="9" t="s">
        <v>64</v>
      </c>
      <c r="P242" s="9" t="s">
        <v>62</v>
      </c>
      <c r="Q242" s="9" t="s">
        <v>345</v>
      </c>
      <c r="R242" s="9" t="s">
        <v>89</v>
      </c>
      <c r="S242">
        <v>3</v>
      </c>
      <c r="T242">
        <v>0</v>
      </c>
      <c r="U242" s="9" t="s">
        <v>49</v>
      </c>
      <c r="V242" s="9" t="s">
        <v>752</v>
      </c>
      <c r="W242">
        <v>3</v>
      </c>
      <c r="X242" s="9" t="s">
        <v>753</v>
      </c>
      <c r="Y242">
        <v>348</v>
      </c>
      <c r="Z242" s="9" t="s">
        <v>754</v>
      </c>
      <c r="AA242" s="9" t="s">
        <v>57</v>
      </c>
      <c r="AB242" s="9" t="s">
        <v>225</v>
      </c>
      <c r="AC242" s="9" t="s">
        <v>3</v>
      </c>
      <c r="AD242" s="9" t="s">
        <v>53</v>
      </c>
      <c r="AE242" s="9">
        <f>IF(Table5[[#This Row],[Team_Name]]=Table5[[#This Row],[Correct_Winner]],1,0)</f>
        <v>0</v>
      </c>
    </row>
    <row r="243" spans="1:31" x14ac:dyDescent="0.3">
      <c r="A243" s="9" t="s">
        <v>73</v>
      </c>
      <c r="B243">
        <v>2012</v>
      </c>
      <c r="C243" s="9" t="s">
        <v>126</v>
      </c>
      <c r="D243" s="9" t="s">
        <v>755</v>
      </c>
      <c r="E243" s="9" t="s">
        <v>354</v>
      </c>
      <c r="F243" s="3" t="s">
        <v>160</v>
      </c>
      <c r="G243">
        <v>172</v>
      </c>
      <c r="H243">
        <v>6</v>
      </c>
      <c r="I243" t="str">
        <f>Clean_Data!$I243</f>
        <v>Chittagong Vikings</v>
      </c>
      <c r="J243">
        <v>176</v>
      </c>
      <c r="K243">
        <v>7</v>
      </c>
      <c r="L243" s="9" t="s">
        <v>356</v>
      </c>
      <c r="M243" s="9" t="s">
        <v>62</v>
      </c>
      <c r="N243" s="9" t="s">
        <v>26</v>
      </c>
      <c r="O243" s="9" t="s">
        <v>64</v>
      </c>
      <c r="P243" s="9" t="s">
        <v>62</v>
      </c>
      <c r="Q243" s="9" t="s">
        <v>345</v>
      </c>
      <c r="R243" s="9" t="s">
        <v>89</v>
      </c>
      <c r="S243">
        <v>3</v>
      </c>
      <c r="T243">
        <v>0</v>
      </c>
      <c r="U243" s="9" t="s">
        <v>49</v>
      </c>
      <c r="V243" s="9" t="s">
        <v>752</v>
      </c>
      <c r="W243">
        <v>3</v>
      </c>
      <c r="X243" s="9" t="s">
        <v>753</v>
      </c>
      <c r="Y243">
        <v>348</v>
      </c>
      <c r="Z243" s="9" t="s">
        <v>754</v>
      </c>
      <c r="AA243" s="9" t="s">
        <v>57</v>
      </c>
      <c r="AB243" s="9" t="s">
        <v>225</v>
      </c>
      <c r="AC243" s="9" t="s">
        <v>6</v>
      </c>
      <c r="AD243" s="9" t="s">
        <v>62</v>
      </c>
      <c r="AE243" s="9">
        <f>IF(Table5[[#This Row],[Team_Name]]=Table5[[#This Row],[Correct_Winner]],1,0)</f>
        <v>1</v>
      </c>
    </row>
    <row r="244" spans="1:31" x14ac:dyDescent="0.3">
      <c r="A244" s="9" t="s">
        <v>73</v>
      </c>
      <c r="B244">
        <v>2012</v>
      </c>
      <c r="C244" s="9" t="s">
        <v>132</v>
      </c>
      <c r="D244" s="9" t="s">
        <v>755</v>
      </c>
      <c r="E244" s="9" t="s">
        <v>357</v>
      </c>
      <c r="F244" s="2" t="s">
        <v>199</v>
      </c>
      <c r="G244">
        <v>150</v>
      </c>
      <c r="H244">
        <v>7</v>
      </c>
      <c r="I244" t="str">
        <f>Clean_Data!$I244</f>
        <v>Comilla Victorians</v>
      </c>
      <c r="J244">
        <v>141</v>
      </c>
      <c r="K244">
        <v>7</v>
      </c>
      <c r="L244" s="9" t="s">
        <v>358</v>
      </c>
      <c r="M244" s="9" t="s">
        <v>35</v>
      </c>
      <c r="N244" s="9" t="s">
        <v>37</v>
      </c>
      <c r="O244" s="9" t="s">
        <v>98</v>
      </c>
      <c r="P244" s="9" t="s">
        <v>35</v>
      </c>
      <c r="Q244" s="9" t="s">
        <v>359</v>
      </c>
      <c r="R244" s="9" t="s">
        <v>98</v>
      </c>
      <c r="S244">
        <v>0</v>
      </c>
      <c r="T244">
        <v>9</v>
      </c>
      <c r="U244" s="9" t="s">
        <v>38</v>
      </c>
      <c r="V244" s="9" t="s">
        <v>756</v>
      </c>
      <c r="W244">
        <v>9</v>
      </c>
      <c r="X244" s="9" t="s">
        <v>753</v>
      </c>
      <c r="Y244">
        <v>291</v>
      </c>
      <c r="Z244" s="9" t="s">
        <v>754</v>
      </c>
      <c r="AA244" s="9" t="s">
        <v>50</v>
      </c>
      <c r="AB244" s="9" t="s">
        <v>66</v>
      </c>
      <c r="AC244" s="9" t="s">
        <v>3</v>
      </c>
      <c r="AD244" s="9" t="s">
        <v>35</v>
      </c>
      <c r="AE244" s="9">
        <f>IF(Table5[[#This Row],[Team_Name]]=Table5[[#This Row],[Correct_Winner]],1,0)</f>
        <v>1</v>
      </c>
    </row>
    <row r="245" spans="1:31" x14ac:dyDescent="0.3">
      <c r="A245" s="9" t="s">
        <v>73</v>
      </c>
      <c r="B245">
        <v>2012</v>
      </c>
      <c r="C245" s="9" t="s">
        <v>132</v>
      </c>
      <c r="D245" s="9" t="s">
        <v>755</v>
      </c>
      <c r="E245" s="9" t="s">
        <v>357</v>
      </c>
      <c r="F245" s="3" t="s">
        <v>179</v>
      </c>
      <c r="G245">
        <v>150</v>
      </c>
      <c r="H245">
        <v>7</v>
      </c>
      <c r="I245" t="str">
        <f>Clean_Data!$I245</f>
        <v>Khulna Titans</v>
      </c>
      <c r="J245">
        <v>141</v>
      </c>
      <c r="K245">
        <v>7</v>
      </c>
      <c r="L245" s="9" t="s">
        <v>358</v>
      </c>
      <c r="M245" s="9" t="s">
        <v>35</v>
      </c>
      <c r="N245" s="9" t="s">
        <v>37</v>
      </c>
      <c r="O245" s="9" t="s">
        <v>98</v>
      </c>
      <c r="P245" s="9" t="s">
        <v>35</v>
      </c>
      <c r="Q245" s="9" t="s">
        <v>359</v>
      </c>
      <c r="R245" s="9" t="s">
        <v>98</v>
      </c>
      <c r="S245">
        <v>0</v>
      </c>
      <c r="T245">
        <v>9</v>
      </c>
      <c r="U245" s="9" t="s">
        <v>38</v>
      </c>
      <c r="V245" s="9" t="s">
        <v>756</v>
      </c>
      <c r="W245">
        <v>9</v>
      </c>
      <c r="X245" s="9" t="s">
        <v>753</v>
      </c>
      <c r="Y245">
        <v>291</v>
      </c>
      <c r="Z245" s="9" t="s">
        <v>754</v>
      </c>
      <c r="AA245" s="9" t="s">
        <v>50</v>
      </c>
      <c r="AB245" s="9" t="s">
        <v>66</v>
      </c>
      <c r="AC245" s="9" t="s">
        <v>6</v>
      </c>
      <c r="AD245" s="9" t="s">
        <v>113</v>
      </c>
      <c r="AE245" s="9">
        <f>IF(Table5[[#This Row],[Team_Name]]=Table5[[#This Row],[Correct_Winner]],1,0)</f>
        <v>0</v>
      </c>
    </row>
    <row r="246" spans="1:31" x14ac:dyDescent="0.3">
      <c r="A246" s="9" t="s">
        <v>73</v>
      </c>
      <c r="B246">
        <v>2012</v>
      </c>
      <c r="C246" s="9" t="s">
        <v>138</v>
      </c>
      <c r="D246" s="9" t="s">
        <v>755</v>
      </c>
      <c r="E246" s="9" t="s">
        <v>357</v>
      </c>
      <c r="F246" s="2" t="s">
        <v>238</v>
      </c>
      <c r="G246">
        <v>152</v>
      </c>
      <c r="H246">
        <v>8</v>
      </c>
      <c r="I246" t="str">
        <f>Clean_Data!$I246</f>
        <v>Rangpur Riders</v>
      </c>
      <c r="J246">
        <v>157</v>
      </c>
      <c r="K246">
        <v>3</v>
      </c>
      <c r="L246" s="9" t="s">
        <v>150</v>
      </c>
      <c r="M246" s="9" t="s">
        <v>24</v>
      </c>
      <c r="N246" s="9" t="s">
        <v>37</v>
      </c>
      <c r="O246" s="9" t="s">
        <v>64</v>
      </c>
      <c r="P246" s="9" t="s">
        <v>62</v>
      </c>
      <c r="Q246" s="9" t="s">
        <v>359</v>
      </c>
      <c r="R246" s="9" t="s">
        <v>98</v>
      </c>
      <c r="S246">
        <v>7</v>
      </c>
      <c r="T246">
        <v>0</v>
      </c>
      <c r="U246" s="9" t="s">
        <v>118</v>
      </c>
      <c r="V246" s="9" t="s">
        <v>752</v>
      </c>
      <c r="W246">
        <v>7</v>
      </c>
      <c r="X246" s="9" t="s">
        <v>753</v>
      </c>
      <c r="Y246">
        <v>309</v>
      </c>
      <c r="Z246" s="9" t="s">
        <v>754</v>
      </c>
      <c r="AA246" s="9" t="s">
        <v>50</v>
      </c>
      <c r="AB246" s="9" t="s">
        <v>77</v>
      </c>
      <c r="AC246" s="9" t="s">
        <v>3</v>
      </c>
      <c r="AD246" s="9" t="s">
        <v>24</v>
      </c>
      <c r="AE246" s="9">
        <f>IF(Table5[[#This Row],[Team_Name]]=Table5[[#This Row],[Correct_Winner]],1,0)</f>
        <v>0</v>
      </c>
    </row>
    <row r="247" spans="1:31" x14ac:dyDescent="0.3">
      <c r="A247" s="9" t="s">
        <v>73</v>
      </c>
      <c r="B247">
        <v>2012</v>
      </c>
      <c r="C247" s="9" t="s">
        <v>138</v>
      </c>
      <c r="D247" s="9" t="s">
        <v>755</v>
      </c>
      <c r="E247" s="9" t="s">
        <v>357</v>
      </c>
      <c r="F247" s="3" t="s">
        <v>206</v>
      </c>
      <c r="G247">
        <v>152</v>
      </c>
      <c r="H247">
        <v>8</v>
      </c>
      <c r="I247" t="str">
        <f>Clean_Data!$I247</f>
        <v>Comilla Victorians</v>
      </c>
      <c r="J247">
        <v>157</v>
      </c>
      <c r="K247">
        <v>3</v>
      </c>
      <c r="L247" s="9" t="s">
        <v>150</v>
      </c>
      <c r="M247" s="9" t="s">
        <v>24</v>
      </c>
      <c r="N247" s="9" t="s">
        <v>37</v>
      </c>
      <c r="O247" s="9" t="s">
        <v>64</v>
      </c>
      <c r="P247" s="9" t="s">
        <v>62</v>
      </c>
      <c r="Q247" s="9" t="s">
        <v>359</v>
      </c>
      <c r="R247" s="9" t="s">
        <v>98</v>
      </c>
      <c r="S247">
        <v>7</v>
      </c>
      <c r="T247">
        <v>0</v>
      </c>
      <c r="U247" s="9" t="s">
        <v>118</v>
      </c>
      <c r="V247" s="9" t="s">
        <v>752</v>
      </c>
      <c r="W247">
        <v>7</v>
      </c>
      <c r="X247" s="9" t="s">
        <v>753</v>
      </c>
      <c r="Y247">
        <v>309</v>
      </c>
      <c r="Z247" s="9" t="s">
        <v>754</v>
      </c>
      <c r="AA247" s="9" t="s">
        <v>50</v>
      </c>
      <c r="AB247" s="9" t="s">
        <v>77</v>
      </c>
      <c r="AC247" s="9" t="s">
        <v>6</v>
      </c>
      <c r="AD247" s="9" t="s">
        <v>62</v>
      </c>
      <c r="AE247" s="9">
        <f>IF(Table5[[#This Row],[Team_Name]]=Table5[[#This Row],[Correct_Winner]],1,0)</f>
        <v>1</v>
      </c>
    </row>
    <row r="248" spans="1:31" x14ac:dyDescent="0.3">
      <c r="A248" s="9" t="s">
        <v>73</v>
      </c>
      <c r="B248">
        <v>2012</v>
      </c>
      <c r="C248" s="9" t="s">
        <v>148</v>
      </c>
      <c r="D248" s="9" t="s">
        <v>755</v>
      </c>
      <c r="E248" s="9" t="s">
        <v>360</v>
      </c>
      <c r="F248" s="2" t="s">
        <v>238</v>
      </c>
      <c r="G248">
        <v>197</v>
      </c>
      <c r="H248">
        <v>0</v>
      </c>
      <c r="I248" t="str">
        <f>Clean_Data!$I248</f>
        <v>Dhaka Dynamites</v>
      </c>
      <c r="J248">
        <v>129</v>
      </c>
      <c r="K248">
        <v>10</v>
      </c>
      <c r="L248" s="9" t="s">
        <v>335</v>
      </c>
      <c r="M248" s="9" t="s">
        <v>41</v>
      </c>
      <c r="N248" s="9" t="s">
        <v>26</v>
      </c>
      <c r="O248" s="9" t="s">
        <v>98</v>
      </c>
      <c r="P248" s="9" t="s">
        <v>35</v>
      </c>
      <c r="Q248" s="9" t="s">
        <v>359</v>
      </c>
      <c r="R248" s="9" t="s">
        <v>98</v>
      </c>
      <c r="S248">
        <v>0</v>
      </c>
      <c r="T248">
        <v>68</v>
      </c>
      <c r="U248" s="9" t="s">
        <v>361</v>
      </c>
      <c r="V248" s="9" t="s">
        <v>756</v>
      </c>
      <c r="W248">
        <v>68</v>
      </c>
      <c r="X248" s="9" t="s">
        <v>757</v>
      </c>
      <c r="Y248">
        <v>326</v>
      </c>
      <c r="Z248" s="9" t="s">
        <v>754</v>
      </c>
      <c r="AA248" s="9" t="s">
        <v>72</v>
      </c>
      <c r="AB248" s="9" t="s">
        <v>225</v>
      </c>
      <c r="AC248" s="9" t="s">
        <v>3</v>
      </c>
      <c r="AD248" s="9" t="s">
        <v>35</v>
      </c>
      <c r="AE248" s="9">
        <f>IF(Table5[[#This Row],[Team_Name]]=Table5[[#This Row],[Correct_Winner]],1,0)</f>
        <v>1</v>
      </c>
    </row>
    <row r="249" spans="1:31" x14ac:dyDescent="0.3">
      <c r="A249" s="9" t="s">
        <v>73</v>
      </c>
      <c r="B249">
        <v>2012</v>
      </c>
      <c r="C249" s="9" t="s">
        <v>148</v>
      </c>
      <c r="D249" s="9" t="s">
        <v>755</v>
      </c>
      <c r="E249" s="9" t="s">
        <v>360</v>
      </c>
      <c r="F249" s="3" t="s">
        <v>238</v>
      </c>
      <c r="G249">
        <v>197</v>
      </c>
      <c r="H249">
        <v>0</v>
      </c>
      <c r="I249" t="str">
        <f>Clean_Data!$I249</f>
        <v>Rangpur Riders</v>
      </c>
      <c r="J249">
        <v>129</v>
      </c>
      <c r="K249">
        <v>10</v>
      </c>
      <c r="L249" s="9" t="s">
        <v>335</v>
      </c>
      <c r="M249" s="9" t="s">
        <v>41</v>
      </c>
      <c r="N249" s="9" t="s">
        <v>26</v>
      </c>
      <c r="O249" s="9" t="s">
        <v>98</v>
      </c>
      <c r="P249" s="9" t="s">
        <v>35</v>
      </c>
      <c r="Q249" s="9" t="s">
        <v>359</v>
      </c>
      <c r="R249" s="9" t="s">
        <v>98</v>
      </c>
      <c r="S249">
        <v>0</v>
      </c>
      <c r="T249">
        <v>68</v>
      </c>
      <c r="U249" s="9" t="s">
        <v>361</v>
      </c>
      <c r="V249" s="9" t="s">
        <v>756</v>
      </c>
      <c r="W249">
        <v>68</v>
      </c>
      <c r="X249" s="9" t="s">
        <v>757</v>
      </c>
      <c r="Y249">
        <v>326</v>
      </c>
      <c r="Z249" s="9" t="s">
        <v>754</v>
      </c>
      <c r="AA249" s="9" t="s">
        <v>72</v>
      </c>
      <c r="AB249" s="9" t="s">
        <v>225</v>
      </c>
      <c r="AC249" s="9" t="s">
        <v>6</v>
      </c>
      <c r="AD249" s="9" t="s">
        <v>41</v>
      </c>
      <c r="AE249" s="9">
        <f>IF(Table5[[#This Row],[Team_Name]]=Table5[[#This Row],[Correct_Winner]],1,0)</f>
        <v>0</v>
      </c>
    </row>
    <row r="250" spans="1:31" x14ac:dyDescent="0.3">
      <c r="A250" s="9" t="s">
        <v>73</v>
      </c>
      <c r="B250">
        <v>2012</v>
      </c>
      <c r="C250" s="9" t="s">
        <v>156</v>
      </c>
      <c r="D250" s="9" t="s">
        <v>755</v>
      </c>
      <c r="E250" s="9" t="s">
        <v>360</v>
      </c>
      <c r="F250" s="2" t="s">
        <v>199</v>
      </c>
      <c r="G250">
        <v>129</v>
      </c>
      <c r="H250">
        <v>7</v>
      </c>
      <c r="I250" t="str">
        <f>Clean_Data!$I250</f>
        <v>Dhaka Dynamites</v>
      </c>
      <c r="J250">
        <v>108</v>
      </c>
      <c r="K250">
        <v>9</v>
      </c>
      <c r="L250" s="9" t="s">
        <v>183</v>
      </c>
      <c r="M250" s="9" t="s">
        <v>23</v>
      </c>
      <c r="N250" s="9" t="s">
        <v>26</v>
      </c>
      <c r="O250" s="9" t="s">
        <v>80</v>
      </c>
      <c r="P250" s="9" t="s">
        <v>53</v>
      </c>
      <c r="Q250" s="9" t="s">
        <v>359</v>
      </c>
      <c r="R250" s="9" t="s">
        <v>98</v>
      </c>
      <c r="S250">
        <v>0</v>
      </c>
      <c r="T250">
        <v>21</v>
      </c>
      <c r="U250" s="9" t="s">
        <v>165</v>
      </c>
      <c r="V250" s="9" t="s">
        <v>756</v>
      </c>
      <c r="W250">
        <v>21</v>
      </c>
      <c r="X250" s="9" t="s">
        <v>757</v>
      </c>
      <c r="Y250">
        <v>237</v>
      </c>
      <c r="Z250" s="9" t="s">
        <v>754</v>
      </c>
      <c r="AA250" s="9" t="s">
        <v>56</v>
      </c>
      <c r="AB250" s="9" t="s">
        <v>77</v>
      </c>
      <c r="AC250" s="9" t="s">
        <v>3</v>
      </c>
      <c r="AD250" s="9" t="s">
        <v>53</v>
      </c>
      <c r="AE250" s="9">
        <f>IF(Table5[[#This Row],[Team_Name]]=Table5[[#This Row],[Correct_Winner]],1,0)</f>
        <v>1</v>
      </c>
    </row>
    <row r="251" spans="1:31" x14ac:dyDescent="0.3">
      <c r="A251" s="9" t="s">
        <v>73</v>
      </c>
      <c r="B251">
        <v>2012</v>
      </c>
      <c r="C251" s="9" t="s">
        <v>156</v>
      </c>
      <c r="D251" s="9" t="s">
        <v>755</v>
      </c>
      <c r="E251" s="9" t="s">
        <v>360</v>
      </c>
      <c r="F251" s="3" t="s">
        <v>238</v>
      </c>
      <c r="G251">
        <v>129</v>
      </c>
      <c r="H251">
        <v>7</v>
      </c>
      <c r="I251" t="str">
        <f>Clean_Data!$I251</f>
        <v>Comilla Victorians</v>
      </c>
      <c r="J251">
        <v>108</v>
      </c>
      <c r="K251">
        <v>9</v>
      </c>
      <c r="L251" s="9" t="s">
        <v>183</v>
      </c>
      <c r="M251" s="9" t="s">
        <v>23</v>
      </c>
      <c r="N251" s="9" t="s">
        <v>26</v>
      </c>
      <c r="O251" s="9" t="s">
        <v>80</v>
      </c>
      <c r="P251" s="9" t="s">
        <v>53</v>
      </c>
      <c r="Q251" s="9" t="s">
        <v>359</v>
      </c>
      <c r="R251" s="9" t="s">
        <v>98</v>
      </c>
      <c r="S251">
        <v>0</v>
      </c>
      <c r="T251">
        <v>21</v>
      </c>
      <c r="U251" s="9" t="s">
        <v>165</v>
      </c>
      <c r="V251" s="9" t="s">
        <v>756</v>
      </c>
      <c r="W251">
        <v>21</v>
      </c>
      <c r="X251" s="9" t="s">
        <v>757</v>
      </c>
      <c r="Y251">
        <v>237</v>
      </c>
      <c r="Z251" s="9" t="s">
        <v>754</v>
      </c>
      <c r="AA251" s="9" t="s">
        <v>56</v>
      </c>
      <c r="AB251" s="9" t="s">
        <v>77</v>
      </c>
      <c r="AC251" s="9" t="s">
        <v>6</v>
      </c>
      <c r="AD251" s="9" t="s">
        <v>23</v>
      </c>
      <c r="AE251" s="9">
        <f>IF(Table5[[#This Row],[Team_Name]]=Table5[[#This Row],[Correct_Winner]],1,0)</f>
        <v>0</v>
      </c>
    </row>
    <row r="252" spans="1:31" x14ac:dyDescent="0.3">
      <c r="A252" s="9" t="s">
        <v>73</v>
      </c>
      <c r="B252">
        <v>2012</v>
      </c>
      <c r="C252" s="9" t="s">
        <v>163</v>
      </c>
      <c r="D252" s="9" t="s">
        <v>755</v>
      </c>
      <c r="E252" s="9" t="s">
        <v>362</v>
      </c>
      <c r="F252" s="2" t="s">
        <v>206</v>
      </c>
      <c r="G252">
        <v>145</v>
      </c>
      <c r="H252">
        <v>7</v>
      </c>
      <c r="I252" t="str">
        <f>Clean_Data!$I252</f>
        <v>Rajshahi Kings</v>
      </c>
      <c r="J252">
        <v>146</v>
      </c>
      <c r="K252">
        <v>4</v>
      </c>
      <c r="L252" s="9" t="s">
        <v>363</v>
      </c>
      <c r="M252" s="9" t="s">
        <v>35</v>
      </c>
      <c r="N252" s="9" t="s">
        <v>37</v>
      </c>
      <c r="O252" s="9" t="s">
        <v>64</v>
      </c>
      <c r="P252" s="9" t="s">
        <v>62</v>
      </c>
      <c r="Q252" s="9" t="s">
        <v>359</v>
      </c>
      <c r="R252" s="9" t="s">
        <v>98</v>
      </c>
      <c r="S252">
        <v>6</v>
      </c>
      <c r="T252">
        <v>0</v>
      </c>
      <c r="U252" s="9" t="s">
        <v>151</v>
      </c>
      <c r="V252" s="9" t="s">
        <v>752</v>
      </c>
      <c r="W252">
        <v>6</v>
      </c>
      <c r="X252" s="9" t="s">
        <v>753</v>
      </c>
      <c r="Y252">
        <v>291</v>
      </c>
      <c r="Z252" s="9" t="s">
        <v>754</v>
      </c>
      <c r="AA252" s="9" t="s">
        <v>72</v>
      </c>
      <c r="AB252" s="9" t="s">
        <v>50</v>
      </c>
      <c r="AC252" s="9" t="s">
        <v>3</v>
      </c>
      <c r="AD252" s="9" t="s">
        <v>35</v>
      </c>
      <c r="AE252" s="9">
        <f>IF(Table5[[#This Row],[Team_Name]]=Table5[[#This Row],[Correct_Winner]],1,0)</f>
        <v>0</v>
      </c>
    </row>
    <row r="253" spans="1:31" x14ac:dyDescent="0.3">
      <c r="A253" s="9" t="s">
        <v>73</v>
      </c>
      <c r="B253">
        <v>2012</v>
      </c>
      <c r="C253" s="9" t="s">
        <v>163</v>
      </c>
      <c r="D253" s="9" t="s">
        <v>755</v>
      </c>
      <c r="E253" s="9" t="s">
        <v>362</v>
      </c>
      <c r="F253" s="3" t="s">
        <v>143</v>
      </c>
      <c r="G253">
        <v>145</v>
      </c>
      <c r="H253">
        <v>7</v>
      </c>
      <c r="I253" t="str">
        <f>Clean_Data!$I253</f>
        <v>Chittagong Vikings</v>
      </c>
      <c r="J253">
        <v>146</v>
      </c>
      <c r="K253">
        <v>4</v>
      </c>
      <c r="L253" s="9" t="s">
        <v>363</v>
      </c>
      <c r="M253" s="9" t="s">
        <v>35</v>
      </c>
      <c r="N253" s="9" t="s">
        <v>37</v>
      </c>
      <c r="O253" s="9" t="s">
        <v>64</v>
      </c>
      <c r="P253" s="9" t="s">
        <v>62</v>
      </c>
      <c r="Q253" s="9" t="s">
        <v>359</v>
      </c>
      <c r="R253" s="9" t="s">
        <v>98</v>
      </c>
      <c r="S253">
        <v>6</v>
      </c>
      <c r="T253">
        <v>0</v>
      </c>
      <c r="U253" s="9" t="s">
        <v>151</v>
      </c>
      <c r="V253" s="9" t="s">
        <v>752</v>
      </c>
      <c r="W253">
        <v>6</v>
      </c>
      <c r="X253" s="9" t="s">
        <v>753</v>
      </c>
      <c r="Y253">
        <v>291</v>
      </c>
      <c r="Z253" s="9" t="s">
        <v>754</v>
      </c>
      <c r="AA253" s="9" t="s">
        <v>72</v>
      </c>
      <c r="AB253" s="9" t="s">
        <v>50</v>
      </c>
      <c r="AC253" s="9" t="s">
        <v>6</v>
      </c>
      <c r="AD253" s="9" t="s">
        <v>62</v>
      </c>
      <c r="AE253" s="9">
        <f>IF(Table5[[#This Row],[Team_Name]]=Table5[[#This Row],[Correct_Winner]],1,0)</f>
        <v>1</v>
      </c>
    </row>
    <row r="254" spans="1:31" x14ac:dyDescent="0.3">
      <c r="A254" s="9" t="s">
        <v>73</v>
      </c>
      <c r="B254">
        <v>2012</v>
      </c>
      <c r="C254" s="9" t="s">
        <v>168</v>
      </c>
      <c r="D254" s="9" t="s">
        <v>755</v>
      </c>
      <c r="E254" s="9" t="s">
        <v>362</v>
      </c>
      <c r="F254" s="2" t="s">
        <v>199</v>
      </c>
      <c r="G254">
        <v>174</v>
      </c>
      <c r="H254">
        <v>4</v>
      </c>
      <c r="I254" t="str">
        <f>Clean_Data!$I254</f>
        <v>Rangpur Riders</v>
      </c>
      <c r="J254">
        <v>167</v>
      </c>
      <c r="K254">
        <v>8</v>
      </c>
      <c r="L254" s="9" t="s">
        <v>338</v>
      </c>
      <c r="M254" s="9" t="s">
        <v>113</v>
      </c>
      <c r="N254" s="9" t="s">
        <v>37</v>
      </c>
      <c r="O254" s="9" t="s">
        <v>189</v>
      </c>
      <c r="P254" s="9" t="s">
        <v>113</v>
      </c>
      <c r="Q254" s="9" t="s">
        <v>359</v>
      </c>
      <c r="R254" s="9" t="s">
        <v>98</v>
      </c>
      <c r="S254">
        <v>0</v>
      </c>
      <c r="T254">
        <v>7</v>
      </c>
      <c r="U254" s="9" t="s">
        <v>364</v>
      </c>
      <c r="V254" s="9" t="s">
        <v>756</v>
      </c>
      <c r="W254">
        <v>7</v>
      </c>
      <c r="X254" s="9" t="s">
        <v>753</v>
      </c>
      <c r="Y254">
        <v>341</v>
      </c>
      <c r="Z254" s="9" t="s">
        <v>754</v>
      </c>
      <c r="AA254" s="9" t="s">
        <v>50</v>
      </c>
      <c r="AB254" s="9" t="s">
        <v>77</v>
      </c>
      <c r="AC254" s="9" t="s">
        <v>3</v>
      </c>
      <c r="AD254" s="9" t="s">
        <v>113</v>
      </c>
      <c r="AE254" s="9">
        <f>IF(Table5[[#This Row],[Team_Name]]=Table5[[#This Row],[Correct_Winner]],1,0)</f>
        <v>1</v>
      </c>
    </row>
    <row r="255" spans="1:31" x14ac:dyDescent="0.3">
      <c r="A255" s="9" t="s">
        <v>73</v>
      </c>
      <c r="B255">
        <v>2012</v>
      </c>
      <c r="C255" s="9" t="s">
        <v>168</v>
      </c>
      <c r="D255" s="9" t="s">
        <v>755</v>
      </c>
      <c r="E255" s="9" t="s">
        <v>362</v>
      </c>
      <c r="F255" s="3" t="s">
        <v>160</v>
      </c>
      <c r="G255">
        <v>174</v>
      </c>
      <c r="H255">
        <v>4</v>
      </c>
      <c r="I255" t="str">
        <f>Clean_Data!$I255</f>
        <v>Sylhet Sixers</v>
      </c>
      <c r="J255">
        <v>167</v>
      </c>
      <c r="K255">
        <v>8</v>
      </c>
      <c r="L255" s="9" t="s">
        <v>338</v>
      </c>
      <c r="M255" s="9" t="s">
        <v>113</v>
      </c>
      <c r="N255" s="9" t="s">
        <v>37</v>
      </c>
      <c r="O255" s="9" t="s">
        <v>189</v>
      </c>
      <c r="P255" s="9" t="s">
        <v>113</v>
      </c>
      <c r="Q255" s="9" t="s">
        <v>359</v>
      </c>
      <c r="R255" s="9" t="s">
        <v>98</v>
      </c>
      <c r="S255">
        <v>0</v>
      </c>
      <c r="T255">
        <v>7</v>
      </c>
      <c r="U255" s="9" t="s">
        <v>364</v>
      </c>
      <c r="V255" s="9" t="s">
        <v>756</v>
      </c>
      <c r="W255">
        <v>7</v>
      </c>
      <c r="X255" s="9" t="s">
        <v>753</v>
      </c>
      <c r="Y255">
        <v>341</v>
      </c>
      <c r="Z255" s="9" t="s">
        <v>754</v>
      </c>
      <c r="AA255" s="9" t="s">
        <v>50</v>
      </c>
      <c r="AB255" s="9" t="s">
        <v>77</v>
      </c>
      <c r="AC255" s="9" t="s">
        <v>6</v>
      </c>
      <c r="AD255" s="9" t="s">
        <v>23</v>
      </c>
      <c r="AE255" s="9">
        <f>IF(Table5[[#This Row],[Team_Name]]=Table5[[#This Row],[Correct_Winner]],1,0)</f>
        <v>0</v>
      </c>
    </row>
    <row r="256" spans="1:31" x14ac:dyDescent="0.3">
      <c r="A256" s="9" t="s">
        <v>73</v>
      </c>
      <c r="B256">
        <v>2012</v>
      </c>
      <c r="C256" s="9" t="s">
        <v>170</v>
      </c>
      <c r="D256" s="9" t="s">
        <v>755</v>
      </c>
      <c r="E256" s="9" t="s">
        <v>365</v>
      </c>
      <c r="F256" s="2" t="s">
        <v>206</v>
      </c>
      <c r="G256">
        <v>156</v>
      </c>
      <c r="H256">
        <v>8</v>
      </c>
      <c r="I256" t="str">
        <f>Clean_Data!$I256</f>
        <v>Chittagong Vikings</v>
      </c>
      <c r="J256">
        <v>143</v>
      </c>
      <c r="K256">
        <v>3</v>
      </c>
      <c r="L256" s="9" t="s">
        <v>108</v>
      </c>
      <c r="M256" s="9" t="s">
        <v>24</v>
      </c>
      <c r="N256" s="9" t="s">
        <v>37</v>
      </c>
      <c r="O256" s="9" t="s">
        <v>27</v>
      </c>
      <c r="P256" s="9" t="s">
        <v>24</v>
      </c>
      <c r="Q256" s="9" t="s">
        <v>359</v>
      </c>
      <c r="R256" s="9" t="s">
        <v>98</v>
      </c>
      <c r="S256">
        <v>0</v>
      </c>
      <c r="T256">
        <v>13</v>
      </c>
      <c r="U256" s="9" t="s">
        <v>81</v>
      </c>
      <c r="V256" s="9" t="s">
        <v>756</v>
      </c>
      <c r="W256">
        <v>13</v>
      </c>
      <c r="X256" s="9" t="s">
        <v>757</v>
      </c>
      <c r="Y256">
        <v>299</v>
      </c>
      <c r="Z256" s="9" t="s">
        <v>754</v>
      </c>
      <c r="AA256" s="9" t="s">
        <v>56</v>
      </c>
      <c r="AB256" s="9" t="s">
        <v>66</v>
      </c>
      <c r="AC256" s="9" t="s">
        <v>3</v>
      </c>
      <c r="AD256" s="9" t="s">
        <v>24</v>
      </c>
      <c r="AE256" s="9">
        <f>IF(Table5[[#This Row],[Team_Name]]=Table5[[#This Row],[Correct_Winner]],1,0)</f>
        <v>1</v>
      </c>
    </row>
    <row r="257" spans="1:31" x14ac:dyDescent="0.3">
      <c r="A257" s="9" t="s">
        <v>73</v>
      </c>
      <c r="B257">
        <v>2012</v>
      </c>
      <c r="C257" s="9" t="s">
        <v>170</v>
      </c>
      <c r="D257" s="9" t="s">
        <v>755</v>
      </c>
      <c r="E257" s="9" t="s">
        <v>365</v>
      </c>
      <c r="F257" s="3" t="s">
        <v>199</v>
      </c>
      <c r="G257">
        <v>156</v>
      </c>
      <c r="H257">
        <v>8</v>
      </c>
      <c r="I257" t="str">
        <f>Clean_Data!$I257</f>
        <v>Comilla Victorians</v>
      </c>
      <c r="J257">
        <v>143</v>
      </c>
      <c r="K257">
        <v>3</v>
      </c>
      <c r="L257" s="9" t="s">
        <v>108</v>
      </c>
      <c r="M257" s="9" t="s">
        <v>24</v>
      </c>
      <c r="N257" s="9" t="s">
        <v>37</v>
      </c>
      <c r="O257" s="9" t="s">
        <v>27</v>
      </c>
      <c r="P257" s="9" t="s">
        <v>24</v>
      </c>
      <c r="Q257" s="9" t="s">
        <v>359</v>
      </c>
      <c r="R257" s="9" t="s">
        <v>98</v>
      </c>
      <c r="S257">
        <v>0</v>
      </c>
      <c r="T257">
        <v>13</v>
      </c>
      <c r="U257" s="9" t="s">
        <v>81</v>
      </c>
      <c r="V257" s="9" t="s">
        <v>756</v>
      </c>
      <c r="W257">
        <v>13</v>
      </c>
      <c r="X257" s="9" t="s">
        <v>757</v>
      </c>
      <c r="Y257">
        <v>299</v>
      </c>
      <c r="Z257" s="9" t="s">
        <v>754</v>
      </c>
      <c r="AA257" s="9" t="s">
        <v>56</v>
      </c>
      <c r="AB257" s="9" t="s">
        <v>66</v>
      </c>
      <c r="AC257" s="9" t="s">
        <v>6</v>
      </c>
      <c r="AD257" s="9" t="s">
        <v>41</v>
      </c>
      <c r="AE257" s="9">
        <f>IF(Table5[[#This Row],[Team_Name]]=Table5[[#This Row],[Correct_Winner]],1,0)</f>
        <v>0</v>
      </c>
    </row>
    <row r="258" spans="1:31" x14ac:dyDescent="0.3">
      <c r="A258" s="9" t="s">
        <v>73</v>
      </c>
      <c r="B258">
        <v>2012</v>
      </c>
      <c r="C258" s="9" t="s">
        <v>176</v>
      </c>
      <c r="D258" s="9" t="s">
        <v>755</v>
      </c>
      <c r="E258" s="9" t="s">
        <v>365</v>
      </c>
      <c r="F258" s="2" t="s">
        <v>160</v>
      </c>
      <c r="G258">
        <v>132</v>
      </c>
      <c r="H258">
        <v>5</v>
      </c>
      <c r="I258" t="str">
        <f>Clean_Data!$I258</f>
        <v>Rangpur Riders</v>
      </c>
      <c r="J258">
        <v>135</v>
      </c>
      <c r="K258">
        <v>4</v>
      </c>
      <c r="L258" s="9" t="s">
        <v>97</v>
      </c>
      <c r="M258" s="9" t="s">
        <v>53</v>
      </c>
      <c r="N258" s="9" t="s">
        <v>37</v>
      </c>
      <c r="O258" s="9" t="s">
        <v>189</v>
      </c>
      <c r="P258" s="9" t="s">
        <v>113</v>
      </c>
      <c r="Q258" s="9" t="s">
        <v>359</v>
      </c>
      <c r="R258" s="9" t="s">
        <v>98</v>
      </c>
      <c r="S258">
        <v>6</v>
      </c>
      <c r="T258">
        <v>0</v>
      </c>
      <c r="U258" s="9" t="s">
        <v>151</v>
      </c>
      <c r="V258" s="9" t="s">
        <v>752</v>
      </c>
      <c r="W258">
        <v>6</v>
      </c>
      <c r="X258" s="9" t="s">
        <v>753</v>
      </c>
      <c r="Y258">
        <v>267</v>
      </c>
      <c r="Z258" s="9" t="s">
        <v>754</v>
      </c>
      <c r="AA258" s="9" t="s">
        <v>72</v>
      </c>
      <c r="AB258" s="9" t="s">
        <v>77</v>
      </c>
      <c r="AC258" s="9" t="s">
        <v>3</v>
      </c>
      <c r="AD258" s="9" t="s">
        <v>53</v>
      </c>
      <c r="AE258" s="9">
        <f>IF(Table5[[#This Row],[Team_Name]]=Table5[[#This Row],[Correct_Winner]],1,0)</f>
        <v>0</v>
      </c>
    </row>
    <row r="259" spans="1:31" x14ac:dyDescent="0.3">
      <c r="A259" s="9" t="s">
        <v>73</v>
      </c>
      <c r="B259">
        <v>2012</v>
      </c>
      <c r="C259" s="9" t="s">
        <v>176</v>
      </c>
      <c r="D259" s="9" t="s">
        <v>755</v>
      </c>
      <c r="E259" s="9" t="s">
        <v>365</v>
      </c>
      <c r="F259" s="3" t="s">
        <v>206</v>
      </c>
      <c r="G259">
        <v>132</v>
      </c>
      <c r="H259">
        <v>5</v>
      </c>
      <c r="I259" t="str">
        <f>Clean_Data!$I259</f>
        <v>Rajshahi Kings</v>
      </c>
      <c r="J259">
        <v>135</v>
      </c>
      <c r="K259">
        <v>4</v>
      </c>
      <c r="L259" s="9" t="s">
        <v>97</v>
      </c>
      <c r="M259" s="9" t="s">
        <v>53</v>
      </c>
      <c r="N259" s="9" t="s">
        <v>37</v>
      </c>
      <c r="O259" s="9" t="s">
        <v>189</v>
      </c>
      <c r="P259" s="9" t="s">
        <v>113</v>
      </c>
      <c r="Q259" s="9" t="s">
        <v>359</v>
      </c>
      <c r="R259" s="9" t="s">
        <v>98</v>
      </c>
      <c r="S259">
        <v>6</v>
      </c>
      <c r="T259">
        <v>0</v>
      </c>
      <c r="U259" s="9" t="s">
        <v>151</v>
      </c>
      <c r="V259" s="9" t="s">
        <v>752</v>
      </c>
      <c r="W259">
        <v>6</v>
      </c>
      <c r="X259" s="9" t="s">
        <v>753</v>
      </c>
      <c r="Y259">
        <v>267</v>
      </c>
      <c r="Z259" s="9" t="s">
        <v>754</v>
      </c>
      <c r="AA259" s="9" t="s">
        <v>72</v>
      </c>
      <c r="AB259" s="9" t="s">
        <v>77</v>
      </c>
      <c r="AC259" s="9" t="s">
        <v>6</v>
      </c>
      <c r="AD259" s="9" t="s">
        <v>113</v>
      </c>
      <c r="AE259" s="9">
        <f>IF(Table5[[#This Row],[Team_Name]]=Table5[[#This Row],[Correct_Winner]],1,0)</f>
        <v>1</v>
      </c>
    </row>
    <row r="260" spans="1:31" x14ac:dyDescent="0.3">
      <c r="A260" s="9" t="s">
        <v>73</v>
      </c>
      <c r="B260">
        <v>2012</v>
      </c>
      <c r="C260" s="9" t="s">
        <v>180</v>
      </c>
      <c r="D260" s="9" t="s">
        <v>755</v>
      </c>
      <c r="E260" s="9" t="s">
        <v>366</v>
      </c>
      <c r="F260" s="2" t="s">
        <v>238</v>
      </c>
      <c r="G260">
        <v>147</v>
      </c>
      <c r="H260">
        <v>8</v>
      </c>
      <c r="I260" t="str">
        <f>Clean_Data!$I260</f>
        <v>Chittagong Vikings</v>
      </c>
      <c r="J260">
        <v>150</v>
      </c>
      <c r="K260">
        <v>6</v>
      </c>
      <c r="L260" s="9" t="s">
        <v>367</v>
      </c>
      <c r="M260" s="9" t="s">
        <v>41</v>
      </c>
      <c r="N260" s="9" t="s">
        <v>37</v>
      </c>
      <c r="O260" s="9" t="s">
        <v>64</v>
      </c>
      <c r="P260" s="9" t="s">
        <v>62</v>
      </c>
      <c r="Q260" s="9" t="s">
        <v>28</v>
      </c>
      <c r="R260" s="9" t="s">
        <v>29</v>
      </c>
      <c r="S260">
        <v>4</v>
      </c>
      <c r="T260">
        <v>0</v>
      </c>
      <c r="U260" s="9" t="s">
        <v>90</v>
      </c>
      <c r="V260" s="9" t="s">
        <v>752</v>
      </c>
      <c r="W260">
        <v>4</v>
      </c>
      <c r="X260" s="9" t="s">
        <v>753</v>
      </c>
      <c r="Y260">
        <v>297</v>
      </c>
      <c r="Z260" s="9" t="s">
        <v>754</v>
      </c>
      <c r="AA260" s="9" t="s">
        <v>57</v>
      </c>
      <c r="AB260" s="9" t="s">
        <v>225</v>
      </c>
      <c r="AC260" s="9" t="s">
        <v>3</v>
      </c>
      <c r="AD260" s="9" t="s">
        <v>41</v>
      </c>
      <c r="AE260" s="9">
        <f>IF(Table5[[#This Row],[Team_Name]]=Table5[[#This Row],[Correct_Winner]],1,0)</f>
        <v>0</v>
      </c>
    </row>
    <row r="261" spans="1:31" x14ac:dyDescent="0.3">
      <c r="A261" s="9" t="s">
        <v>73</v>
      </c>
      <c r="B261">
        <v>2012</v>
      </c>
      <c r="C261" s="9" t="s">
        <v>180</v>
      </c>
      <c r="D261" s="9" t="s">
        <v>755</v>
      </c>
      <c r="E261" s="9" t="s">
        <v>366</v>
      </c>
      <c r="F261" s="3" t="s">
        <v>143</v>
      </c>
      <c r="G261">
        <v>147</v>
      </c>
      <c r="H261">
        <v>8</v>
      </c>
      <c r="I261" t="str">
        <f>Clean_Data!$I261</f>
        <v>Rangpur Riders</v>
      </c>
      <c r="J261">
        <v>150</v>
      </c>
      <c r="K261">
        <v>6</v>
      </c>
      <c r="L261" s="9" t="s">
        <v>367</v>
      </c>
      <c r="M261" s="9" t="s">
        <v>41</v>
      </c>
      <c r="N261" s="9" t="s">
        <v>37</v>
      </c>
      <c r="O261" s="9" t="s">
        <v>64</v>
      </c>
      <c r="P261" s="9" t="s">
        <v>62</v>
      </c>
      <c r="Q261" s="9" t="s">
        <v>28</v>
      </c>
      <c r="R261" s="9" t="s">
        <v>29</v>
      </c>
      <c r="S261">
        <v>4</v>
      </c>
      <c r="T261">
        <v>0</v>
      </c>
      <c r="U261" s="9" t="s">
        <v>90</v>
      </c>
      <c r="V261" s="9" t="s">
        <v>752</v>
      </c>
      <c r="W261">
        <v>4</v>
      </c>
      <c r="X261" s="9" t="s">
        <v>753</v>
      </c>
      <c r="Y261">
        <v>297</v>
      </c>
      <c r="Z261" s="9" t="s">
        <v>754</v>
      </c>
      <c r="AA261" s="9" t="s">
        <v>57</v>
      </c>
      <c r="AB261" s="9" t="s">
        <v>225</v>
      </c>
      <c r="AC261" s="9" t="s">
        <v>6</v>
      </c>
      <c r="AD261" s="9" t="s">
        <v>62</v>
      </c>
      <c r="AE261" s="9">
        <f>IF(Table5[[#This Row],[Team_Name]]=Table5[[#This Row],[Correct_Winner]],1,0)</f>
        <v>1</v>
      </c>
    </row>
    <row r="262" spans="1:31" x14ac:dyDescent="0.3">
      <c r="A262" s="9" t="s">
        <v>73</v>
      </c>
      <c r="B262">
        <v>2012</v>
      </c>
      <c r="C262" s="9" t="s">
        <v>186</v>
      </c>
      <c r="D262" s="9" t="s">
        <v>755</v>
      </c>
      <c r="E262" s="9" t="s">
        <v>366</v>
      </c>
      <c r="F262" s="2" t="s">
        <v>160</v>
      </c>
      <c r="G262">
        <v>142</v>
      </c>
      <c r="H262">
        <v>8</v>
      </c>
      <c r="I262" t="str">
        <f>Clean_Data!$I262</f>
        <v>Khulna Titans</v>
      </c>
      <c r="J262">
        <v>146</v>
      </c>
      <c r="K262">
        <v>2</v>
      </c>
      <c r="L262" s="9" t="s">
        <v>54</v>
      </c>
      <c r="M262" s="9" t="s">
        <v>35</v>
      </c>
      <c r="N262" s="9" t="s">
        <v>37</v>
      </c>
      <c r="O262" s="9" t="s">
        <v>43</v>
      </c>
      <c r="P262" s="9" t="s">
        <v>23</v>
      </c>
      <c r="Q262" s="9" t="s">
        <v>28</v>
      </c>
      <c r="R262" s="9" t="s">
        <v>29</v>
      </c>
      <c r="S262">
        <v>8</v>
      </c>
      <c r="T262">
        <v>0</v>
      </c>
      <c r="U262" s="9" t="s">
        <v>30</v>
      </c>
      <c r="V262" s="9" t="s">
        <v>752</v>
      </c>
      <c r="W262">
        <v>8</v>
      </c>
      <c r="X262" s="9" t="s">
        <v>753</v>
      </c>
      <c r="Y262">
        <v>288</v>
      </c>
      <c r="Z262" s="9" t="s">
        <v>754</v>
      </c>
      <c r="AA262" s="9" t="s">
        <v>72</v>
      </c>
      <c r="AB262" s="9" t="s">
        <v>77</v>
      </c>
      <c r="AC262" s="9" t="s">
        <v>3</v>
      </c>
      <c r="AD262" s="9" t="s">
        <v>35</v>
      </c>
      <c r="AE262" s="9">
        <f>IF(Table5[[#This Row],[Team_Name]]=Table5[[#This Row],[Correct_Winner]],1,0)</f>
        <v>0</v>
      </c>
    </row>
    <row r="263" spans="1:31" x14ac:dyDescent="0.3">
      <c r="A263" s="9" t="s">
        <v>73</v>
      </c>
      <c r="B263">
        <v>2012</v>
      </c>
      <c r="C263" s="9" t="s">
        <v>186</v>
      </c>
      <c r="D263" s="9" t="s">
        <v>755</v>
      </c>
      <c r="E263" s="9" t="s">
        <v>366</v>
      </c>
      <c r="F263" s="3" t="s">
        <v>113</v>
      </c>
      <c r="G263">
        <v>142</v>
      </c>
      <c r="H263">
        <v>8</v>
      </c>
      <c r="I263" t="str">
        <f>Clean_Data!$I263</f>
        <v>Khulna Titans</v>
      </c>
      <c r="J263">
        <v>146</v>
      </c>
      <c r="K263">
        <v>2</v>
      </c>
      <c r="L263" s="9" t="s">
        <v>54</v>
      </c>
      <c r="M263" s="9" t="s">
        <v>35</v>
      </c>
      <c r="N263" s="9" t="s">
        <v>37</v>
      </c>
      <c r="O263" s="9" t="s">
        <v>43</v>
      </c>
      <c r="P263" s="9" t="s">
        <v>23</v>
      </c>
      <c r="Q263" s="9" t="s">
        <v>28</v>
      </c>
      <c r="R263" s="9" t="s">
        <v>29</v>
      </c>
      <c r="S263">
        <v>8</v>
      </c>
      <c r="T263">
        <v>0</v>
      </c>
      <c r="U263" s="9" t="s">
        <v>30</v>
      </c>
      <c r="V263" s="9" t="s">
        <v>752</v>
      </c>
      <c r="W263">
        <v>8</v>
      </c>
      <c r="X263" s="9" t="s">
        <v>753</v>
      </c>
      <c r="Y263">
        <v>288</v>
      </c>
      <c r="Z263" s="9" t="s">
        <v>754</v>
      </c>
      <c r="AA263" s="9" t="s">
        <v>72</v>
      </c>
      <c r="AB263" s="9" t="s">
        <v>77</v>
      </c>
      <c r="AC263" s="9" t="s">
        <v>6</v>
      </c>
      <c r="AD263" s="9" t="s">
        <v>23</v>
      </c>
      <c r="AE263" s="9">
        <f>IF(Table5[[#This Row],[Team_Name]]=Table5[[#This Row],[Correct_Winner]],1,0)</f>
        <v>1</v>
      </c>
    </row>
    <row r="264" spans="1:31" x14ac:dyDescent="0.3">
      <c r="A264" s="9" t="s">
        <v>73</v>
      </c>
      <c r="B264">
        <v>2012</v>
      </c>
      <c r="C264" s="9" t="s">
        <v>190</v>
      </c>
      <c r="D264" s="9" t="s">
        <v>755</v>
      </c>
      <c r="E264" s="9" t="s">
        <v>368</v>
      </c>
      <c r="F264" s="2" t="s">
        <v>238</v>
      </c>
      <c r="G264">
        <v>202</v>
      </c>
      <c r="H264">
        <v>5</v>
      </c>
      <c r="I264" t="str">
        <f>Clean_Data!$I264</f>
        <v>Comilla Victorians</v>
      </c>
      <c r="J264">
        <v>167</v>
      </c>
      <c r="K264">
        <v>4</v>
      </c>
      <c r="L264" s="9" t="s">
        <v>325</v>
      </c>
      <c r="M264" s="9" t="s">
        <v>24</v>
      </c>
      <c r="N264" s="9" t="s">
        <v>37</v>
      </c>
      <c r="O264" s="9" t="s">
        <v>27</v>
      </c>
      <c r="P264" s="9" t="s">
        <v>24</v>
      </c>
      <c r="Q264" s="9" t="s">
        <v>28</v>
      </c>
      <c r="R264" s="9" t="s">
        <v>29</v>
      </c>
      <c r="S264">
        <v>0</v>
      </c>
      <c r="T264">
        <v>35</v>
      </c>
      <c r="U264" s="9" t="s">
        <v>65</v>
      </c>
      <c r="V264" s="9" t="s">
        <v>756</v>
      </c>
      <c r="W264">
        <v>35</v>
      </c>
      <c r="X264" s="9" t="s">
        <v>757</v>
      </c>
      <c r="Y264">
        <v>369</v>
      </c>
      <c r="Z264" s="9" t="s">
        <v>754</v>
      </c>
      <c r="AA264" s="9" t="s">
        <v>369</v>
      </c>
      <c r="AB264" s="9" t="s">
        <v>370</v>
      </c>
      <c r="AC264" s="9" t="s">
        <v>3</v>
      </c>
      <c r="AD264" s="9" t="s">
        <v>24</v>
      </c>
      <c r="AE264" s="9">
        <f>IF(Table5[[#This Row],[Team_Name]]=Table5[[#This Row],[Correct_Winner]],1,0)</f>
        <v>1</v>
      </c>
    </row>
    <row r="265" spans="1:31" x14ac:dyDescent="0.3">
      <c r="A265" s="9" t="s">
        <v>73</v>
      </c>
      <c r="B265">
        <v>2012</v>
      </c>
      <c r="C265" s="9" t="s">
        <v>190</v>
      </c>
      <c r="D265" s="9" t="s">
        <v>755</v>
      </c>
      <c r="E265" s="9" t="s">
        <v>368</v>
      </c>
      <c r="F265" s="3" t="s">
        <v>160</v>
      </c>
      <c r="G265">
        <v>202</v>
      </c>
      <c r="H265">
        <v>5</v>
      </c>
      <c r="I265" t="str">
        <f>Clean_Data!$I265</f>
        <v>Rajshahi Kings</v>
      </c>
      <c r="J265">
        <v>167</v>
      </c>
      <c r="K265">
        <v>4</v>
      </c>
      <c r="L265" s="9" t="s">
        <v>325</v>
      </c>
      <c r="M265" s="9" t="s">
        <v>24</v>
      </c>
      <c r="N265" s="9" t="s">
        <v>37</v>
      </c>
      <c r="O265" s="9" t="s">
        <v>27</v>
      </c>
      <c r="P265" s="9" t="s">
        <v>24</v>
      </c>
      <c r="Q265" s="9" t="s">
        <v>28</v>
      </c>
      <c r="R265" s="9" t="s">
        <v>29</v>
      </c>
      <c r="S265">
        <v>0</v>
      </c>
      <c r="T265">
        <v>35</v>
      </c>
      <c r="U265" s="9" t="s">
        <v>65</v>
      </c>
      <c r="V265" s="9" t="s">
        <v>756</v>
      </c>
      <c r="W265">
        <v>35</v>
      </c>
      <c r="X265" s="9" t="s">
        <v>757</v>
      </c>
      <c r="Y265">
        <v>369</v>
      </c>
      <c r="Z265" s="9" t="s">
        <v>754</v>
      </c>
      <c r="AA265" s="9" t="s">
        <v>369</v>
      </c>
      <c r="AB265" s="9" t="s">
        <v>370</v>
      </c>
      <c r="AC265" s="9" t="s">
        <v>6</v>
      </c>
      <c r="AD265" s="9" t="s">
        <v>113</v>
      </c>
      <c r="AE265" s="9">
        <f>IF(Table5[[#This Row],[Team_Name]]=Table5[[#This Row],[Correct_Winner]],1,0)</f>
        <v>0</v>
      </c>
    </row>
    <row r="266" spans="1:31" x14ac:dyDescent="0.3">
      <c r="A266" s="9" t="s">
        <v>73</v>
      </c>
      <c r="B266">
        <v>2012</v>
      </c>
      <c r="C266" s="9" t="s">
        <v>195</v>
      </c>
      <c r="D266" s="9" t="s">
        <v>755</v>
      </c>
      <c r="E266" s="9" t="s">
        <v>368</v>
      </c>
      <c r="F266" s="2" t="s">
        <v>113</v>
      </c>
      <c r="G266">
        <v>99</v>
      </c>
      <c r="H266">
        <v>9</v>
      </c>
      <c r="I266" t="str">
        <f>Clean_Data!$I266</f>
        <v>Chittagong Vikings</v>
      </c>
      <c r="J266">
        <v>97</v>
      </c>
      <c r="K266">
        <v>10</v>
      </c>
      <c r="L266" s="9" t="s">
        <v>59</v>
      </c>
      <c r="M266" s="9" t="s">
        <v>41</v>
      </c>
      <c r="N266" s="9" t="s">
        <v>37</v>
      </c>
      <c r="O266" s="9" t="s">
        <v>48</v>
      </c>
      <c r="P266" s="9" t="s">
        <v>41</v>
      </c>
      <c r="Q266" s="9" t="s">
        <v>28</v>
      </c>
      <c r="R266" s="9" t="s">
        <v>29</v>
      </c>
      <c r="S266">
        <v>0</v>
      </c>
      <c r="T266">
        <v>2</v>
      </c>
      <c r="U266" s="9" t="s">
        <v>128</v>
      </c>
      <c r="V266" s="9" t="s">
        <v>756</v>
      </c>
      <c r="W266">
        <v>2</v>
      </c>
      <c r="X266" s="9" t="s">
        <v>753</v>
      </c>
      <c r="Y266">
        <v>196</v>
      </c>
      <c r="Z266" s="9" t="s">
        <v>754</v>
      </c>
      <c r="AA266" s="9" t="s">
        <v>57</v>
      </c>
      <c r="AB266" s="9" t="s">
        <v>50</v>
      </c>
      <c r="AC266" s="9" t="s">
        <v>3</v>
      </c>
      <c r="AD266" s="9" t="s">
        <v>41</v>
      </c>
      <c r="AE266" s="9">
        <f>IF(Table5[[#This Row],[Team_Name]]=Table5[[#This Row],[Correct_Winner]],1,0)</f>
        <v>1</v>
      </c>
    </row>
    <row r="267" spans="1:31" x14ac:dyDescent="0.3">
      <c r="A267" s="9" t="s">
        <v>73</v>
      </c>
      <c r="B267">
        <v>2012</v>
      </c>
      <c r="C267" s="9" t="s">
        <v>195</v>
      </c>
      <c r="D267" s="9" t="s">
        <v>755</v>
      </c>
      <c r="E267" s="9" t="s">
        <v>368</v>
      </c>
      <c r="F267" s="3" t="s">
        <v>276</v>
      </c>
      <c r="G267">
        <v>99</v>
      </c>
      <c r="H267">
        <v>9</v>
      </c>
      <c r="I267" t="str">
        <f>Clean_Data!$I267</f>
        <v>Chattogram Challengers</v>
      </c>
      <c r="J267">
        <v>97</v>
      </c>
      <c r="K267">
        <v>10</v>
      </c>
      <c r="L267" s="9" t="s">
        <v>59</v>
      </c>
      <c r="M267" s="9" t="s">
        <v>41</v>
      </c>
      <c r="N267" s="9" t="s">
        <v>37</v>
      </c>
      <c r="O267" s="9" t="s">
        <v>48</v>
      </c>
      <c r="P267" s="9" t="s">
        <v>41</v>
      </c>
      <c r="Q267" s="9" t="s">
        <v>28</v>
      </c>
      <c r="R267" s="9" t="s">
        <v>29</v>
      </c>
      <c r="S267">
        <v>0</v>
      </c>
      <c r="T267">
        <v>2</v>
      </c>
      <c r="U267" s="9" t="s">
        <v>128</v>
      </c>
      <c r="V267" s="9" t="s">
        <v>756</v>
      </c>
      <c r="W267">
        <v>2</v>
      </c>
      <c r="X267" s="9" t="s">
        <v>753</v>
      </c>
      <c r="Y267">
        <v>196</v>
      </c>
      <c r="Z267" s="9" t="s">
        <v>754</v>
      </c>
      <c r="AA267" s="9" t="s">
        <v>57</v>
      </c>
      <c r="AB267" s="9" t="s">
        <v>50</v>
      </c>
      <c r="AC267" s="9" t="s">
        <v>6</v>
      </c>
      <c r="AD267" s="9" t="s">
        <v>53</v>
      </c>
      <c r="AE267" s="9">
        <f>IF(Table5[[#This Row],[Team_Name]]=Table5[[#This Row],[Correct_Winner]],1,0)</f>
        <v>0</v>
      </c>
    </row>
    <row r="268" spans="1:31" x14ac:dyDescent="0.3">
      <c r="A268" s="9" t="s">
        <v>73</v>
      </c>
      <c r="B268">
        <v>2012</v>
      </c>
      <c r="C268" s="9" t="s">
        <v>33</v>
      </c>
      <c r="D268" s="9" t="s">
        <v>755</v>
      </c>
      <c r="E268" s="9" t="s">
        <v>371</v>
      </c>
      <c r="F268" s="2" t="s">
        <v>515</v>
      </c>
      <c r="G268">
        <v>175</v>
      </c>
      <c r="H268">
        <v>7</v>
      </c>
      <c r="I268" t="str">
        <f>Clean_Data!$I268</f>
        <v>Cumilla Warriors</v>
      </c>
      <c r="J268">
        <v>142</v>
      </c>
      <c r="K268">
        <v>9</v>
      </c>
      <c r="L268" s="9" t="s">
        <v>121</v>
      </c>
      <c r="M268" s="9" t="s">
        <v>23</v>
      </c>
      <c r="N268" s="9" t="s">
        <v>26</v>
      </c>
      <c r="O268" s="9" t="s">
        <v>64</v>
      </c>
      <c r="P268" s="9" t="s">
        <v>62</v>
      </c>
      <c r="Q268" s="9" t="s">
        <v>28</v>
      </c>
      <c r="R268" s="9" t="s">
        <v>29</v>
      </c>
      <c r="S268">
        <v>0</v>
      </c>
      <c r="T268">
        <v>33</v>
      </c>
      <c r="U268" s="9" t="s">
        <v>131</v>
      </c>
      <c r="V268" s="9" t="s">
        <v>756</v>
      </c>
      <c r="W268">
        <v>33</v>
      </c>
      <c r="X268" s="9" t="s">
        <v>757</v>
      </c>
      <c r="Y268">
        <v>317</v>
      </c>
      <c r="Z268" s="9" t="s">
        <v>754</v>
      </c>
      <c r="AA268" s="9" t="s">
        <v>372</v>
      </c>
      <c r="AB268" s="9" t="s">
        <v>373</v>
      </c>
      <c r="AC268" s="9" t="s">
        <v>3</v>
      </c>
      <c r="AD268" s="9" t="s">
        <v>62</v>
      </c>
      <c r="AE268" s="9">
        <f>IF(Table5[[#This Row],[Team_Name]]=Table5[[#This Row],[Correct_Winner]],1,0)</f>
        <v>1</v>
      </c>
    </row>
    <row r="269" spans="1:31" x14ac:dyDescent="0.3">
      <c r="A269" s="9" t="s">
        <v>73</v>
      </c>
      <c r="B269">
        <v>2012</v>
      </c>
      <c r="C269" s="9" t="s">
        <v>33</v>
      </c>
      <c r="D269" s="9" t="s">
        <v>755</v>
      </c>
      <c r="E269" s="9" t="s">
        <v>371</v>
      </c>
      <c r="F269" s="3" t="s">
        <v>515</v>
      </c>
      <c r="G269">
        <v>175</v>
      </c>
      <c r="H269">
        <v>7</v>
      </c>
      <c r="I269" t="str">
        <f>Clean_Data!$I269</f>
        <v>Rajshahi Royals</v>
      </c>
      <c r="J269">
        <v>142</v>
      </c>
      <c r="K269">
        <v>9</v>
      </c>
      <c r="L269" s="9" t="s">
        <v>121</v>
      </c>
      <c r="M269" s="9" t="s">
        <v>23</v>
      </c>
      <c r="N269" s="9" t="s">
        <v>26</v>
      </c>
      <c r="O269" s="9" t="s">
        <v>64</v>
      </c>
      <c r="P269" s="9" t="s">
        <v>62</v>
      </c>
      <c r="Q269" s="9" t="s">
        <v>28</v>
      </c>
      <c r="R269" s="9" t="s">
        <v>29</v>
      </c>
      <c r="S269">
        <v>0</v>
      </c>
      <c r="T269">
        <v>33</v>
      </c>
      <c r="U269" s="9" t="s">
        <v>131</v>
      </c>
      <c r="V269" s="9" t="s">
        <v>756</v>
      </c>
      <c r="W269">
        <v>33</v>
      </c>
      <c r="X269" s="9" t="s">
        <v>757</v>
      </c>
      <c r="Y269">
        <v>317</v>
      </c>
      <c r="Z269" s="9" t="s">
        <v>754</v>
      </c>
      <c r="AA269" s="9" t="s">
        <v>372</v>
      </c>
      <c r="AB269" s="9" t="s">
        <v>373</v>
      </c>
      <c r="AC269" s="9" t="s">
        <v>6</v>
      </c>
      <c r="AD269" s="9" t="s">
        <v>23</v>
      </c>
      <c r="AE269" s="9">
        <f>IF(Table5[[#This Row],[Team_Name]]=Table5[[#This Row],[Correct_Winner]],1,0)</f>
        <v>0</v>
      </c>
    </row>
    <row r="270" spans="1:31" x14ac:dyDescent="0.3">
      <c r="A270" s="9" t="s">
        <v>73</v>
      </c>
      <c r="B270">
        <v>2012</v>
      </c>
      <c r="C270" s="9" t="s">
        <v>40</v>
      </c>
      <c r="D270" s="9" t="s">
        <v>755</v>
      </c>
      <c r="E270" s="9" t="s">
        <v>371</v>
      </c>
      <c r="F270" s="2" t="s">
        <v>277</v>
      </c>
      <c r="G270">
        <v>204</v>
      </c>
      <c r="H270">
        <v>4</v>
      </c>
      <c r="I270" t="str">
        <f>Clean_Data!$I270</f>
        <v>Chattogram Challengers</v>
      </c>
      <c r="J270">
        <v>142</v>
      </c>
      <c r="K270">
        <v>8</v>
      </c>
      <c r="L270" s="9" t="s">
        <v>374</v>
      </c>
      <c r="M270" s="9" t="s">
        <v>24</v>
      </c>
      <c r="N270" s="9" t="s">
        <v>37</v>
      </c>
      <c r="O270" s="9" t="s">
        <v>27</v>
      </c>
      <c r="P270" s="9" t="s">
        <v>24</v>
      </c>
      <c r="Q270" s="9" t="s">
        <v>28</v>
      </c>
      <c r="R270" s="9" t="s">
        <v>29</v>
      </c>
      <c r="S270">
        <v>0</v>
      </c>
      <c r="T270">
        <v>62</v>
      </c>
      <c r="U270" s="9" t="s">
        <v>375</v>
      </c>
      <c r="V270" s="9" t="s">
        <v>756</v>
      </c>
      <c r="W270">
        <v>62</v>
      </c>
      <c r="X270" s="9" t="s">
        <v>757</v>
      </c>
      <c r="Y270">
        <v>346</v>
      </c>
      <c r="Z270" s="9" t="s">
        <v>754</v>
      </c>
      <c r="AA270" s="9" t="s">
        <v>66</v>
      </c>
      <c r="AB270" s="9" t="s">
        <v>77</v>
      </c>
      <c r="AC270" s="9" t="s">
        <v>3</v>
      </c>
      <c r="AD270" s="9" t="s">
        <v>24</v>
      </c>
      <c r="AE270" s="9">
        <f>IF(Table5[[#This Row],[Team_Name]]=Table5[[#This Row],[Correct_Winner]],1,0)</f>
        <v>1</v>
      </c>
    </row>
    <row r="271" spans="1:31" x14ac:dyDescent="0.3">
      <c r="A271" s="9" t="s">
        <v>73</v>
      </c>
      <c r="B271">
        <v>2012</v>
      </c>
      <c r="C271" s="9" t="s">
        <v>40</v>
      </c>
      <c r="D271" s="9" t="s">
        <v>755</v>
      </c>
      <c r="E271" s="9" t="s">
        <v>371</v>
      </c>
      <c r="F271" s="3" t="s">
        <v>295</v>
      </c>
      <c r="G271">
        <v>204</v>
      </c>
      <c r="H271">
        <v>4</v>
      </c>
      <c r="I271" t="str">
        <f>Clean_Data!$I271</f>
        <v>Sylhet Thunder</v>
      </c>
      <c r="J271">
        <v>142</v>
      </c>
      <c r="K271">
        <v>8</v>
      </c>
      <c r="L271" s="9" t="s">
        <v>374</v>
      </c>
      <c r="M271" s="9" t="s">
        <v>24</v>
      </c>
      <c r="N271" s="9" t="s">
        <v>37</v>
      </c>
      <c r="O271" s="9" t="s">
        <v>27</v>
      </c>
      <c r="P271" s="9" t="s">
        <v>24</v>
      </c>
      <c r="Q271" s="9" t="s">
        <v>28</v>
      </c>
      <c r="R271" s="9" t="s">
        <v>29</v>
      </c>
      <c r="S271">
        <v>0</v>
      </c>
      <c r="T271">
        <v>62</v>
      </c>
      <c r="U271" s="9" t="s">
        <v>375</v>
      </c>
      <c r="V271" s="9" t="s">
        <v>756</v>
      </c>
      <c r="W271">
        <v>62</v>
      </c>
      <c r="X271" s="9" t="s">
        <v>757</v>
      </c>
      <c r="Y271">
        <v>346</v>
      </c>
      <c r="Z271" s="9" t="s">
        <v>754</v>
      </c>
      <c r="AA271" s="9" t="s">
        <v>66</v>
      </c>
      <c r="AB271" s="9" t="s">
        <v>77</v>
      </c>
      <c r="AC271" s="9" t="s">
        <v>6</v>
      </c>
      <c r="AD271" s="9" t="s">
        <v>35</v>
      </c>
      <c r="AE271" s="9">
        <f>IF(Table5[[#This Row],[Team_Name]]=Table5[[#This Row],[Correct_Winner]],1,0)</f>
        <v>0</v>
      </c>
    </row>
    <row r="272" spans="1:31" x14ac:dyDescent="0.3">
      <c r="A272" s="9" t="s">
        <v>140</v>
      </c>
      <c r="B272">
        <v>2015</v>
      </c>
      <c r="C272" s="9" t="s">
        <v>68</v>
      </c>
      <c r="D272" s="9" t="s">
        <v>755</v>
      </c>
      <c r="E272" s="9" t="s">
        <v>376</v>
      </c>
      <c r="F272" s="2" t="s">
        <v>287</v>
      </c>
      <c r="G272">
        <v>59</v>
      </c>
      <c r="H272">
        <v>10</v>
      </c>
      <c r="I272" t="str">
        <f>Clean_Data!$I272</f>
        <v>Khulna Tigers</v>
      </c>
      <c r="J272">
        <v>60</v>
      </c>
      <c r="K272">
        <v>2</v>
      </c>
      <c r="L272" s="9" t="s">
        <v>377</v>
      </c>
      <c r="M272" s="9" t="s">
        <v>113</v>
      </c>
      <c r="N272" s="9" t="s">
        <v>26</v>
      </c>
      <c r="O272" s="9" t="s">
        <v>189</v>
      </c>
      <c r="P272" s="9" t="s">
        <v>113</v>
      </c>
      <c r="Q272" s="9" t="s">
        <v>28</v>
      </c>
      <c r="R272" s="9" t="s">
        <v>29</v>
      </c>
      <c r="S272">
        <v>8</v>
      </c>
      <c r="T272">
        <v>0</v>
      </c>
      <c r="U272" s="9" t="s">
        <v>30</v>
      </c>
      <c r="V272" s="9" t="s">
        <v>752</v>
      </c>
      <c r="W272">
        <v>8</v>
      </c>
      <c r="X272" s="9" t="s">
        <v>753</v>
      </c>
      <c r="Y272">
        <v>119</v>
      </c>
      <c r="Z272" s="9" t="s">
        <v>758</v>
      </c>
      <c r="AA272" s="9" t="s">
        <v>72</v>
      </c>
      <c r="AB272" s="9" t="s">
        <v>56</v>
      </c>
      <c r="AC272" s="9" t="s">
        <v>3</v>
      </c>
      <c r="AD272" s="9" t="s">
        <v>174</v>
      </c>
      <c r="AE272" s="9">
        <f>IF(Table5[[#This Row],[Team_Name]]=Table5[[#This Row],[Correct_Winner]],1,0)</f>
        <v>0</v>
      </c>
    </row>
    <row r="273" spans="1:31" x14ac:dyDescent="0.3">
      <c r="A273" s="9" t="s">
        <v>140</v>
      </c>
      <c r="B273">
        <v>2015</v>
      </c>
      <c r="C273" s="9" t="s">
        <v>68</v>
      </c>
      <c r="D273" s="9" t="s">
        <v>755</v>
      </c>
      <c r="E273" s="9" t="s">
        <v>376</v>
      </c>
      <c r="F273" s="3" t="s">
        <v>293</v>
      </c>
      <c r="G273">
        <v>59</v>
      </c>
      <c r="H273">
        <v>10</v>
      </c>
      <c r="I273" t="str">
        <f>Clean_Data!$I273</f>
        <v>Sylhet Thunder</v>
      </c>
      <c r="J273">
        <v>60</v>
      </c>
      <c r="K273">
        <v>2</v>
      </c>
      <c r="L273" s="9" t="s">
        <v>377</v>
      </c>
      <c r="M273" s="9" t="s">
        <v>113</v>
      </c>
      <c r="N273" s="9" t="s">
        <v>26</v>
      </c>
      <c r="O273" s="9" t="s">
        <v>189</v>
      </c>
      <c r="P273" s="9" t="s">
        <v>113</v>
      </c>
      <c r="Q273" s="9" t="s">
        <v>28</v>
      </c>
      <c r="R273" s="9" t="s">
        <v>29</v>
      </c>
      <c r="S273">
        <v>8</v>
      </c>
      <c r="T273">
        <v>0</v>
      </c>
      <c r="U273" s="9" t="s">
        <v>30</v>
      </c>
      <c r="V273" s="9" t="s">
        <v>752</v>
      </c>
      <c r="W273">
        <v>8</v>
      </c>
      <c r="X273" s="9" t="s">
        <v>753</v>
      </c>
      <c r="Y273">
        <v>119</v>
      </c>
      <c r="Z273" s="9" t="s">
        <v>758</v>
      </c>
      <c r="AA273" s="9" t="s">
        <v>72</v>
      </c>
      <c r="AB273" s="9" t="s">
        <v>56</v>
      </c>
      <c r="AC273" s="9" t="s">
        <v>6</v>
      </c>
      <c r="AD273" s="9" t="s">
        <v>113</v>
      </c>
      <c r="AE273" s="9">
        <f>IF(Table5[[#This Row],[Team_Name]]=Table5[[#This Row],[Correct_Winner]],1,0)</f>
        <v>1</v>
      </c>
    </row>
    <row r="274" spans="1:31" x14ac:dyDescent="0.3">
      <c r="A274" s="9" t="s">
        <v>140</v>
      </c>
      <c r="B274">
        <v>2015</v>
      </c>
      <c r="C274" s="9" t="s">
        <v>78</v>
      </c>
      <c r="D274" s="9" t="s">
        <v>755</v>
      </c>
      <c r="E274" s="9" t="s">
        <v>376</v>
      </c>
      <c r="F274" s="2" t="s">
        <v>276</v>
      </c>
      <c r="G274">
        <v>105</v>
      </c>
      <c r="H274">
        <v>6</v>
      </c>
      <c r="I274" t="str">
        <f>Clean_Data!$I274</f>
        <v>Rangpur Rangers</v>
      </c>
      <c r="J274">
        <v>106</v>
      </c>
      <c r="K274">
        <v>3</v>
      </c>
      <c r="L274" s="9" t="s">
        <v>42</v>
      </c>
      <c r="M274" s="9" t="s">
        <v>143</v>
      </c>
      <c r="N274" s="9" t="s">
        <v>26</v>
      </c>
      <c r="O274" s="9" t="s">
        <v>145</v>
      </c>
      <c r="P274" s="9" t="s">
        <v>143</v>
      </c>
      <c r="Q274" s="9" t="s">
        <v>28</v>
      </c>
      <c r="R274" s="9" t="s">
        <v>29</v>
      </c>
      <c r="S274">
        <v>7</v>
      </c>
      <c r="T274">
        <v>0</v>
      </c>
      <c r="U274" s="9" t="s">
        <v>118</v>
      </c>
      <c r="V274" s="9" t="s">
        <v>752</v>
      </c>
      <c r="W274">
        <v>7</v>
      </c>
      <c r="X274" s="9" t="s">
        <v>753</v>
      </c>
      <c r="Y274">
        <v>211</v>
      </c>
      <c r="Z274" s="9" t="s">
        <v>754</v>
      </c>
      <c r="AA274" s="9" t="s">
        <v>146</v>
      </c>
      <c r="AB274" s="9" t="s">
        <v>66</v>
      </c>
      <c r="AC274" s="9" t="s">
        <v>3</v>
      </c>
      <c r="AD274" s="9" t="s">
        <v>142</v>
      </c>
      <c r="AE274" s="9">
        <f>IF(Table5[[#This Row],[Team_Name]]=Table5[[#This Row],[Correct_Winner]],1,0)</f>
        <v>0</v>
      </c>
    </row>
    <row r="275" spans="1:31" x14ac:dyDescent="0.3">
      <c r="A275" s="9" t="s">
        <v>140</v>
      </c>
      <c r="B275">
        <v>2015</v>
      </c>
      <c r="C275" s="9" t="s">
        <v>78</v>
      </c>
      <c r="D275" s="9" t="s">
        <v>755</v>
      </c>
      <c r="E275" s="9" t="s">
        <v>376</v>
      </c>
      <c r="F275" s="3" t="s">
        <v>295</v>
      </c>
      <c r="G275">
        <v>105</v>
      </c>
      <c r="H275">
        <v>6</v>
      </c>
      <c r="I275" t="str">
        <f>Clean_Data!$I275</f>
        <v>Rajshahi Royals</v>
      </c>
      <c r="J275">
        <v>106</v>
      </c>
      <c r="K275">
        <v>3</v>
      </c>
      <c r="L275" s="9" t="s">
        <v>42</v>
      </c>
      <c r="M275" s="9" t="s">
        <v>143</v>
      </c>
      <c r="N275" s="9" t="s">
        <v>26</v>
      </c>
      <c r="O275" s="9" t="s">
        <v>145</v>
      </c>
      <c r="P275" s="9" t="s">
        <v>143</v>
      </c>
      <c r="Q275" s="9" t="s">
        <v>28</v>
      </c>
      <c r="R275" s="9" t="s">
        <v>29</v>
      </c>
      <c r="S275">
        <v>7</v>
      </c>
      <c r="T275">
        <v>0</v>
      </c>
      <c r="U275" s="9" t="s">
        <v>118</v>
      </c>
      <c r="V275" s="9" t="s">
        <v>752</v>
      </c>
      <c r="W275">
        <v>7</v>
      </c>
      <c r="X275" s="9" t="s">
        <v>753</v>
      </c>
      <c r="Y275">
        <v>211</v>
      </c>
      <c r="Z275" s="9" t="s">
        <v>754</v>
      </c>
      <c r="AA275" s="9" t="s">
        <v>146</v>
      </c>
      <c r="AB275" s="9" t="s">
        <v>66</v>
      </c>
      <c r="AC275" s="9" t="s">
        <v>6</v>
      </c>
      <c r="AD275" s="9" t="s">
        <v>143</v>
      </c>
      <c r="AE275" s="9">
        <f>IF(Table5[[#This Row],[Team_Name]]=Table5[[#This Row],[Correct_Winner]],1,0)</f>
        <v>1</v>
      </c>
    </row>
    <row r="276" spans="1:31" x14ac:dyDescent="0.3">
      <c r="A276" s="9" t="s">
        <v>140</v>
      </c>
      <c r="B276">
        <v>2015</v>
      </c>
      <c r="C276" s="9" t="s">
        <v>85</v>
      </c>
      <c r="D276" s="9" t="s">
        <v>755</v>
      </c>
      <c r="E276" s="9" t="s">
        <v>378</v>
      </c>
      <c r="F276" s="2" t="s">
        <v>280</v>
      </c>
      <c r="G276">
        <v>135</v>
      </c>
      <c r="H276">
        <v>7</v>
      </c>
      <c r="I276" t="str">
        <f>Clean_Data!$I276</f>
        <v>Cumilla Warriors</v>
      </c>
      <c r="J276">
        <v>136</v>
      </c>
      <c r="K276">
        <v>4</v>
      </c>
      <c r="L276" s="9" t="s">
        <v>188</v>
      </c>
      <c r="M276" s="9" t="s">
        <v>160</v>
      </c>
      <c r="N276" s="9" t="s">
        <v>37</v>
      </c>
      <c r="O276" s="9" t="s">
        <v>189</v>
      </c>
      <c r="P276" s="9" t="s">
        <v>113</v>
      </c>
      <c r="Q276" s="9" t="s">
        <v>28</v>
      </c>
      <c r="R276" s="9" t="s">
        <v>29</v>
      </c>
      <c r="S276">
        <v>6</v>
      </c>
      <c r="T276">
        <v>0</v>
      </c>
      <c r="U276" s="9" t="s">
        <v>151</v>
      </c>
      <c r="V276" s="9" t="s">
        <v>752</v>
      </c>
      <c r="W276">
        <v>6</v>
      </c>
      <c r="X276" s="9" t="s">
        <v>753</v>
      </c>
      <c r="Y276">
        <v>271</v>
      </c>
      <c r="Z276" s="9" t="s">
        <v>754</v>
      </c>
      <c r="AA276" s="9" t="s">
        <v>146</v>
      </c>
      <c r="AB276" s="9" t="s">
        <v>32</v>
      </c>
      <c r="AC276" s="9" t="s">
        <v>3</v>
      </c>
      <c r="AD276" s="9" t="s">
        <v>160</v>
      </c>
      <c r="AE276" s="9">
        <f>IF(Table5[[#This Row],[Team_Name]]=Table5[[#This Row],[Correct_Winner]],1,0)</f>
        <v>0</v>
      </c>
    </row>
    <row r="277" spans="1:31" x14ac:dyDescent="0.3">
      <c r="A277" s="9" t="s">
        <v>140</v>
      </c>
      <c r="B277">
        <v>2015</v>
      </c>
      <c r="C277" s="9" t="s">
        <v>85</v>
      </c>
      <c r="D277" s="9" t="s">
        <v>755</v>
      </c>
      <c r="E277" s="9" t="s">
        <v>378</v>
      </c>
      <c r="F277" s="3" t="s">
        <v>287</v>
      </c>
      <c r="G277">
        <v>135</v>
      </c>
      <c r="H277">
        <v>7</v>
      </c>
      <c r="I277" t="str">
        <f>Clean_Data!$I277</f>
        <v>Rajshahi Royals</v>
      </c>
      <c r="J277">
        <v>136</v>
      </c>
      <c r="K277">
        <v>4</v>
      </c>
      <c r="L277" s="9" t="s">
        <v>188</v>
      </c>
      <c r="M277" s="9" t="s">
        <v>160</v>
      </c>
      <c r="N277" s="9" t="s">
        <v>37</v>
      </c>
      <c r="O277" s="9" t="s">
        <v>189</v>
      </c>
      <c r="P277" s="9" t="s">
        <v>113</v>
      </c>
      <c r="Q277" s="9" t="s">
        <v>28</v>
      </c>
      <c r="R277" s="9" t="s">
        <v>29</v>
      </c>
      <c r="S277">
        <v>6</v>
      </c>
      <c r="T277">
        <v>0</v>
      </c>
      <c r="U277" s="9" t="s">
        <v>151</v>
      </c>
      <c r="V277" s="9" t="s">
        <v>752</v>
      </c>
      <c r="W277">
        <v>6</v>
      </c>
      <c r="X277" s="9" t="s">
        <v>753</v>
      </c>
      <c r="Y277">
        <v>271</v>
      </c>
      <c r="Z277" s="9" t="s">
        <v>754</v>
      </c>
      <c r="AA277" s="9" t="s">
        <v>146</v>
      </c>
      <c r="AB277" s="9" t="s">
        <v>32</v>
      </c>
      <c r="AC277" s="9" t="s">
        <v>6</v>
      </c>
      <c r="AD277" s="9" t="s">
        <v>113</v>
      </c>
      <c r="AE277" s="9">
        <f>IF(Table5[[#This Row],[Team_Name]]=Table5[[#This Row],[Correct_Winner]],1,0)</f>
        <v>1</v>
      </c>
    </row>
    <row r="278" spans="1:31" x14ac:dyDescent="0.3">
      <c r="A278" s="9" t="s">
        <v>140</v>
      </c>
      <c r="B278">
        <v>2015</v>
      </c>
      <c r="C278" s="9" t="s">
        <v>91</v>
      </c>
      <c r="D278" s="9" t="s">
        <v>755</v>
      </c>
      <c r="E278" s="9" t="s">
        <v>378</v>
      </c>
      <c r="F278" s="2" t="s">
        <v>515</v>
      </c>
      <c r="G278">
        <v>58</v>
      </c>
      <c r="H278">
        <v>10</v>
      </c>
      <c r="I278" t="str">
        <f>Clean_Data!$I278</f>
        <v>Rangpur Rangers</v>
      </c>
      <c r="J278">
        <v>62</v>
      </c>
      <c r="K278">
        <v>1</v>
      </c>
      <c r="L278" s="9" t="s">
        <v>105</v>
      </c>
      <c r="M278" s="9" t="s">
        <v>174</v>
      </c>
      <c r="N278" s="9" t="s">
        <v>26</v>
      </c>
      <c r="O278" s="9" t="s">
        <v>184</v>
      </c>
      <c r="P278" s="9" t="s">
        <v>174</v>
      </c>
      <c r="Q278" s="9" t="s">
        <v>28</v>
      </c>
      <c r="R278" s="9" t="s">
        <v>29</v>
      </c>
      <c r="S278">
        <v>0</v>
      </c>
      <c r="T278">
        <v>0</v>
      </c>
      <c r="U278" s="9" t="s">
        <v>379</v>
      </c>
      <c r="V278" s="9" t="s">
        <v>752</v>
      </c>
      <c r="W278">
        <v>0</v>
      </c>
      <c r="X278" s="9" t="s">
        <v>753</v>
      </c>
      <c r="Y278">
        <v>120</v>
      </c>
      <c r="Z278" s="9" t="s">
        <v>758</v>
      </c>
      <c r="AA278" s="9" t="s">
        <v>56</v>
      </c>
      <c r="AB278" s="9" t="s">
        <v>147</v>
      </c>
      <c r="AC278" s="9" t="s">
        <v>3</v>
      </c>
      <c r="AD278" s="9" t="s">
        <v>142</v>
      </c>
      <c r="AE278" s="9">
        <f>IF(Table5[[#This Row],[Team_Name]]=Table5[[#This Row],[Correct_Winner]],1,0)</f>
        <v>0</v>
      </c>
    </row>
    <row r="279" spans="1:31" x14ac:dyDescent="0.3">
      <c r="A279" s="9" t="s">
        <v>140</v>
      </c>
      <c r="B279">
        <v>2015</v>
      </c>
      <c r="C279" s="9" t="s">
        <v>91</v>
      </c>
      <c r="D279" s="9" t="s">
        <v>755</v>
      </c>
      <c r="E279" s="9" t="s">
        <v>378</v>
      </c>
      <c r="F279" s="3" t="s">
        <v>515</v>
      </c>
      <c r="G279">
        <v>58</v>
      </c>
      <c r="H279">
        <v>10</v>
      </c>
      <c r="I279" t="str">
        <f>Clean_Data!$I279</f>
        <v>Khulna Tigers</v>
      </c>
      <c r="J279">
        <v>62</v>
      </c>
      <c r="K279">
        <v>1</v>
      </c>
      <c r="L279" s="9" t="s">
        <v>105</v>
      </c>
      <c r="M279" s="9" t="s">
        <v>174</v>
      </c>
      <c r="N279" s="9" t="s">
        <v>26</v>
      </c>
      <c r="O279" s="9" t="s">
        <v>184</v>
      </c>
      <c r="P279" s="9" t="s">
        <v>174</v>
      </c>
      <c r="Q279" s="9" t="s">
        <v>28</v>
      </c>
      <c r="R279" s="9" t="s">
        <v>29</v>
      </c>
      <c r="S279">
        <v>0</v>
      </c>
      <c r="T279">
        <v>0</v>
      </c>
      <c r="U279" s="9" t="s">
        <v>379</v>
      </c>
      <c r="V279" s="9" t="s">
        <v>752</v>
      </c>
      <c r="W279">
        <v>0</v>
      </c>
      <c r="X279" s="9" t="s">
        <v>753</v>
      </c>
      <c r="Y279">
        <v>120</v>
      </c>
      <c r="Z279" s="9" t="s">
        <v>758</v>
      </c>
      <c r="AA279" s="9" t="s">
        <v>56</v>
      </c>
      <c r="AB279" s="9" t="s">
        <v>147</v>
      </c>
      <c r="AC279" s="9" t="s">
        <v>6</v>
      </c>
      <c r="AD279" s="9" t="s">
        <v>174</v>
      </c>
      <c r="AE279" s="9">
        <f>IF(Table5[[#This Row],[Team_Name]]=Table5[[#This Row],[Correct_Winner]],1,0)</f>
        <v>1</v>
      </c>
    </row>
    <row r="280" spans="1:31" x14ac:dyDescent="0.3">
      <c r="A280" s="9" t="s">
        <v>140</v>
      </c>
      <c r="B280">
        <v>2015</v>
      </c>
      <c r="C280" s="9" t="s">
        <v>95</v>
      </c>
      <c r="D280" s="9" t="s">
        <v>755</v>
      </c>
      <c r="E280" s="9" t="s">
        <v>380</v>
      </c>
      <c r="F280" s="2" t="s">
        <v>276</v>
      </c>
      <c r="G280">
        <v>136</v>
      </c>
      <c r="H280">
        <v>5</v>
      </c>
      <c r="I280" t="str">
        <f>Clean_Data!$I280</f>
        <v>Cumilla Warriors</v>
      </c>
      <c r="J280">
        <v>142</v>
      </c>
      <c r="K280">
        <v>5</v>
      </c>
      <c r="L280" s="9" t="s">
        <v>381</v>
      </c>
      <c r="M280" s="9" t="s">
        <v>143</v>
      </c>
      <c r="N280" s="9" t="s">
        <v>26</v>
      </c>
      <c r="O280" s="9" t="s">
        <v>145</v>
      </c>
      <c r="P280" s="9" t="s">
        <v>143</v>
      </c>
      <c r="Q280" s="9" t="s">
        <v>88</v>
      </c>
      <c r="R280" s="9" t="s">
        <v>89</v>
      </c>
      <c r="S280">
        <v>5</v>
      </c>
      <c r="T280">
        <v>0</v>
      </c>
      <c r="U280" s="9" t="s">
        <v>55</v>
      </c>
      <c r="V280" s="9" t="s">
        <v>752</v>
      </c>
      <c r="W280">
        <v>5</v>
      </c>
      <c r="X280" s="9" t="s">
        <v>753</v>
      </c>
      <c r="Y280">
        <v>278</v>
      </c>
      <c r="Z280" s="9" t="s">
        <v>754</v>
      </c>
      <c r="AA280" s="9" t="s">
        <v>50</v>
      </c>
      <c r="AB280" s="9" t="s">
        <v>216</v>
      </c>
      <c r="AC280" s="9" t="s">
        <v>3</v>
      </c>
      <c r="AD280" s="9" t="s">
        <v>179</v>
      </c>
      <c r="AE280" s="9">
        <f>IF(Table5[[#This Row],[Team_Name]]=Table5[[#This Row],[Correct_Winner]],1,0)</f>
        <v>0</v>
      </c>
    </row>
    <row r="281" spans="1:31" x14ac:dyDescent="0.3">
      <c r="A281" s="9" t="s">
        <v>140</v>
      </c>
      <c r="B281">
        <v>2015</v>
      </c>
      <c r="C281" s="9" t="s">
        <v>95</v>
      </c>
      <c r="D281" s="9" t="s">
        <v>755</v>
      </c>
      <c r="E281" s="9" t="s">
        <v>380</v>
      </c>
      <c r="F281" s="3" t="s">
        <v>277</v>
      </c>
      <c r="G281">
        <v>136</v>
      </c>
      <c r="H281">
        <v>5</v>
      </c>
      <c r="I281" t="str">
        <f>Clean_Data!$I281</f>
        <v>Rangpur Rangers</v>
      </c>
      <c r="J281">
        <v>142</v>
      </c>
      <c r="K281">
        <v>5</v>
      </c>
      <c r="L281" s="9" t="s">
        <v>381</v>
      </c>
      <c r="M281" s="9" t="s">
        <v>143</v>
      </c>
      <c r="N281" s="9" t="s">
        <v>26</v>
      </c>
      <c r="O281" s="9" t="s">
        <v>145</v>
      </c>
      <c r="P281" s="9" t="s">
        <v>143</v>
      </c>
      <c r="Q281" s="9" t="s">
        <v>88</v>
      </c>
      <c r="R281" s="9" t="s">
        <v>89</v>
      </c>
      <c r="S281">
        <v>5</v>
      </c>
      <c r="T281">
        <v>0</v>
      </c>
      <c r="U281" s="9" t="s">
        <v>55</v>
      </c>
      <c r="V281" s="9" t="s">
        <v>752</v>
      </c>
      <c r="W281">
        <v>5</v>
      </c>
      <c r="X281" s="9" t="s">
        <v>753</v>
      </c>
      <c r="Y281">
        <v>278</v>
      </c>
      <c r="Z281" s="9" t="s">
        <v>754</v>
      </c>
      <c r="AA281" s="9" t="s">
        <v>50</v>
      </c>
      <c r="AB281" s="9" t="s">
        <v>216</v>
      </c>
      <c r="AC281" s="9" t="s">
        <v>6</v>
      </c>
      <c r="AD281" s="9" t="s">
        <v>143</v>
      </c>
      <c r="AE281" s="9">
        <f>IF(Table5[[#This Row],[Team_Name]]=Table5[[#This Row],[Correct_Winner]],1,0)</f>
        <v>1</v>
      </c>
    </row>
    <row r="282" spans="1:31" x14ac:dyDescent="0.3">
      <c r="A282" s="9" t="s">
        <v>140</v>
      </c>
      <c r="B282">
        <v>2015</v>
      </c>
      <c r="C282" s="9" t="s">
        <v>104</v>
      </c>
      <c r="D282" s="9" t="s">
        <v>755</v>
      </c>
      <c r="E282" s="9" t="s">
        <v>380</v>
      </c>
      <c r="F282" s="2" t="s">
        <v>287</v>
      </c>
      <c r="G282">
        <v>104</v>
      </c>
      <c r="H282">
        <v>9</v>
      </c>
      <c r="I282" t="str">
        <f>Clean_Data!$I282</f>
        <v>Chattogram Challengers</v>
      </c>
      <c r="J282">
        <v>75</v>
      </c>
      <c r="K282">
        <v>4</v>
      </c>
      <c r="L282" s="9" t="s">
        <v>161</v>
      </c>
      <c r="M282" s="9" t="s">
        <v>142</v>
      </c>
      <c r="N282" s="9" t="s">
        <v>26</v>
      </c>
      <c r="O282" s="9" t="s">
        <v>155</v>
      </c>
      <c r="P282" s="9" t="s">
        <v>113</v>
      </c>
      <c r="Q282" s="9" t="s">
        <v>88</v>
      </c>
      <c r="R282" s="9" t="s">
        <v>89</v>
      </c>
      <c r="S282">
        <v>6</v>
      </c>
      <c r="T282">
        <v>0</v>
      </c>
      <c r="U282" s="9" t="s">
        <v>151</v>
      </c>
      <c r="V282" s="9" t="s">
        <v>752</v>
      </c>
      <c r="W282">
        <v>6</v>
      </c>
      <c r="X282" s="9" t="s">
        <v>753</v>
      </c>
      <c r="Y282">
        <v>179</v>
      </c>
      <c r="Z282" s="9" t="s">
        <v>754</v>
      </c>
      <c r="AA282" s="9" t="s">
        <v>72</v>
      </c>
      <c r="AB282" s="9" t="s">
        <v>147</v>
      </c>
      <c r="AC282" s="9" t="s">
        <v>3</v>
      </c>
      <c r="AD282" s="9" t="s">
        <v>113</v>
      </c>
      <c r="AE282" s="9">
        <f>IF(Table5[[#This Row],[Team_Name]]=Table5[[#This Row],[Correct_Winner]],1,0)</f>
        <v>1</v>
      </c>
    </row>
    <row r="283" spans="1:31" x14ac:dyDescent="0.3">
      <c r="A283" s="9" t="s">
        <v>140</v>
      </c>
      <c r="B283">
        <v>2015</v>
      </c>
      <c r="C283" s="9" t="s">
        <v>104</v>
      </c>
      <c r="D283" s="9" t="s">
        <v>755</v>
      </c>
      <c r="E283" s="9" t="s">
        <v>380</v>
      </c>
      <c r="F283" s="3" t="s">
        <v>293</v>
      </c>
      <c r="G283">
        <v>104</v>
      </c>
      <c r="H283">
        <v>9</v>
      </c>
      <c r="I283" t="str">
        <f>Clean_Data!$I283</f>
        <v>Rajshahi Royals</v>
      </c>
      <c r="J283">
        <v>75</v>
      </c>
      <c r="K283">
        <v>4</v>
      </c>
      <c r="L283" s="9" t="s">
        <v>161</v>
      </c>
      <c r="M283" s="9" t="s">
        <v>142</v>
      </c>
      <c r="N283" s="9" t="s">
        <v>26</v>
      </c>
      <c r="O283" s="9" t="s">
        <v>155</v>
      </c>
      <c r="P283" s="9" t="s">
        <v>113</v>
      </c>
      <c r="Q283" s="9" t="s">
        <v>88</v>
      </c>
      <c r="R283" s="9" t="s">
        <v>89</v>
      </c>
      <c r="S283">
        <v>6</v>
      </c>
      <c r="T283">
        <v>0</v>
      </c>
      <c r="U283" s="9" t="s">
        <v>151</v>
      </c>
      <c r="V283" s="9" t="s">
        <v>752</v>
      </c>
      <c r="W283">
        <v>6</v>
      </c>
      <c r="X283" s="9" t="s">
        <v>753</v>
      </c>
      <c r="Y283">
        <v>179</v>
      </c>
      <c r="Z283" s="9" t="s">
        <v>754</v>
      </c>
      <c r="AA283" s="9" t="s">
        <v>72</v>
      </c>
      <c r="AB283" s="9" t="s">
        <v>147</v>
      </c>
      <c r="AC283" s="9" t="s">
        <v>6</v>
      </c>
      <c r="AD283" s="9" t="s">
        <v>142</v>
      </c>
      <c r="AE283" s="9">
        <f>IF(Table5[[#This Row],[Team_Name]]=Table5[[#This Row],[Correct_Winner]],1,0)</f>
        <v>0</v>
      </c>
    </row>
    <row r="284" spans="1:31" x14ac:dyDescent="0.3">
      <c r="A284" s="9" t="s">
        <v>140</v>
      </c>
      <c r="B284">
        <v>2015</v>
      </c>
      <c r="C284" s="9" t="s">
        <v>110</v>
      </c>
      <c r="D284" s="9" t="s">
        <v>755</v>
      </c>
      <c r="E284" s="9" t="s">
        <v>382</v>
      </c>
      <c r="F284" s="2" t="s">
        <v>515</v>
      </c>
      <c r="G284">
        <v>139</v>
      </c>
      <c r="H284">
        <v>9</v>
      </c>
      <c r="I284" t="str">
        <f>Clean_Data!$I284</f>
        <v>Dhaka Platoon</v>
      </c>
      <c r="J284">
        <v>140</v>
      </c>
      <c r="K284">
        <v>0</v>
      </c>
      <c r="L284" s="9" t="s">
        <v>383</v>
      </c>
      <c r="M284" s="9" t="s">
        <v>179</v>
      </c>
      <c r="N284" s="9" t="s">
        <v>26</v>
      </c>
      <c r="O284" s="9" t="s">
        <v>245</v>
      </c>
      <c r="P284" s="9" t="s">
        <v>179</v>
      </c>
      <c r="Q284" s="9" t="s">
        <v>88</v>
      </c>
      <c r="R284" s="9" t="s">
        <v>89</v>
      </c>
      <c r="S284">
        <v>10</v>
      </c>
      <c r="T284">
        <v>0</v>
      </c>
      <c r="U284" s="9" t="s">
        <v>209</v>
      </c>
      <c r="V284" s="9" t="s">
        <v>752</v>
      </c>
      <c r="W284">
        <v>10</v>
      </c>
      <c r="X284" s="9" t="s">
        <v>753</v>
      </c>
      <c r="Y284">
        <v>279</v>
      </c>
      <c r="Z284" s="9" t="s">
        <v>754</v>
      </c>
      <c r="AA284" s="9" t="s">
        <v>72</v>
      </c>
      <c r="AB284" s="9" t="s">
        <v>216</v>
      </c>
      <c r="AC284" s="9" t="s">
        <v>3</v>
      </c>
      <c r="AD284" s="9" t="s">
        <v>174</v>
      </c>
      <c r="AE284" s="9">
        <f>IF(Table5[[#This Row],[Team_Name]]=Table5[[#This Row],[Correct_Winner]],1,0)</f>
        <v>0</v>
      </c>
    </row>
    <row r="285" spans="1:31" x14ac:dyDescent="0.3">
      <c r="A285" s="9" t="s">
        <v>140</v>
      </c>
      <c r="B285">
        <v>2015</v>
      </c>
      <c r="C285" s="9" t="s">
        <v>110</v>
      </c>
      <c r="D285" s="9" t="s">
        <v>755</v>
      </c>
      <c r="E285" s="9" t="s">
        <v>382</v>
      </c>
      <c r="F285" s="3" t="s">
        <v>277</v>
      </c>
      <c r="G285">
        <v>139</v>
      </c>
      <c r="H285">
        <v>9</v>
      </c>
      <c r="I285" t="str">
        <f>Clean_Data!$I285</f>
        <v>Rajshahi Royals</v>
      </c>
      <c r="J285">
        <v>140</v>
      </c>
      <c r="K285">
        <v>0</v>
      </c>
      <c r="L285" s="9" t="s">
        <v>383</v>
      </c>
      <c r="M285" s="9" t="s">
        <v>179</v>
      </c>
      <c r="N285" s="9" t="s">
        <v>26</v>
      </c>
      <c r="O285" s="9" t="s">
        <v>245</v>
      </c>
      <c r="P285" s="9" t="s">
        <v>179</v>
      </c>
      <c r="Q285" s="9" t="s">
        <v>88</v>
      </c>
      <c r="R285" s="9" t="s">
        <v>89</v>
      </c>
      <c r="S285">
        <v>10</v>
      </c>
      <c r="T285">
        <v>0</v>
      </c>
      <c r="U285" s="9" t="s">
        <v>209</v>
      </c>
      <c r="V285" s="9" t="s">
        <v>752</v>
      </c>
      <c r="W285">
        <v>10</v>
      </c>
      <c r="X285" s="9" t="s">
        <v>753</v>
      </c>
      <c r="Y285">
        <v>279</v>
      </c>
      <c r="Z285" s="9" t="s">
        <v>754</v>
      </c>
      <c r="AA285" s="9" t="s">
        <v>72</v>
      </c>
      <c r="AB285" s="9" t="s">
        <v>216</v>
      </c>
      <c r="AC285" s="9" t="s">
        <v>6</v>
      </c>
      <c r="AD285" s="9" t="s">
        <v>179</v>
      </c>
      <c r="AE285" s="9">
        <f>IF(Table5[[#This Row],[Team_Name]]=Table5[[#This Row],[Correct_Winner]],1,0)</f>
        <v>1</v>
      </c>
    </row>
    <row r="286" spans="1:31" x14ac:dyDescent="0.3">
      <c r="A286" s="9" t="s">
        <v>140</v>
      </c>
      <c r="B286">
        <v>2015</v>
      </c>
      <c r="C286" s="9" t="s">
        <v>116</v>
      </c>
      <c r="D286" s="9" t="s">
        <v>755</v>
      </c>
      <c r="E286" s="9" t="s">
        <v>382</v>
      </c>
      <c r="F286" s="2" t="s">
        <v>293</v>
      </c>
      <c r="G286">
        <v>141</v>
      </c>
      <c r="H286">
        <v>7</v>
      </c>
      <c r="I286" t="str">
        <f>Clean_Data!$I286</f>
        <v>Dhaka Platoon</v>
      </c>
      <c r="J286">
        <v>131</v>
      </c>
      <c r="K286">
        <v>6</v>
      </c>
      <c r="L286" s="9" t="s">
        <v>166</v>
      </c>
      <c r="M286" s="9" t="s">
        <v>160</v>
      </c>
      <c r="N286" s="9" t="s">
        <v>26</v>
      </c>
      <c r="O286" s="9" t="s">
        <v>145</v>
      </c>
      <c r="P286" s="9" t="s">
        <v>143</v>
      </c>
      <c r="Q286" s="9" t="s">
        <v>88</v>
      </c>
      <c r="R286" s="9" t="s">
        <v>89</v>
      </c>
      <c r="S286">
        <v>0</v>
      </c>
      <c r="T286">
        <v>10</v>
      </c>
      <c r="U286" s="9" t="s">
        <v>384</v>
      </c>
      <c r="V286" s="9" t="s">
        <v>756</v>
      </c>
      <c r="W286">
        <v>10</v>
      </c>
      <c r="X286" s="9" t="s">
        <v>753</v>
      </c>
      <c r="Y286">
        <v>272</v>
      </c>
      <c r="Z286" s="9" t="s">
        <v>754</v>
      </c>
      <c r="AA286" s="9" t="s">
        <v>50</v>
      </c>
      <c r="AB286" s="9" t="s">
        <v>225</v>
      </c>
      <c r="AC286" s="9" t="s">
        <v>3</v>
      </c>
      <c r="AD286" s="9" t="s">
        <v>143</v>
      </c>
      <c r="AE286" s="9">
        <f>IF(Table5[[#This Row],[Team_Name]]=Table5[[#This Row],[Correct_Winner]],1,0)</f>
        <v>1</v>
      </c>
    </row>
    <row r="287" spans="1:31" x14ac:dyDescent="0.3">
      <c r="A287" s="9" t="s">
        <v>140</v>
      </c>
      <c r="B287">
        <v>2015</v>
      </c>
      <c r="C287" s="9" t="s">
        <v>116</v>
      </c>
      <c r="D287" s="9" t="s">
        <v>755</v>
      </c>
      <c r="E287" s="9" t="s">
        <v>382</v>
      </c>
      <c r="F287" s="3" t="s">
        <v>280</v>
      </c>
      <c r="G287">
        <v>141</v>
      </c>
      <c r="H287">
        <v>7</v>
      </c>
      <c r="I287" t="str">
        <f>Clean_Data!$I287</f>
        <v>Rangpur Rangers</v>
      </c>
      <c r="J287">
        <v>131</v>
      </c>
      <c r="K287">
        <v>6</v>
      </c>
      <c r="L287" s="9" t="s">
        <v>166</v>
      </c>
      <c r="M287" s="9" t="s">
        <v>160</v>
      </c>
      <c r="N287" s="9" t="s">
        <v>26</v>
      </c>
      <c r="O287" s="9" t="s">
        <v>145</v>
      </c>
      <c r="P287" s="9" t="s">
        <v>143</v>
      </c>
      <c r="Q287" s="9" t="s">
        <v>88</v>
      </c>
      <c r="R287" s="9" t="s">
        <v>89</v>
      </c>
      <c r="S287">
        <v>0</v>
      </c>
      <c r="T287">
        <v>10</v>
      </c>
      <c r="U287" s="9" t="s">
        <v>384</v>
      </c>
      <c r="V287" s="9" t="s">
        <v>756</v>
      </c>
      <c r="W287">
        <v>10</v>
      </c>
      <c r="X287" s="9" t="s">
        <v>753</v>
      </c>
      <c r="Y287">
        <v>272</v>
      </c>
      <c r="Z287" s="9" t="s">
        <v>754</v>
      </c>
      <c r="AA287" s="9" t="s">
        <v>50</v>
      </c>
      <c r="AB287" s="9" t="s">
        <v>225</v>
      </c>
      <c r="AC287" s="9" t="s">
        <v>6</v>
      </c>
      <c r="AD287" s="9" t="s">
        <v>160</v>
      </c>
      <c r="AE287" s="9">
        <f>IF(Table5[[#This Row],[Team_Name]]=Table5[[#This Row],[Correct_Winner]],1,0)</f>
        <v>0</v>
      </c>
    </row>
    <row r="288" spans="1:31" x14ac:dyDescent="0.3">
      <c r="A288" s="9" t="s">
        <v>140</v>
      </c>
      <c r="B288">
        <v>2015</v>
      </c>
      <c r="C288" s="9" t="s">
        <v>123</v>
      </c>
      <c r="D288" s="9" t="s">
        <v>755</v>
      </c>
      <c r="E288" s="9" t="s">
        <v>385</v>
      </c>
      <c r="F288" s="2" t="s">
        <v>515</v>
      </c>
      <c r="G288">
        <v>158</v>
      </c>
      <c r="H288">
        <v>5</v>
      </c>
      <c r="I288" t="str">
        <f>Clean_Data!$I288</f>
        <v>Khulna Tigers</v>
      </c>
      <c r="J288">
        <v>159</v>
      </c>
      <c r="K288">
        <v>1</v>
      </c>
      <c r="L288" s="9" t="s">
        <v>259</v>
      </c>
      <c r="M288" s="9" t="s">
        <v>142</v>
      </c>
      <c r="N288" s="9" t="s">
        <v>26</v>
      </c>
      <c r="O288" s="9" t="s">
        <v>155</v>
      </c>
      <c r="P288" s="9" t="s">
        <v>142</v>
      </c>
      <c r="Q288" s="9" t="s">
        <v>88</v>
      </c>
      <c r="R288" s="9" t="s">
        <v>89</v>
      </c>
      <c r="S288">
        <v>9</v>
      </c>
      <c r="T288">
        <v>0</v>
      </c>
      <c r="U288" s="9" t="s">
        <v>71</v>
      </c>
      <c r="V288" s="9" t="s">
        <v>752</v>
      </c>
      <c r="W288">
        <v>9</v>
      </c>
      <c r="X288" s="9" t="s">
        <v>753</v>
      </c>
      <c r="Y288">
        <v>317</v>
      </c>
      <c r="Z288" s="9" t="s">
        <v>754</v>
      </c>
      <c r="AA288" s="9" t="s">
        <v>32</v>
      </c>
      <c r="AB288" s="9" t="s">
        <v>147</v>
      </c>
      <c r="AC288" s="9" t="s">
        <v>3</v>
      </c>
      <c r="AD288" s="9" t="s">
        <v>160</v>
      </c>
      <c r="AE288" s="9">
        <f>IF(Table5[[#This Row],[Team_Name]]=Table5[[#This Row],[Correct_Winner]],1,0)</f>
        <v>0</v>
      </c>
    </row>
    <row r="289" spans="1:31" x14ac:dyDescent="0.3">
      <c r="A289" s="9" t="s">
        <v>140</v>
      </c>
      <c r="B289">
        <v>2015</v>
      </c>
      <c r="C289" s="9" t="s">
        <v>123</v>
      </c>
      <c r="D289" s="9" t="s">
        <v>755</v>
      </c>
      <c r="E289" s="9" t="s">
        <v>385</v>
      </c>
      <c r="F289" s="3" t="s">
        <v>280</v>
      </c>
      <c r="G289">
        <v>158</v>
      </c>
      <c r="H289">
        <v>5</v>
      </c>
      <c r="I289" t="str">
        <f>Clean_Data!$I289</f>
        <v>Cumilla Warriors</v>
      </c>
      <c r="J289">
        <v>159</v>
      </c>
      <c r="K289">
        <v>1</v>
      </c>
      <c r="L289" s="9" t="s">
        <v>259</v>
      </c>
      <c r="M289" s="9" t="s">
        <v>142</v>
      </c>
      <c r="N289" s="9" t="s">
        <v>26</v>
      </c>
      <c r="O289" s="9" t="s">
        <v>155</v>
      </c>
      <c r="P289" s="9" t="s">
        <v>142</v>
      </c>
      <c r="Q289" s="9" t="s">
        <v>88</v>
      </c>
      <c r="R289" s="9" t="s">
        <v>89</v>
      </c>
      <c r="S289">
        <v>9</v>
      </c>
      <c r="T289">
        <v>0</v>
      </c>
      <c r="U289" s="9" t="s">
        <v>71</v>
      </c>
      <c r="V289" s="9" t="s">
        <v>752</v>
      </c>
      <c r="W289">
        <v>9</v>
      </c>
      <c r="X289" s="9" t="s">
        <v>753</v>
      </c>
      <c r="Y289">
        <v>317</v>
      </c>
      <c r="Z289" s="9" t="s">
        <v>754</v>
      </c>
      <c r="AA289" s="9" t="s">
        <v>32</v>
      </c>
      <c r="AB289" s="9" t="s">
        <v>147</v>
      </c>
      <c r="AC289" s="9" t="s">
        <v>6</v>
      </c>
      <c r="AD289" s="9" t="s">
        <v>142</v>
      </c>
      <c r="AE289" s="9">
        <f>IF(Table5[[#This Row],[Team_Name]]=Table5[[#This Row],[Correct_Winner]],1,0)</f>
        <v>1</v>
      </c>
    </row>
    <row r="290" spans="1:31" x14ac:dyDescent="0.3">
      <c r="A290" s="9" t="s">
        <v>140</v>
      </c>
      <c r="B290">
        <v>2015</v>
      </c>
      <c r="C290" s="9" t="s">
        <v>126</v>
      </c>
      <c r="D290" s="9" t="s">
        <v>755</v>
      </c>
      <c r="E290" s="9" t="s">
        <v>385</v>
      </c>
      <c r="F290" s="2" t="s">
        <v>295</v>
      </c>
      <c r="G290">
        <v>111</v>
      </c>
      <c r="H290">
        <v>8</v>
      </c>
      <c r="I290" t="str">
        <f>Clean_Data!$I290</f>
        <v>Khulna Tigers</v>
      </c>
      <c r="J290">
        <v>113</v>
      </c>
      <c r="K290">
        <v>1</v>
      </c>
      <c r="L290" s="9" t="s">
        <v>386</v>
      </c>
      <c r="M290" s="9" t="s">
        <v>179</v>
      </c>
      <c r="N290" s="9" t="s">
        <v>37</v>
      </c>
      <c r="O290" s="9" t="s">
        <v>189</v>
      </c>
      <c r="P290" s="9" t="s">
        <v>113</v>
      </c>
      <c r="Q290" s="9" t="s">
        <v>88</v>
      </c>
      <c r="R290" s="9" t="s">
        <v>89</v>
      </c>
      <c r="S290">
        <v>9</v>
      </c>
      <c r="T290">
        <v>0</v>
      </c>
      <c r="U290" s="9" t="s">
        <v>71</v>
      </c>
      <c r="V290" s="9" t="s">
        <v>752</v>
      </c>
      <c r="W290">
        <v>9</v>
      </c>
      <c r="X290" s="9" t="s">
        <v>753</v>
      </c>
      <c r="Y290">
        <v>224</v>
      </c>
      <c r="Z290" s="9" t="s">
        <v>754</v>
      </c>
      <c r="AA290" s="9" t="s">
        <v>32</v>
      </c>
      <c r="AB290" s="9" t="s">
        <v>44</v>
      </c>
      <c r="AC290" s="9" t="s">
        <v>3</v>
      </c>
      <c r="AD290" s="9" t="s">
        <v>179</v>
      </c>
      <c r="AE290" s="9">
        <f>IF(Table5[[#This Row],[Team_Name]]=Table5[[#This Row],[Correct_Winner]],1,0)</f>
        <v>0</v>
      </c>
    </row>
    <row r="291" spans="1:31" x14ac:dyDescent="0.3">
      <c r="A291" s="9" t="s">
        <v>140</v>
      </c>
      <c r="B291">
        <v>2015</v>
      </c>
      <c r="C291" s="9" t="s">
        <v>126</v>
      </c>
      <c r="D291" s="9" t="s">
        <v>755</v>
      </c>
      <c r="E291" s="9" t="s">
        <v>385</v>
      </c>
      <c r="F291" s="3" t="s">
        <v>280</v>
      </c>
      <c r="G291">
        <v>111</v>
      </c>
      <c r="H291">
        <v>8</v>
      </c>
      <c r="I291" t="str">
        <f>Clean_Data!$I291</f>
        <v>Dhaka Platoon</v>
      </c>
      <c r="J291">
        <v>113</v>
      </c>
      <c r="K291">
        <v>1</v>
      </c>
      <c r="L291" s="9" t="s">
        <v>386</v>
      </c>
      <c r="M291" s="9" t="s">
        <v>179</v>
      </c>
      <c r="N291" s="9" t="s">
        <v>37</v>
      </c>
      <c r="O291" s="9" t="s">
        <v>189</v>
      </c>
      <c r="P291" s="9" t="s">
        <v>113</v>
      </c>
      <c r="Q291" s="9" t="s">
        <v>88</v>
      </c>
      <c r="R291" s="9" t="s">
        <v>89</v>
      </c>
      <c r="S291">
        <v>9</v>
      </c>
      <c r="T291">
        <v>0</v>
      </c>
      <c r="U291" s="9" t="s">
        <v>71</v>
      </c>
      <c r="V291" s="9" t="s">
        <v>752</v>
      </c>
      <c r="W291">
        <v>9</v>
      </c>
      <c r="X291" s="9" t="s">
        <v>753</v>
      </c>
      <c r="Y291">
        <v>224</v>
      </c>
      <c r="Z291" s="9" t="s">
        <v>754</v>
      </c>
      <c r="AA291" s="9" t="s">
        <v>32</v>
      </c>
      <c r="AB291" s="9" t="s">
        <v>44</v>
      </c>
      <c r="AC291" s="9" t="s">
        <v>6</v>
      </c>
      <c r="AD291" s="9" t="s">
        <v>113</v>
      </c>
      <c r="AE291" s="9">
        <f>IF(Table5[[#This Row],[Team_Name]]=Table5[[#This Row],[Correct_Winner]],1,0)</f>
        <v>1</v>
      </c>
    </row>
    <row r="292" spans="1:31" x14ac:dyDescent="0.3">
      <c r="A292" s="9" t="s">
        <v>140</v>
      </c>
      <c r="B292">
        <v>2015</v>
      </c>
      <c r="C292" s="9" t="s">
        <v>132</v>
      </c>
      <c r="D292" s="9" t="s">
        <v>755</v>
      </c>
      <c r="E292" s="9" t="s">
        <v>387</v>
      </c>
      <c r="F292" s="2" t="s">
        <v>295</v>
      </c>
      <c r="G292">
        <v>164</v>
      </c>
      <c r="H292">
        <v>5</v>
      </c>
      <c r="I292" t="str">
        <f>Clean_Data!$I292</f>
        <v>Cumilla Warriors</v>
      </c>
      <c r="J292">
        <v>168</v>
      </c>
      <c r="K292">
        <v>6</v>
      </c>
      <c r="L292" s="9" t="s">
        <v>183</v>
      </c>
      <c r="M292" s="9" t="s">
        <v>174</v>
      </c>
      <c r="N292" s="9" t="s">
        <v>26</v>
      </c>
      <c r="O292" s="9" t="s">
        <v>184</v>
      </c>
      <c r="P292" s="9" t="s">
        <v>174</v>
      </c>
      <c r="Q292" s="9" t="s">
        <v>88</v>
      </c>
      <c r="R292" s="9" t="s">
        <v>89</v>
      </c>
      <c r="S292">
        <v>0</v>
      </c>
      <c r="T292">
        <v>0</v>
      </c>
      <c r="U292" s="9" t="s">
        <v>388</v>
      </c>
      <c r="V292" s="9" t="s">
        <v>752</v>
      </c>
      <c r="W292">
        <v>0</v>
      </c>
      <c r="X292" s="9" t="s">
        <v>753</v>
      </c>
      <c r="Y292">
        <v>332</v>
      </c>
      <c r="Z292" s="9" t="s">
        <v>754</v>
      </c>
      <c r="AA292" s="9" t="s">
        <v>32</v>
      </c>
      <c r="AB292" s="9" t="s">
        <v>44</v>
      </c>
      <c r="AC292" s="9" t="s">
        <v>3</v>
      </c>
      <c r="AD292" s="9" t="s">
        <v>143</v>
      </c>
      <c r="AE292" s="9">
        <f>IF(Table5[[#This Row],[Team_Name]]=Table5[[#This Row],[Correct_Winner]],1,0)</f>
        <v>0</v>
      </c>
    </row>
    <row r="293" spans="1:31" x14ac:dyDescent="0.3">
      <c r="A293" s="9" t="s">
        <v>140</v>
      </c>
      <c r="B293">
        <v>2015</v>
      </c>
      <c r="C293" s="9" t="s">
        <v>132</v>
      </c>
      <c r="D293" s="9" t="s">
        <v>755</v>
      </c>
      <c r="E293" s="9" t="s">
        <v>387</v>
      </c>
      <c r="F293" s="3" t="s">
        <v>515</v>
      </c>
      <c r="G293">
        <v>164</v>
      </c>
      <c r="H293">
        <v>5</v>
      </c>
      <c r="I293" t="str">
        <f>Clean_Data!$I293</f>
        <v>Chattogram Challengers</v>
      </c>
      <c r="J293">
        <v>168</v>
      </c>
      <c r="K293">
        <v>6</v>
      </c>
      <c r="L293" s="9" t="s">
        <v>183</v>
      </c>
      <c r="M293" s="9" t="s">
        <v>174</v>
      </c>
      <c r="N293" s="9" t="s">
        <v>26</v>
      </c>
      <c r="O293" s="9" t="s">
        <v>184</v>
      </c>
      <c r="P293" s="9" t="s">
        <v>174</v>
      </c>
      <c r="Q293" s="9" t="s">
        <v>88</v>
      </c>
      <c r="R293" s="9" t="s">
        <v>89</v>
      </c>
      <c r="S293">
        <v>0</v>
      </c>
      <c r="T293">
        <v>0</v>
      </c>
      <c r="U293" s="9" t="s">
        <v>388</v>
      </c>
      <c r="V293" s="9" t="s">
        <v>752</v>
      </c>
      <c r="W293">
        <v>0</v>
      </c>
      <c r="X293" s="9" t="s">
        <v>753</v>
      </c>
      <c r="Y293">
        <v>332</v>
      </c>
      <c r="Z293" s="9" t="s">
        <v>754</v>
      </c>
      <c r="AA293" s="9" t="s">
        <v>32</v>
      </c>
      <c r="AB293" s="9" t="s">
        <v>44</v>
      </c>
      <c r="AC293" s="9" t="s">
        <v>6</v>
      </c>
      <c r="AD293" s="9" t="s">
        <v>174</v>
      </c>
      <c r="AE293" s="9">
        <f>IF(Table5[[#This Row],[Team_Name]]=Table5[[#This Row],[Correct_Winner]],1,0)</f>
        <v>1</v>
      </c>
    </row>
    <row r="294" spans="1:31" x14ac:dyDescent="0.3">
      <c r="A294" s="9" t="s">
        <v>140</v>
      </c>
      <c r="B294">
        <v>2015</v>
      </c>
      <c r="C294" s="9" t="s">
        <v>138</v>
      </c>
      <c r="D294" s="9" t="s">
        <v>755</v>
      </c>
      <c r="E294" s="9" t="s">
        <v>387</v>
      </c>
      <c r="F294" s="2" t="s">
        <v>276</v>
      </c>
      <c r="G294">
        <v>170</v>
      </c>
      <c r="H294">
        <v>7</v>
      </c>
      <c r="I294" t="str">
        <f>Clean_Data!$I294</f>
        <v>Khulna Tigers</v>
      </c>
      <c r="J294">
        <v>137</v>
      </c>
      <c r="K294">
        <v>10</v>
      </c>
      <c r="L294" s="9" t="s">
        <v>389</v>
      </c>
      <c r="M294" s="9" t="s">
        <v>179</v>
      </c>
      <c r="N294" s="9" t="s">
        <v>26</v>
      </c>
      <c r="O294" s="9" t="s">
        <v>155</v>
      </c>
      <c r="P294" s="9" t="s">
        <v>142</v>
      </c>
      <c r="Q294" s="9" t="s">
        <v>88</v>
      </c>
      <c r="R294" s="9" t="s">
        <v>89</v>
      </c>
      <c r="S294">
        <v>0</v>
      </c>
      <c r="T294">
        <v>33</v>
      </c>
      <c r="U294" s="9" t="s">
        <v>131</v>
      </c>
      <c r="V294" s="9" t="s">
        <v>756</v>
      </c>
      <c r="W294">
        <v>33</v>
      </c>
      <c r="X294" s="9" t="s">
        <v>757</v>
      </c>
      <c r="Y294">
        <v>307</v>
      </c>
      <c r="Z294" s="9" t="s">
        <v>754</v>
      </c>
      <c r="AA294" s="9" t="s">
        <v>147</v>
      </c>
      <c r="AB294" s="9" t="s">
        <v>44</v>
      </c>
      <c r="AC294" s="9" t="s">
        <v>3</v>
      </c>
      <c r="AD294" s="9" t="s">
        <v>142</v>
      </c>
      <c r="AE294" s="9">
        <f>IF(Table5[[#This Row],[Team_Name]]=Table5[[#This Row],[Correct_Winner]],1,0)</f>
        <v>1</v>
      </c>
    </row>
    <row r="295" spans="1:31" x14ac:dyDescent="0.3">
      <c r="A295" s="9" t="s">
        <v>140</v>
      </c>
      <c r="B295">
        <v>2015</v>
      </c>
      <c r="C295" s="9" t="s">
        <v>138</v>
      </c>
      <c r="D295" s="9" t="s">
        <v>755</v>
      </c>
      <c r="E295" s="9" t="s">
        <v>387</v>
      </c>
      <c r="F295" s="3" t="s">
        <v>287</v>
      </c>
      <c r="G295">
        <v>170</v>
      </c>
      <c r="H295">
        <v>7</v>
      </c>
      <c r="I295" t="str">
        <f>Clean_Data!$I295</f>
        <v>Sylhet Thunder</v>
      </c>
      <c r="J295">
        <v>137</v>
      </c>
      <c r="K295">
        <v>10</v>
      </c>
      <c r="L295" s="9" t="s">
        <v>389</v>
      </c>
      <c r="M295" s="9" t="s">
        <v>179</v>
      </c>
      <c r="N295" s="9" t="s">
        <v>26</v>
      </c>
      <c r="O295" s="9" t="s">
        <v>155</v>
      </c>
      <c r="P295" s="9" t="s">
        <v>142</v>
      </c>
      <c r="Q295" s="9" t="s">
        <v>88</v>
      </c>
      <c r="R295" s="9" t="s">
        <v>89</v>
      </c>
      <c r="S295">
        <v>0</v>
      </c>
      <c r="T295">
        <v>33</v>
      </c>
      <c r="U295" s="9" t="s">
        <v>131</v>
      </c>
      <c r="V295" s="9" t="s">
        <v>756</v>
      </c>
      <c r="W295">
        <v>33</v>
      </c>
      <c r="X295" s="9" t="s">
        <v>757</v>
      </c>
      <c r="Y295">
        <v>307</v>
      </c>
      <c r="Z295" s="9" t="s">
        <v>754</v>
      </c>
      <c r="AA295" s="9" t="s">
        <v>147</v>
      </c>
      <c r="AB295" s="9" t="s">
        <v>44</v>
      </c>
      <c r="AC295" s="9" t="s">
        <v>6</v>
      </c>
      <c r="AD295" s="9" t="s">
        <v>179</v>
      </c>
      <c r="AE295" s="9">
        <f>IF(Table5[[#This Row],[Team_Name]]=Table5[[#This Row],[Correct_Winner]],1,0)</f>
        <v>0</v>
      </c>
    </row>
    <row r="296" spans="1:31" x14ac:dyDescent="0.3">
      <c r="A296" s="9" t="s">
        <v>140</v>
      </c>
      <c r="B296">
        <v>2015</v>
      </c>
      <c r="C296" s="9" t="s">
        <v>148</v>
      </c>
      <c r="D296" s="9" t="s">
        <v>755</v>
      </c>
      <c r="E296" s="9" t="s">
        <v>390</v>
      </c>
      <c r="F296" s="2" t="s">
        <v>295</v>
      </c>
      <c r="G296">
        <v>166</v>
      </c>
      <c r="H296">
        <v>6</v>
      </c>
      <c r="I296" t="str">
        <f>Clean_Data!$I296</f>
        <v>Chattogram Challengers</v>
      </c>
      <c r="J296">
        <v>132</v>
      </c>
      <c r="K296">
        <v>10</v>
      </c>
      <c r="L296" s="9" t="s">
        <v>200</v>
      </c>
      <c r="M296" s="9" t="s">
        <v>160</v>
      </c>
      <c r="N296" s="9" t="s">
        <v>37</v>
      </c>
      <c r="O296" s="9" t="s">
        <v>193</v>
      </c>
      <c r="P296" s="9" t="s">
        <v>160</v>
      </c>
      <c r="Q296" s="9" t="s">
        <v>28</v>
      </c>
      <c r="R296" s="9" t="s">
        <v>29</v>
      </c>
      <c r="S296">
        <v>0</v>
      </c>
      <c r="T296">
        <v>34</v>
      </c>
      <c r="U296" s="9" t="s">
        <v>303</v>
      </c>
      <c r="V296" s="9" t="s">
        <v>756</v>
      </c>
      <c r="W296">
        <v>34</v>
      </c>
      <c r="X296" s="9" t="s">
        <v>757</v>
      </c>
      <c r="Y296">
        <v>298</v>
      </c>
      <c r="Z296" s="9" t="s">
        <v>754</v>
      </c>
      <c r="AA296" s="9" t="s">
        <v>50</v>
      </c>
      <c r="AB296" s="9" t="s">
        <v>225</v>
      </c>
      <c r="AC296" s="9" t="s">
        <v>3</v>
      </c>
      <c r="AD296" s="9" t="s">
        <v>160</v>
      </c>
      <c r="AE296" s="9">
        <f>IF(Table5[[#This Row],[Team_Name]]=Table5[[#This Row],[Correct_Winner]],1,0)</f>
        <v>1</v>
      </c>
    </row>
    <row r="297" spans="1:31" x14ac:dyDescent="0.3">
      <c r="A297" s="9" t="s">
        <v>140</v>
      </c>
      <c r="B297">
        <v>2015</v>
      </c>
      <c r="C297" s="9" t="s">
        <v>148</v>
      </c>
      <c r="D297" s="9" t="s">
        <v>755</v>
      </c>
      <c r="E297" s="9" t="s">
        <v>390</v>
      </c>
      <c r="F297" s="3" t="s">
        <v>287</v>
      </c>
      <c r="G297">
        <v>166</v>
      </c>
      <c r="H297">
        <v>6</v>
      </c>
      <c r="I297" t="str">
        <f>Clean_Data!$I297</f>
        <v>Cumilla Warriors</v>
      </c>
      <c r="J297">
        <v>132</v>
      </c>
      <c r="K297">
        <v>10</v>
      </c>
      <c r="L297" s="9" t="s">
        <v>200</v>
      </c>
      <c r="M297" s="9" t="s">
        <v>160</v>
      </c>
      <c r="N297" s="9" t="s">
        <v>37</v>
      </c>
      <c r="O297" s="9" t="s">
        <v>193</v>
      </c>
      <c r="P297" s="9" t="s">
        <v>160</v>
      </c>
      <c r="Q297" s="9" t="s">
        <v>28</v>
      </c>
      <c r="R297" s="9" t="s">
        <v>29</v>
      </c>
      <c r="S297">
        <v>0</v>
      </c>
      <c r="T297">
        <v>34</v>
      </c>
      <c r="U297" s="9" t="s">
        <v>303</v>
      </c>
      <c r="V297" s="9" t="s">
        <v>756</v>
      </c>
      <c r="W297">
        <v>34</v>
      </c>
      <c r="X297" s="9" t="s">
        <v>757</v>
      </c>
      <c r="Y297">
        <v>298</v>
      </c>
      <c r="Z297" s="9" t="s">
        <v>754</v>
      </c>
      <c r="AA297" s="9" t="s">
        <v>50</v>
      </c>
      <c r="AB297" s="9" t="s">
        <v>225</v>
      </c>
      <c r="AC297" s="9" t="s">
        <v>6</v>
      </c>
      <c r="AD297" s="9" t="s">
        <v>174</v>
      </c>
      <c r="AE297" s="9">
        <f>IF(Table5[[#This Row],[Team_Name]]=Table5[[#This Row],[Correct_Winner]],1,0)</f>
        <v>0</v>
      </c>
    </row>
    <row r="298" spans="1:31" x14ac:dyDescent="0.3">
      <c r="A298" s="9" t="s">
        <v>140</v>
      </c>
      <c r="B298">
        <v>2015</v>
      </c>
      <c r="C298" s="9" t="s">
        <v>156</v>
      </c>
      <c r="D298" s="9" t="s">
        <v>755</v>
      </c>
      <c r="E298" s="9" t="s">
        <v>390</v>
      </c>
      <c r="F298" s="2" t="s">
        <v>515</v>
      </c>
      <c r="G298">
        <v>82</v>
      </c>
      <c r="H298">
        <v>10</v>
      </c>
      <c r="I298" t="str">
        <f>Clean_Data!$I298</f>
        <v>Rajshahi Royals</v>
      </c>
      <c r="J298">
        <v>84</v>
      </c>
      <c r="K298">
        <v>1</v>
      </c>
      <c r="L298" s="9" t="s">
        <v>134</v>
      </c>
      <c r="M298" s="9" t="s">
        <v>143</v>
      </c>
      <c r="N298" s="9" t="s">
        <v>26</v>
      </c>
      <c r="O298" s="9" t="s">
        <v>145</v>
      </c>
      <c r="P298" s="9" t="s">
        <v>143</v>
      </c>
      <c r="Q298" s="9" t="s">
        <v>28</v>
      </c>
      <c r="R298" s="9" t="s">
        <v>29</v>
      </c>
      <c r="S298">
        <v>9</v>
      </c>
      <c r="T298">
        <v>0</v>
      </c>
      <c r="U298" s="9" t="s">
        <v>71</v>
      </c>
      <c r="V298" s="9" t="s">
        <v>752</v>
      </c>
      <c r="W298">
        <v>9</v>
      </c>
      <c r="X298" s="9" t="s">
        <v>753</v>
      </c>
      <c r="Y298">
        <v>166</v>
      </c>
      <c r="Z298" s="9" t="s">
        <v>758</v>
      </c>
      <c r="AA298" s="9" t="s">
        <v>50</v>
      </c>
      <c r="AB298" s="9" t="s">
        <v>66</v>
      </c>
      <c r="AC298" s="9" t="s">
        <v>3</v>
      </c>
      <c r="AD298" s="9" t="s">
        <v>113</v>
      </c>
      <c r="AE298" s="9">
        <f>IF(Table5[[#This Row],[Team_Name]]=Table5[[#This Row],[Correct_Winner]],1,0)</f>
        <v>0</v>
      </c>
    </row>
    <row r="299" spans="1:31" x14ac:dyDescent="0.3">
      <c r="A299" s="9" t="s">
        <v>140</v>
      </c>
      <c r="B299">
        <v>2015</v>
      </c>
      <c r="C299" s="9" t="s">
        <v>156</v>
      </c>
      <c r="D299" s="9" t="s">
        <v>755</v>
      </c>
      <c r="E299" s="9" t="s">
        <v>390</v>
      </c>
      <c r="F299" s="3" t="s">
        <v>280</v>
      </c>
      <c r="G299">
        <v>82</v>
      </c>
      <c r="H299">
        <v>10</v>
      </c>
      <c r="I299" t="str">
        <f>Clean_Data!$I299</f>
        <v>Khulna Tigers</v>
      </c>
      <c r="J299">
        <v>84</v>
      </c>
      <c r="K299">
        <v>1</v>
      </c>
      <c r="L299" s="9" t="s">
        <v>134</v>
      </c>
      <c r="M299" s="9" t="s">
        <v>143</v>
      </c>
      <c r="N299" s="9" t="s">
        <v>26</v>
      </c>
      <c r="O299" s="9" t="s">
        <v>145</v>
      </c>
      <c r="P299" s="9" t="s">
        <v>143</v>
      </c>
      <c r="Q299" s="9" t="s">
        <v>28</v>
      </c>
      <c r="R299" s="9" t="s">
        <v>29</v>
      </c>
      <c r="S299">
        <v>9</v>
      </c>
      <c r="T299">
        <v>0</v>
      </c>
      <c r="U299" s="9" t="s">
        <v>71</v>
      </c>
      <c r="V299" s="9" t="s">
        <v>752</v>
      </c>
      <c r="W299">
        <v>9</v>
      </c>
      <c r="X299" s="9" t="s">
        <v>753</v>
      </c>
      <c r="Y299">
        <v>166</v>
      </c>
      <c r="Z299" s="9" t="s">
        <v>758</v>
      </c>
      <c r="AA299" s="9" t="s">
        <v>50</v>
      </c>
      <c r="AB299" s="9" t="s">
        <v>66</v>
      </c>
      <c r="AC299" s="9" t="s">
        <v>6</v>
      </c>
      <c r="AD299" s="9" t="s">
        <v>143</v>
      </c>
      <c r="AE299" s="9">
        <f>IF(Table5[[#This Row],[Team_Name]]=Table5[[#This Row],[Correct_Winner]],1,0)</f>
        <v>1</v>
      </c>
    </row>
    <row r="300" spans="1:31" x14ac:dyDescent="0.3">
      <c r="A300" s="9" t="s">
        <v>140</v>
      </c>
      <c r="B300">
        <v>2015</v>
      </c>
      <c r="C300" s="9" t="s">
        <v>163</v>
      </c>
      <c r="D300" s="9" t="s">
        <v>755</v>
      </c>
      <c r="E300" s="9" t="s">
        <v>391</v>
      </c>
      <c r="F300" s="2" t="s">
        <v>287</v>
      </c>
      <c r="G300">
        <v>92</v>
      </c>
      <c r="H300">
        <v>10</v>
      </c>
      <c r="I300" t="str">
        <f>Clean_Data!$I300</f>
        <v>Rajshahi Royals</v>
      </c>
      <c r="J300">
        <v>96</v>
      </c>
      <c r="K300">
        <v>4</v>
      </c>
      <c r="L300" s="9" t="s">
        <v>392</v>
      </c>
      <c r="M300" s="9" t="s">
        <v>179</v>
      </c>
      <c r="N300" s="9" t="s">
        <v>37</v>
      </c>
      <c r="O300" s="9" t="s">
        <v>193</v>
      </c>
      <c r="P300" s="9" t="s">
        <v>160</v>
      </c>
      <c r="Q300" s="9" t="s">
        <v>28</v>
      </c>
      <c r="R300" s="9" t="s">
        <v>29</v>
      </c>
      <c r="S300">
        <v>6</v>
      </c>
      <c r="T300">
        <v>0</v>
      </c>
      <c r="U300" s="9" t="s">
        <v>151</v>
      </c>
      <c r="V300" s="9" t="s">
        <v>752</v>
      </c>
      <c r="W300">
        <v>6</v>
      </c>
      <c r="X300" s="9" t="s">
        <v>753</v>
      </c>
      <c r="Y300">
        <v>188</v>
      </c>
      <c r="Z300" s="9" t="s">
        <v>754</v>
      </c>
      <c r="AA300" s="9" t="s">
        <v>147</v>
      </c>
      <c r="AB300" s="9" t="s">
        <v>44</v>
      </c>
      <c r="AC300" s="9" t="s">
        <v>3</v>
      </c>
      <c r="AD300" s="9" t="s">
        <v>179</v>
      </c>
      <c r="AE300" s="9">
        <f>IF(Table5[[#This Row],[Team_Name]]=Table5[[#This Row],[Correct_Winner]],1,0)</f>
        <v>0</v>
      </c>
    </row>
    <row r="301" spans="1:31" x14ac:dyDescent="0.3">
      <c r="A301" s="9" t="s">
        <v>140</v>
      </c>
      <c r="B301">
        <v>2015</v>
      </c>
      <c r="C301" s="9" t="s">
        <v>163</v>
      </c>
      <c r="D301" s="9" t="s">
        <v>755</v>
      </c>
      <c r="E301" s="9" t="s">
        <v>391</v>
      </c>
      <c r="F301" s="3" t="s">
        <v>293</v>
      </c>
      <c r="G301">
        <v>92</v>
      </c>
      <c r="H301">
        <v>10</v>
      </c>
      <c r="I301" t="str">
        <f>Clean_Data!$I301</f>
        <v>Rangpur Rangers</v>
      </c>
      <c r="J301">
        <v>96</v>
      </c>
      <c r="K301">
        <v>4</v>
      </c>
      <c r="L301" s="9" t="s">
        <v>392</v>
      </c>
      <c r="M301" s="9" t="s">
        <v>179</v>
      </c>
      <c r="N301" s="9" t="s">
        <v>37</v>
      </c>
      <c r="O301" s="9" t="s">
        <v>193</v>
      </c>
      <c r="P301" s="9" t="s">
        <v>160</v>
      </c>
      <c r="Q301" s="9" t="s">
        <v>28</v>
      </c>
      <c r="R301" s="9" t="s">
        <v>29</v>
      </c>
      <c r="S301">
        <v>6</v>
      </c>
      <c r="T301">
        <v>0</v>
      </c>
      <c r="U301" s="9" t="s">
        <v>151</v>
      </c>
      <c r="V301" s="9" t="s">
        <v>752</v>
      </c>
      <c r="W301">
        <v>6</v>
      </c>
      <c r="X301" s="9" t="s">
        <v>753</v>
      </c>
      <c r="Y301">
        <v>188</v>
      </c>
      <c r="Z301" s="9" t="s">
        <v>754</v>
      </c>
      <c r="AA301" s="9" t="s">
        <v>147</v>
      </c>
      <c r="AB301" s="9" t="s">
        <v>44</v>
      </c>
      <c r="AC301" s="9" t="s">
        <v>6</v>
      </c>
      <c r="AD301" s="9" t="s">
        <v>160</v>
      </c>
      <c r="AE301" s="9">
        <f>IF(Table5[[#This Row],[Team_Name]]=Table5[[#This Row],[Correct_Winner]],1,0)</f>
        <v>1</v>
      </c>
    </row>
    <row r="302" spans="1:31" x14ac:dyDescent="0.3">
      <c r="A302" s="9" t="s">
        <v>140</v>
      </c>
      <c r="B302">
        <v>2015</v>
      </c>
      <c r="C302" s="9" t="s">
        <v>168</v>
      </c>
      <c r="D302" s="9" t="s">
        <v>755</v>
      </c>
      <c r="E302" s="9" t="s">
        <v>391</v>
      </c>
      <c r="F302" s="2" t="s">
        <v>515</v>
      </c>
      <c r="G302">
        <v>109</v>
      </c>
      <c r="H302">
        <v>9</v>
      </c>
      <c r="I302" t="str">
        <f>Clean_Data!$I302</f>
        <v>Chattogram Challengers</v>
      </c>
      <c r="J302">
        <v>103</v>
      </c>
      <c r="K302">
        <v>10</v>
      </c>
      <c r="L302" s="9" t="s">
        <v>108</v>
      </c>
      <c r="M302" s="9" t="s">
        <v>113</v>
      </c>
      <c r="N302" s="9" t="s">
        <v>37</v>
      </c>
      <c r="O302" s="9" t="s">
        <v>189</v>
      </c>
      <c r="P302" s="9" t="s">
        <v>113</v>
      </c>
      <c r="Q302" s="9" t="s">
        <v>28</v>
      </c>
      <c r="R302" s="9" t="s">
        <v>29</v>
      </c>
      <c r="S302">
        <v>0</v>
      </c>
      <c r="T302">
        <v>6</v>
      </c>
      <c r="U302" s="9" t="s">
        <v>315</v>
      </c>
      <c r="V302" s="9" t="s">
        <v>756</v>
      </c>
      <c r="W302">
        <v>6</v>
      </c>
      <c r="X302" s="9" t="s">
        <v>753</v>
      </c>
      <c r="Y302">
        <v>212</v>
      </c>
      <c r="Z302" s="9" t="s">
        <v>754</v>
      </c>
      <c r="AA302" s="9" t="s">
        <v>44</v>
      </c>
      <c r="AB302" s="9" t="s">
        <v>225</v>
      </c>
      <c r="AC302" s="9" t="s">
        <v>3</v>
      </c>
      <c r="AD302" s="9" t="s">
        <v>113</v>
      </c>
      <c r="AE302" s="9">
        <f>IF(Table5[[#This Row],[Team_Name]]=Table5[[#This Row],[Correct_Winner]],1,0)</f>
        <v>1</v>
      </c>
    </row>
    <row r="303" spans="1:31" x14ac:dyDescent="0.3">
      <c r="A303" s="9" t="s">
        <v>140</v>
      </c>
      <c r="B303">
        <v>2015</v>
      </c>
      <c r="C303" s="9" t="s">
        <v>168</v>
      </c>
      <c r="D303" s="9" t="s">
        <v>755</v>
      </c>
      <c r="E303" s="9" t="s">
        <v>391</v>
      </c>
      <c r="F303" s="3" t="s">
        <v>307</v>
      </c>
      <c r="G303">
        <v>109</v>
      </c>
      <c r="H303">
        <v>9</v>
      </c>
      <c r="I303" t="str">
        <f>Clean_Data!$I303</f>
        <v>Minister Group Dhaka</v>
      </c>
      <c r="J303">
        <v>103</v>
      </c>
      <c r="K303">
        <v>10</v>
      </c>
      <c r="L303" s="9" t="s">
        <v>108</v>
      </c>
      <c r="M303" s="9" t="s">
        <v>113</v>
      </c>
      <c r="N303" s="9" t="s">
        <v>37</v>
      </c>
      <c r="O303" s="9" t="s">
        <v>189</v>
      </c>
      <c r="P303" s="9" t="s">
        <v>113</v>
      </c>
      <c r="Q303" s="9" t="s">
        <v>28</v>
      </c>
      <c r="R303" s="9" t="s">
        <v>29</v>
      </c>
      <c r="S303">
        <v>0</v>
      </c>
      <c r="T303">
        <v>6</v>
      </c>
      <c r="U303" s="9" t="s">
        <v>315</v>
      </c>
      <c r="V303" s="9" t="s">
        <v>756</v>
      </c>
      <c r="W303">
        <v>6</v>
      </c>
      <c r="X303" s="9" t="s">
        <v>753</v>
      </c>
      <c r="Y303">
        <v>212</v>
      </c>
      <c r="Z303" s="9" t="s">
        <v>754</v>
      </c>
      <c r="AA303" s="9" t="s">
        <v>44</v>
      </c>
      <c r="AB303" s="9" t="s">
        <v>225</v>
      </c>
      <c r="AC303" s="9" t="s">
        <v>6</v>
      </c>
      <c r="AD303" s="9" t="s">
        <v>174</v>
      </c>
      <c r="AE303" s="9">
        <f>IF(Table5[[#This Row],[Team_Name]]=Table5[[#This Row],[Correct_Winner]],1,0)</f>
        <v>0</v>
      </c>
    </row>
    <row r="304" spans="1:31" x14ac:dyDescent="0.3">
      <c r="A304" s="9" t="s">
        <v>140</v>
      </c>
      <c r="B304">
        <v>2015</v>
      </c>
      <c r="C304" s="9" t="s">
        <v>170</v>
      </c>
      <c r="D304" s="9" t="s">
        <v>755</v>
      </c>
      <c r="E304" s="9" t="s">
        <v>393</v>
      </c>
      <c r="F304" s="2" t="s">
        <v>280</v>
      </c>
      <c r="G304">
        <v>89</v>
      </c>
      <c r="H304">
        <v>10</v>
      </c>
      <c r="I304" t="str">
        <f>Clean_Data!$I304</f>
        <v>Khulna Tigers</v>
      </c>
      <c r="J304">
        <v>90</v>
      </c>
      <c r="K304">
        <v>2</v>
      </c>
      <c r="L304" s="9" t="s">
        <v>394</v>
      </c>
      <c r="M304" s="9" t="s">
        <v>142</v>
      </c>
      <c r="N304" s="9" t="s">
        <v>37</v>
      </c>
      <c r="O304" s="9" t="s">
        <v>145</v>
      </c>
      <c r="P304" s="9" t="s">
        <v>143</v>
      </c>
      <c r="Q304" s="9" t="s">
        <v>28</v>
      </c>
      <c r="R304" s="9" t="s">
        <v>29</v>
      </c>
      <c r="S304">
        <v>8</v>
      </c>
      <c r="T304">
        <v>0</v>
      </c>
      <c r="U304" s="9" t="s">
        <v>30</v>
      </c>
      <c r="V304" s="9" t="s">
        <v>752</v>
      </c>
      <c r="W304">
        <v>8</v>
      </c>
      <c r="X304" s="9" t="s">
        <v>753</v>
      </c>
      <c r="Y304">
        <v>179</v>
      </c>
      <c r="Z304" s="9" t="s">
        <v>754</v>
      </c>
      <c r="AA304" s="9" t="s">
        <v>66</v>
      </c>
      <c r="AB304" s="9" t="s">
        <v>225</v>
      </c>
      <c r="AC304" s="9" t="s">
        <v>3</v>
      </c>
      <c r="AD304" s="9" t="s">
        <v>142</v>
      </c>
      <c r="AE304" s="9">
        <f>IF(Table5[[#This Row],[Team_Name]]=Table5[[#This Row],[Correct_Winner]],1,0)</f>
        <v>0</v>
      </c>
    </row>
    <row r="305" spans="1:31" x14ac:dyDescent="0.3">
      <c r="A305" s="9" t="s">
        <v>140</v>
      </c>
      <c r="B305">
        <v>2015</v>
      </c>
      <c r="C305" s="9" t="s">
        <v>170</v>
      </c>
      <c r="D305" s="9" t="s">
        <v>755</v>
      </c>
      <c r="E305" s="9" t="s">
        <v>393</v>
      </c>
      <c r="F305" s="3" t="s">
        <v>143</v>
      </c>
      <c r="G305">
        <v>89</v>
      </c>
      <c r="H305">
        <v>10</v>
      </c>
      <c r="I305" t="str">
        <f>Clean_Data!$I305</f>
        <v>Fortune Barishal</v>
      </c>
      <c r="J305">
        <v>90</v>
      </c>
      <c r="K305">
        <v>2</v>
      </c>
      <c r="L305" s="9" t="s">
        <v>394</v>
      </c>
      <c r="M305" s="9" t="s">
        <v>142</v>
      </c>
      <c r="N305" s="9" t="s">
        <v>37</v>
      </c>
      <c r="O305" s="9" t="s">
        <v>145</v>
      </c>
      <c r="P305" s="9" t="s">
        <v>143</v>
      </c>
      <c r="Q305" s="9" t="s">
        <v>28</v>
      </c>
      <c r="R305" s="9" t="s">
        <v>29</v>
      </c>
      <c r="S305">
        <v>8</v>
      </c>
      <c r="T305">
        <v>0</v>
      </c>
      <c r="U305" s="9" t="s">
        <v>30</v>
      </c>
      <c r="V305" s="9" t="s">
        <v>752</v>
      </c>
      <c r="W305">
        <v>8</v>
      </c>
      <c r="X305" s="9" t="s">
        <v>753</v>
      </c>
      <c r="Y305">
        <v>179</v>
      </c>
      <c r="Z305" s="9" t="s">
        <v>754</v>
      </c>
      <c r="AA305" s="9" t="s">
        <v>66</v>
      </c>
      <c r="AB305" s="9" t="s">
        <v>225</v>
      </c>
      <c r="AC305" s="9" t="s">
        <v>6</v>
      </c>
      <c r="AD305" s="9" t="s">
        <v>143</v>
      </c>
      <c r="AE305" s="9">
        <f>IF(Table5[[#This Row],[Team_Name]]=Table5[[#This Row],[Correct_Winner]],1,0)</f>
        <v>1</v>
      </c>
    </row>
    <row r="306" spans="1:31" x14ac:dyDescent="0.3">
      <c r="A306" s="9" t="s">
        <v>140</v>
      </c>
      <c r="B306">
        <v>2015</v>
      </c>
      <c r="C306" s="9" t="s">
        <v>176</v>
      </c>
      <c r="D306" s="9" t="s">
        <v>755</v>
      </c>
      <c r="E306" s="9" t="s">
        <v>393</v>
      </c>
      <c r="F306" s="2" t="s">
        <v>312</v>
      </c>
      <c r="G306">
        <v>176</v>
      </c>
      <c r="H306">
        <v>6</v>
      </c>
      <c r="I306" t="str">
        <f>Clean_Data!$I306</f>
        <v>Sylhet Sunrisers</v>
      </c>
      <c r="J306">
        <v>107</v>
      </c>
      <c r="K306">
        <v>10</v>
      </c>
      <c r="L306" s="9" t="s">
        <v>108</v>
      </c>
      <c r="M306" s="9" t="s">
        <v>113</v>
      </c>
      <c r="N306" s="9" t="s">
        <v>37</v>
      </c>
      <c r="O306" s="9" t="s">
        <v>189</v>
      </c>
      <c r="P306" s="9" t="s">
        <v>113</v>
      </c>
      <c r="Q306" s="9" t="s">
        <v>28</v>
      </c>
      <c r="R306" s="9" t="s">
        <v>29</v>
      </c>
      <c r="S306">
        <v>0</v>
      </c>
      <c r="T306">
        <v>69</v>
      </c>
      <c r="U306" s="9" t="s">
        <v>395</v>
      </c>
      <c r="V306" s="9" t="s">
        <v>756</v>
      </c>
      <c r="W306">
        <v>69</v>
      </c>
      <c r="X306" s="9" t="s">
        <v>757</v>
      </c>
      <c r="Y306">
        <v>283</v>
      </c>
      <c r="Z306" s="9" t="s">
        <v>754</v>
      </c>
      <c r="AA306" s="9" t="s">
        <v>32</v>
      </c>
      <c r="AB306" s="9" t="s">
        <v>50</v>
      </c>
      <c r="AC306" s="9" t="s">
        <v>3</v>
      </c>
      <c r="AD306" s="9" t="s">
        <v>113</v>
      </c>
      <c r="AE306" s="9">
        <f>IF(Table5[[#This Row],[Team_Name]]=Table5[[#This Row],[Correct_Winner]],1,0)</f>
        <v>1</v>
      </c>
    </row>
    <row r="307" spans="1:31" x14ac:dyDescent="0.3">
      <c r="A307" s="9" t="s">
        <v>140</v>
      </c>
      <c r="B307">
        <v>2015</v>
      </c>
      <c r="C307" s="9" t="s">
        <v>176</v>
      </c>
      <c r="D307" s="9" t="s">
        <v>755</v>
      </c>
      <c r="E307" s="9" t="s">
        <v>393</v>
      </c>
      <c r="F307" s="3" t="s">
        <v>280</v>
      </c>
      <c r="G307">
        <v>176</v>
      </c>
      <c r="H307">
        <v>6</v>
      </c>
      <c r="I307" t="str">
        <f>Clean_Data!$I307</f>
        <v>Khulna Tigers</v>
      </c>
      <c r="J307">
        <v>107</v>
      </c>
      <c r="K307">
        <v>10</v>
      </c>
      <c r="L307" s="9" t="s">
        <v>108</v>
      </c>
      <c r="M307" s="9" t="s">
        <v>113</v>
      </c>
      <c r="N307" s="9" t="s">
        <v>37</v>
      </c>
      <c r="O307" s="9" t="s">
        <v>189</v>
      </c>
      <c r="P307" s="9" t="s">
        <v>113</v>
      </c>
      <c r="Q307" s="9" t="s">
        <v>28</v>
      </c>
      <c r="R307" s="9" t="s">
        <v>29</v>
      </c>
      <c r="S307">
        <v>0</v>
      </c>
      <c r="T307">
        <v>69</v>
      </c>
      <c r="U307" s="9" t="s">
        <v>395</v>
      </c>
      <c r="V307" s="9" t="s">
        <v>756</v>
      </c>
      <c r="W307">
        <v>69</v>
      </c>
      <c r="X307" s="9" t="s">
        <v>757</v>
      </c>
      <c r="Y307">
        <v>283</v>
      </c>
      <c r="Z307" s="9" t="s">
        <v>754</v>
      </c>
      <c r="AA307" s="9" t="s">
        <v>32</v>
      </c>
      <c r="AB307" s="9" t="s">
        <v>50</v>
      </c>
      <c r="AC307" s="9" t="s">
        <v>6</v>
      </c>
      <c r="AD307" s="9" t="s">
        <v>160</v>
      </c>
      <c r="AE307" s="9">
        <f>IF(Table5[[#This Row],[Team_Name]]=Table5[[#This Row],[Correct_Winner]],1,0)</f>
        <v>0</v>
      </c>
    </row>
    <row r="308" spans="1:31" x14ac:dyDescent="0.3">
      <c r="A308" s="9" t="s">
        <v>140</v>
      </c>
      <c r="B308">
        <v>2015</v>
      </c>
      <c r="C308" s="9" t="s">
        <v>180</v>
      </c>
      <c r="D308" s="9" t="s">
        <v>755</v>
      </c>
      <c r="E308" s="9" t="s">
        <v>396</v>
      </c>
      <c r="F308" s="2" t="s">
        <v>310</v>
      </c>
      <c r="G308">
        <v>108</v>
      </c>
      <c r="H308">
        <v>10</v>
      </c>
      <c r="I308" t="str">
        <f>Clean_Data!$I308</f>
        <v>Minister Group Dhaka</v>
      </c>
      <c r="J308">
        <v>107</v>
      </c>
      <c r="K308">
        <v>9</v>
      </c>
      <c r="L308" s="9" t="s">
        <v>161</v>
      </c>
      <c r="M308" s="9" t="s">
        <v>142</v>
      </c>
      <c r="N308" s="9" t="s">
        <v>37</v>
      </c>
      <c r="O308" s="9" t="s">
        <v>155</v>
      </c>
      <c r="P308" s="9" t="s">
        <v>142</v>
      </c>
      <c r="Q308" s="9" t="s">
        <v>28</v>
      </c>
      <c r="R308" s="9" t="s">
        <v>29</v>
      </c>
      <c r="S308">
        <v>0</v>
      </c>
      <c r="T308">
        <v>0</v>
      </c>
      <c r="U308" s="9" t="s">
        <v>269</v>
      </c>
      <c r="V308" s="9" t="s">
        <v>752</v>
      </c>
      <c r="W308">
        <v>0</v>
      </c>
      <c r="X308" s="9" t="s">
        <v>753</v>
      </c>
      <c r="Y308">
        <v>215</v>
      </c>
      <c r="Z308" s="9" t="s">
        <v>754</v>
      </c>
      <c r="AA308" s="9" t="s">
        <v>72</v>
      </c>
      <c r="AB308" s="9" t="s">
        <v>66</v>
      </c>
      <c r="AC308" s="9" t="s">
        <v>3</v>
      </c>
      <c r="AD308" s="9" t="s">
        <v>142</v>
      </c>
      <c r="AE308" s="9">
        <f>IF(Table5[[#This Row],[Team_Name]]=Table5[[#This Row],[Correct_Winner]],1,0)</f>
        <v>1</v>
      </c>
    </row>
    <row r="309" spans="1:31" x14ac:dyDescent="0.3">
      <c r="A309" s="9" t="s">
        <v>140</v>
      </c>
      <c r="B309">
        <v>2015</v>
      </c>
      <c r="C309" s="9" t="s">
        <v>180</v>
      </c>
      <c r="D309" s="9" t="s">
        <v>755</v>
      </c>
      <c r="E309" s="9" t="s">
        <v>396</v>
      </c>
      <c r="F309" s="3" t="s">
        <v>280</v>
      </c>
      <c r="G309">
        <v>108</v>
      </c>
      <c r="H309">
        <v>10</v>
      </c>
      <c r="I309" t="str">
        <f>Clean_Data!$I309</f>
        <v>Minister Group Dhaka</v>
      </c>
      <c r="J309">
        <v>107</v>
      </c>
      <c r="K309">
        <v>9</v>
      </c>
      <c r="L309" s="9" t="s">
        <v>161</v>
      </c>
      <c r="M309" s="9" t="s">
        <v>142</v>
      </c>
      <c r="N309" s="9" t="s">
        <v>37</v>
      </c>
      <c r="O309" s="9" t="s">
        <v>155</v>
      </c>
      <c r="P309" s="9" t="s">
        <v>142</v>
      </c>
      <c r="Q309" s="9" t="s">
        <v>28</v>
      </c>
      <c r="R309" s="9" t="s">
        <v>29</v>
      </c>
      <c r="S309">
        <v>0</v>
      </c>
      <c r="T309">
        <v>0</v>
      </c>
      <c r="U309" s="9" t="s">
        <v>269</v>
      </c>
      <c r="V309" s="9" t="s">
        <v>752</v>
      </c>
      <c r="W309">
        <v>0</v>
      </c>
      <c r="X309" s="9" t="s">
        <v>753</v>
      </c>
      <c r="Y309">
        <v>215</v>
      </c>
      <c r="Z309" s="9" t="s">
        <v>754</v>
      </c>
      <c r="AA309" s="9" t="s">
        <v>72</v>
      </c>
      <c r="AB309" s="9" t="s">
        <v>66</v>
      </c>
      <c r="AC309" s="9" t="s">
        <v>6</v>
      </c>
      <c r="AD309" s="9" t="s">
        <v>174</v>
      </c>
      <c r="AE309" s="9">
        <f>IF(Table5[[#This Row],[Team_Name]]=Table5[[#This Row],[Correct_Winner]],1,0)</f>
        <v>0</v>
      </c>
    </row>
    <row r="310" spans="1:31" x14ac:dyDescent="0.3">
      <c r="A310" s="9" t="s">
        <v>140</v>
      </c>
      <c r="B310">
        <v>2015</v>
      </c>
      <c r="C310" s="9" t="s">
        <v>186</v>
      </c>
      <c r="D310" s="9" t="s">
        <v>755</v>
      </c>
      <c r="E310" s="9" t="s">
        <v>396</v>
      </c>
      <c r="F310" s="2" t="s">
        <v>307</v>
      </c>
      <c r="G310">
        <v>176</v>
      </c>
      <c r="H310">
        <v>4</v>
      </c>
      <c r="I310" t="str">
        <f>Clean_Data!$I310</f>
        <v>Comilla Victorians</v>
      </c>
      <c r="J310">
        <v>177</v>
      </c>
      <c r="K310">
        <v>3</v>
      </c>
      <c r="L310" s="9" t="s">
        <v>397</v>
      </c>
      <c r="M310" s="9" t="s">
        <v>143</v>
      </c>
      <c r="N310" s="9" t="s">
        <v>26</v>
      </c>
      <c r="O310" s="9" t="s">
        <v>145</v>
      </c>
      <c r="P310" s="9" t="s">
        <v>143</v>
      </c>
      <c r="Q310" s="9" t="s">
        <v>28</v>
      </c>
      <c r="R310" s="9" t="s">
        <v>29</v>
      </c>
      <c r="S310">
        <v>7</v>
      </c>
      <c r="T310">
        <v>0</v>
      </c>
      <c r="U310" s="9" t="s">
        <v>118</v>
      </c>
      <c r="V310" s="9" t="s">
        <v>752</v>
      </c>
      <c r="W310">
        <v>7</v>
      </c>
      <c r="X310" s="9" t="s">
        <v>753</v>
      </c>
      <c r="Y310">
        <v>353</v>
      </c>
      <c r="Z310" s="9" t="s">
        <v>754</v>
      </c>
      <c r="AA310" s="9" t="s">
        <v>72</v>
      </c>
      <c r="AB310" s="9" t="s">
        <v>147</v>
      </c>
      <c r="AC310" s="9" t="s">
        <v>3</v>
      </c>
      <c r="AD310" s="9" t="s">
        <v>179</v>
      </c>
      <c r="AE310" s="9">
        <f>IF(Table5[[#This Row],[Team_Name]]=Table5[[#This Row],[Correct_Winner]],1,0)</f>
        <v>0</v>
      </c>
    </row>
    <row r="311" spans="1:31" x14ac:dyDescent="0.3">
      <c r="A311" s="9" t="s">
        <v>140</v>
      </c>
      <c r="B311">
        <v>2015</v>
      </c>
      <c r="C311" s="9" t="s">
        <v>186</v>
      </c>
      <c r="D311" s="9" t="s">
        <v>755</v>
      </c>
      <c r="E311" s="9" t="s">
        <v>396</v>
      </c>
      <c r="F311" s="3" t="s">
        <v>312</v>
      </c>
      <c r="G311">
        <v>176</v>
      </c>
      <c r="H311">
        <v>4</v>
      </c>
      <c r="I311" t="str">
        <f>Clean_Data!$I311</f>
        <v>Khulna Tigers</v>
      </c>
      <c r="J311">
        <v>177</v>
      </c>
      <c r="K311">
        <v>3</v>
      </c>
      <c r="L311" s="9" t="s">
        <v>397</v>
      </c>
      <c r="M311" s="9" t="s">
        <v>143</v>
      </c>
      <c r="N311" s="9" t="s">
        <v>26</v>
      </c>
      <c r="O311" s="9" t="s">
        <v>145</v>
      </c>
      <c r="P311" s="9" t="s">
        <v>143</v>
      </c>
      <c r="Q311" s="9" t="s">
        <v>28</v>
      </c>
      <c r="R311" s="9" t="s">
        <v>29</v>
      </c>
      <c r="S311">
        <v>7</v>
      </c>
      <c r="T311">
        <v>0</v>
      </c>
      <c r="U311" s="9" t="s">
        <v>118</v>
      </c>
      <c r="V311" s="9" t="s">
        <v>752</v>
      </c>
      <c r="W311">
        <v>7</v>
      </c>
      <c r="X311" s="9" t="s">
        <v>753</v>
      </c>
      <c r="Y311">
        <v>353</v>
      </c>
      <c r="Z311" s="9" t="s">
        <v>754</v>
      </c>
      <c r="AA311" s="9" t="s">
        <v>72</v>
      </c>
      <c r="AB311" s="9" t="s">
        <v>147</v>
      </c>
      <c r="AC311" s="9" t="s">
        <v>6</v>
      </c>
      <c r="AD311" s="9" t="s">
        <v>143</v>
      </c>
      <c r="AE311" s="9">
        <f>IF(Table5[[#This Row],[Team_Name]]=Table5[[#This Row],[Correct_Winner]],1,0)</f>
        <v>1</v>
      </c>
    </row>
    <row r="312" spans="1:31" x14ac:dyDescent="0.3">
      <c r="A312" s="9" t="s">
        <v>140</v>
      </c>
      <c r="B312">
        <v>2015</v>
      </c>
      <c r="C312" s="9" t="s">
        <v>190</v>
      </c>
      <c r="D312" s="9" t="s">
        <v>755</v>
      </c>
      <c r="E312" s="9" t="s">
        <v>398</v>
      </c>
      <c r="F312" s="2" t="s">
        <v>280</v>
      </c>
      <c r="G312">
        <v>155</v>
      </c>
      <c r="H312">
        <v>9</v>
      </c>
      <c r="I312" t="str">
        <f>Clean_Data!$I312</f>
        <v>Fortune Barishal</v>
      </c>
      <c r="J312">
        <v>142</v>
      </c>
      <c r="K312">
        <v>10</v>
      </c>
      <c r="L312" s="9" t="s">
        <v>389</v>
      </c>
      <c r="M312" s="9" t="s">
        <v>113</v>
      </c>
      <c r="N312" s="9" t="s">
        <v>26</v>
      </c>
      <c r="O312" s="9" t="s">
        <v>155</v>
      </c>
      <c r="P312" s="9" t="s">
        <v>142</v>
      </c>
      <c r="Q312" s="9" t="s">
        <v>28</v>
      </c>
      <c r="R312" s="9" t="s">
        <v>29</v>
      </c>
      <c r="S312">
        <v>0</v>
      </c>
      <c r="T312">
        <v>13</v>
      </c>
      <c r="U312" s="9" t="s">
        <v>81</v>
      </c>
      <c r="V312" s="9" t="s">
        <v>756</v>
      </c>
      <c r="W312">
        <v>13</v>
      </c>
      <c r="X312" s="9" t="s">
        <v>757</v>
      </c>
      <c r="Y312">
        <v>297</v>
      </c>
      <c r="Z312" s="9" t="s">
        <v>754</v>
      </c>
      <c r="AA312" s="9" t="s">
        <v>32</v>
      </c>
      <c r="AB312" s="9" t="s">
        <v>66</v>
      </c>
      <c r="AC312" s="9" t="s">
        <v>3</v>
      </c>
      <c r="AD312" s="9" t="s">
        <v>142</v>
      </c>
      <c r="AE312" s="9">
        <f>IF(Table5[[#This Row],[Team_Name]]=Table5[[#This Row],[Correct_Winner]],1,0)</f>
        <v>1</v>
      </c>
    </row>
    <row r="313" spans="1:31" x14ac:dyDescent="0.3">
      <c r="A313" s="9" t="s">
        <v>140</v>
      </c>
      <c r="B313">
        <v>2015</v>
      </c>
      <c r="C313" s="9" t="s">
        <v>190</v>
      </c>
      <c r="D313" s="9" t="s">
        <v>755</v>
      </c>
      <c r="E313" s="9" t="s">
        <v>398</v>
      </c>
      <c r="F313" s="3" t="s">
        <v>280</v>
      </c>
      <c r="G313">
        <v>155</v>
      </c>
      <c r="H313">
        <v>9</v>
      </c>
      <c r="I313" t="str">
        <f>Clean_Data!$I313</f>
        <v>Fortune Barishal</v>
      </c>
      <c r="J313">
        <v>142</v>
      </c>
      <c r="K313">
        <v>10</v>
      </c>
      <c r="L313" s="9" t="s">
        <v>389</v>
      </c>
      <c r="M313" s="9" t="s">
        <v>113</v>
      </c>
      <c r="N313" s="9" t="s">
        <v>26</v>
      </c>
      <c r="O313" s="9" t="s">
        <v>155</v>
      </c>
      <c r="P313" s="9" t="s">
        <v>142</v>
      </c>
      <c r="Q313" s="9" t="s">
        <v>28</v>
      </c>
      <c r="R313" s="9" t="s">
        <v>29</v>
      </c>
      <c r="S313">
        <v>0</v>
      </c>
      <c r="T313">
        <v>13</v>
      </c>
      <c r="U313" s="9" t="s">
        <v>81</v>
      </c>
      <c r="V313" s="9" t="s">
        <v>756</v>
      </c>
      <c r="W313">
        <v>13</v>
      </c>
      <c r="X313" s="9" t="s">
        <v>757</v>
      </c>
      <c r="Y313">
        <v>297</v>
      </c>
      <c r="Z313" s="9" t="s">
        <v>754</v>
      </c>
      <c r="AA313" s="9" t="s">
        <v>32</v>
      </c>
      <c r="AB313" s="9" t="s">
        <v>66</v>
      </c>
      <c r="AC313" s="9" t="s">
        <v>6</v>
      </c>
      <c r="AD313" s="9" t="s">
        <v>113</v>
      </c>
      <c r="AE313" s="9">
        <f>IF(Table5[[#This Row],[Team_Name]]=Table5[[#This Row],[Correct_Winner]],1,0)</f>
        <v>0</v>
      </c>
    </row>
    <row r="314" spans="1:31" x14ac:dyDescent="0.3">
      <c r="A314" s="9" t="s">
        <v>140</v>
      </c>
      <c r="B314">
        <v>2015</v>
      </c>
      <c r="C314" s="9" t="s">
        <v>195</v>
      </c>
      <c r="D314" s="9" t="s">
        <v>755</v>
      </c>
      <c r="E314" s="9" t="s">
        <v>398</v>
      </c>
      <c r="F314" s="2" t="s">
        <v>312</v>
      </c>
      <c r="G314">
        <v>180</v>
      </c>
      <c r="H314">
        <v>5</v>
      </c>
      <c r="I314" t="str">
        <f>Clean_Data!$I314</f>
        <v>Khulna Tigers</v>
      </c>
      <c r="J314">
        <v>179</v>
      </c>
      <c r="K314">
        <v>6</v>
      </c>
      <c r="L314" s="9" t="s">
        <v>399</v>
      </c>
      <c r="M314" s="9" t="s">
        <v>174</v>
      </c>
      <c r="N314" s="9" t="s">
        <v>26</v>
      </c>
      <c r="O314" s="9" t="s">
        <v>245</v>
      </c>
      <c r="P314" s="9" t="s">
        <v>179</v>
      </c>
      <c r="Q314" s="9" t="s">
        <v>28</v>
      </c>
      <c r="R314" s="9" t="s">
        <v>29</v>
      </c>
      <c r="S314">
        <v>0</v>
      </c>
      <c r="T314">
        <v>0</v>
      </c>
      <c r="U314" s="9" t="s">
        <v>269</v>
      </c>
      <c r="V314" s="9" t="s">
        <v>752</v>
      </c>
      <c r="W314">
        <v>0</v>
      </c>
      <c r="X314" s="9" t="s">
        <v>753</v>
      </c>
      <c r="Y314">
        <v>359</v>
      </c>
      <c r="Z314" s="9" t="s">
        <v>754</v>
      </c>
      <c r="AA314" s="9" t="s">
        <v>66</v>
      </c>
      <c r="AB314" s="9" t="s">
        <v>44</v>
      </c>
      <c r="AC314" s="9" t="s">
        <v>3</v>
      </c>
      <c r="AD314" s="9" t="s">
        <v>179</v>
      </c>
      <c r="AE314" s="9">
        <f>IF(Table5[[#This Row],[Team_Name]]=Table5[[#This Row],[Correct_Winner]],1,0)</f>
        <v>1</v>
      </c>
    </row>
    <row r="315" spans="1:31" x14ac:dyDescent="0.3">
      <c r="A315" s="9" t="s">
        <v>140</v>
      </c>
      <c r="B315">
        <v>2015</v>
      </c>
      <c r="C315" s="9" t="s">
        <v>195</v>
      </c>
      <c r="D315" s="9" t="s">
        <v>755</v>
      </c>
      <c r="E315" s="9" t="s">
        <v>398</v>
      </c>
      <c r="F315" s="3" t="s">
        <v>307</v>
      </c>
      <c r="G315">
        <v>180</v>
      </c>
      <c r="H315">
        <v>5</v>
      </c>
      <c r="I315" t="str">
        <f>Clean_Data!$I315</f>
        <v>Comilla Victorians</v>
      </c>
      <c r="J315">
        <v>179</v>
      </c>
      <c r="K315">
        <v>6</v>
      </c>
      <c r="L315" s="9" t="s">
        <v>399</v>
      </c>
      <c r="M315" s="9" t="s">
        <v>174</v>
      </c>
      <c r="N315" s="9" t="s">
        <v>26</v>
      </c>
      <c r="O315" s="9" t="s">
        <v>245</v>
      </c>
      <c r="P315" s="9" t="s">
        <v>179</v>
      </c>
      <c r="Q315" s="9" t="s">
        <v>28</v>
      </c>
      <c r="R315" s="9" t="s">
        <v>29</v>
      </c>
      <c r="S315">
        <v>0</v>
      </c>
      <c r="T315">
        <v>0</v>
      </c>
      <c r="U315" s="9" t="s">
        <v>269</v>
      </c>
      <c r="V315" s="9" t="s">
        <v>752</v>
      </c>
      <c r="W315">
        <v>0</v>
      </c>
      <c r="X315" s="9" t="s">
        <v>753</v>
      </c>
      <c r="Y315">
        <v>359</v>
      </c>
      <c r="Z315" s="9" t="s">
        <v>754</v>
      </c>
      <c r="AA315" s="9" t="s">
        <v>66</v>
      </c>
      <c r="AB315" s="9" t="s">
        <v>44</v>
      </c>
      <c r="AC315" s="9" t="s">
        <v>6</v>
      </c>
      <c r="AD315" s="9" t="s">
        <v>174</v>
      </c>
      <c r="AE315" s="9">
        <f>IF(Table5[[#This Row],[Team_Name]]=Table5[[#This Row],[Correct_Winner]],1,0)</f>
        <v>0</v>
      </c>
    </row>
    <row r="316" spans="1:31" x14ac:dyDescent="0.3">
      <c r="A316" s="9" t="s">
        <v>140</v>
      </c>
      <c r="B316">
        <v>2015</v>
      </c>
      <c r="C316" s="9" t="s">
        <v>33</v>
      </c>
      <c r="D316" s="9" t="s">
        <v>755</v>
      </c>
      <c r="E316" s="9" t="s">
        <v>400</v>
      </c>
      <c r="F316" s="2" t="s">
        <v>280</v>
      </c>
      <c r="G316">
        <v>110</v>
      </c>
      <c r="H316">
        <v>8</v>
      </c>
      <c r="I316" t="str">
        <f>Clean_Data!$I316</f>
        <v>Minister Group Dhaka</v>
      </c>
      <c r="J316">
        <v>112</v>
      </c>
      <c r="K316">
        <v>4</v>
      </c>
      <c r="L316" s="9" t="s">
        <v>401</v>
      </c>
      <c r="M316" s="9" t="s">
        <v>143</v>
      </c>
      <c r="N316" s="9" t="s">
        <v>37</v>
      </c>
      <c r="O316" s="9" t="s">
        <v>193</v>
      </c>
      <c r="P316" s="9" t="s">
        <v>160</v>
      </c>
      <c r="Q316" s="9" t="s">
        <v>28</v>
      </c>
      <c r="R316" s="9" t="s">
        <v>29</v>
      </c>
      <c r="S316">
        <v>6</v>
      </c>
      <c r="T316">
        <v>0</v>
      </c>
      <c r="U316" s="9" t="s">
        <v>151</v>
      </c>
      <c r="V316" s="9" t="s">
        <v>752</v>
      </c>
      <c r="W316">
        <v>6</v>
      </c>
      <c r="X316" s="9" t="s">
        <v>753</v>
      </c>
      <c r="Y316">
        <v>222</v>
      </c>
      <c r="Z316" s="9" t="s">
        <v>754</v>
      </c>
      <c r="AA316" s="9" t="s">
        <v>32</v>
      </c>
      <c r="AB316" s="9" t="s">
        <v>147</v>
      </c>
      <c r="AC316" s="9" t="s">
        <v>3</v>
      </c>
      <c r="AD316" s="9" t="s">
        <v>143</v>
      </c>
      <c r="AE316" s="9">
        <f>IF(Table5[[#This Row],[Team_Name]]=Table5[[#This Row],[Correct_Winner]],1,0)</f>
        <v>0</v>
      </c>
    </row>
    <row r="317" spans="1:31" x14ac:dyDescent="0.3">
      <c r="A317" s="9" t="s">
        <v>140</v>
      </c>
      <c r="B317">
        <v>2015</v>
      </c>
      <c r="C317" s="9" t="s">
        <v>33</v>
      </c>
      <c r="D317" s="9" t="s">
        <v>755</v>
      </c>
      <c r="E317" s="9" t="s">
        <v>400</v>
      </c>
      <c r="F317" s="3" t="s">
        <v>310</v>
      </c>
      <c r="G317">
        <v>110</v>
      </c>
      <c r="H317">
        <v>8</v>
      </c>
      <c r="I317" t="str">
        <f>Clean_Data!$I317</f>
        <v>Minister Group Dhaka</v>
      </c>
      <c r="J317">
        <v>112</v>
      </c>
      <c r="K317">
        <v>4</v>
      </c>
      <c r="L317" s="9" t="s">
        <v>401</v>
      </c>
      <c r="M317" s="9" t="s">
        <v>143</v>
      </c>
      <c r="N317" s="9" t="s">
        <v>37</v>
      </c>
      <c r="O317" s="9" t="s">
        <v>193</v>
      </c>
      <c r="P317" s="9" t="s">
        <v>160</v>
      </c>
      <c r="Q317" s="9" t="s">
        <v>28</v>
      </c>
      <c r="R317" s="9" t="s">
        <v>29</v>
      </c>
      <c r="S317">
        <v>6</v>
      </c>
      <c r="T317">
        <v>0</v>
      </c>
      <c r="U317" s="9" t="s">
        <v>151</v>
      </c>
      <c r="V317" s="9" t="s">
        <v>752</v>
      </c>
      <c r="W317">
        <v>6</v>
      </c>
      <c r="X317" s="9" t="s">
        <v>753</v>
      </c>
      <c r="Y317">
        <v>222</v>
      </c>
      <c r="Z317" s="9" t="s">
        <v>754</v>
      </c>
      <c r="AA317" s="9" t="s">
        <v>32</v>
      </c>
      <c r="AB317" s="9" t="s">
        <v>147</v>
      </c>
      <c r="AC317" s="9" t="s">
        <v>6</v>
      </c>
      <c r="AD317" s="9" t="s">
        <v>160</v>
      </c>
      <c r="AE317" s="9">
        <f>IF(Table5[[#This Row],[Team_Name]]=Table5[[#This Row],[Correct_Winner]],1,0)</f>
        <v>1</v>
      </c>
    </row>
    <row r="318" spans="1:31" x14ac:dyDescent="0.3">
      <c r="A318" s="9" t="s">
        <v>140</v>
      </c>
      <c r="B318">
        <v>2015</v>
      </c>
      <c r="C318" s="9" t="s">
        <v>40</v>
      </c>
      <c r="D318" s="9" t="s">
        <v>755</v>
      </c>
      <c r="E318" s="9" t="s">
        <v>400</v>
      </c>
      <c r="F318" s="2" t="s">
        <v>280</v>
      </c>
      <c r="G318">
        <v>187</v>
      </c>
      <c r="H318">
        <v>7</v>
      </c>
      <c r="I318" t="str">
        <f>Clean_Data!$I318</f>
        <v>Khulna Tigers</v>
      </c>
      <c r="J318">
        <v>188</v>
      </c>
      <c r="K318">
        <v>8</v>
      </c>
      <c r="L318" s="9" t="s">
        <v>402</v>
      </c>
      <c r="M318" s="9" t="s">
        <v>179</v>
      </c>
      <c r="N318" s="9" t="s">
        <v>37</v>
      </c>
      <c r="O318" s="9" t="s">
        <v>189</v>
      </c>
      <c r="P318" s="9" t="s">
        <v>113</v>
      </c>
      <c r="Q318" s="9" t="s">
        <v>28</v>
      </c>
      <c r="R318" s="9" t="s">
        <v>29</v>
      </c>
      <c r="S318">
        <v>2</v>
      </c>
      <c r="T318">
        <v>0</v>
      </c>
      <c r="U318" s="9" t="s">
        <v>281</v>
      </c>
      <c r="V318" s="9" t="s">
        <v>752</v>
      </c>
      <c r="W318">
        <v>2</v>
      </c>
      <c r="X318" s="9" t="s">
        <v>753</v>
      </c>
      <c r="Y318">
        <v>375</v>
      </c>
      <c r="Z318" s="9" t="s">
        <v>754</v>
      </c>
      <c r="AA318" s="9" t="s">
        <v>32</v>
      </c>
      <c r="AB318" s="9" t="s">
        <v>44</v>
      </c>
      <c r="AC318" s="9" t="s">
        <v>3</v>
      </c>
      <c r="AD318" s="9" t="s">
        <v>179</v>
      </c>
      <c r="AE318" s="9">
        <f>IF(Table5[[#This Row],[Team_Name]]=Table5[[#This Row],[Correct_Winner]],1,0)</f>
        <v>0</v>
      </c>
    </row>
    <row r="319" spans="1:31" x14ac:dyDescent="0.3">
      <c r="A319" s="9" t="s">
        <v>140</v>
      </c>
      <c r="B319">
        <v>2015</v>
      </c>
      <c r="C319" s="9" t="s">
        <v>40</v>
      </c>
      <c r="D319" s="9" t="s">
        <v>755</v>
      </c>
      <c r="E319" s="9" t="s">
        <v>400</v>
      </c>
      <c r="F319" s="3" t="s">
        <v>312</v>
      </c>
      <c r="G319">
        <v>187</v>
      </c>
      <c r="H319">
        <v>7</v>
      </c>
      <c r="I319" t="str">
        <f>Clean_Data!$I319</f>
        <v>Sylhet Sunrisers</v>
      </c>
      <c r="J319">
        <v>188</v>
      </c>
      <c r="K319">
        <v>8</v>
      </c>
      <c r="L319" s="9" t="s">
        <v>402</v>
      </c>
      <c r="M319" s="9" t="s">
        <v>179</v>
      </c>
      <c r="N319" s="9" t="s">
        <v>37</v>
      </c>
      <c r="O319" s="9" t="s">
        <v>189</v>
      </c>
      <c r="P319" s="9" t="s">
        <v>113</v>
      </c>
      <c r="Q319" s="9" t="s">
        <v>28</v>
      </c>
      <c r="R319" s="9" t="s">
        <v>29</v>
      </c>
      <c r="S319">
        <v>2</v>
      </c>
      <c r="T319">
        <v>0</v>
      </c>
      <c r="U319" s="9" t="s">
        <v>281</v>
      </c>
      <c r="V319" s="9" t="s">
        <v>752</v>
      </c>
      <c r="W319">
        <v>2</v>
      </c>
      <c r="X319" s="9" t="s">
        <v>753</v>
      </c>
      <c r="Y319">
        <v>375</v>
      </c>
      <c r="Z319" s="9" t="s">
        <v>754</v>
      </c>
      <c r="AA319" s="9" t="s">
        <v>32</v>
      </c>
      <c r="AB319" s="9" t="s">
        <v>44</v>
      </c>
      <c r="AC319" s="9" t="s">
        <v>6</v>
      </c>
      <c r="AD319" s="9" t="s">
        <v>113</v>
      </c>
      <c r="AE319" s="9">
        <f>IF(Table5[[#This Row],[Team_Name]]=Table5[[#This Row],[Correct_Winner]],1,0)</f>
        <v>1</v>
      </c>
    </row>
    <row r="320" spans="1:31" x14ac:dyDescent="0.3">
      <c r="A320" s="9" t="s">
        <v>197</v>
      </c>
      <c r="B320">
        <v>2016</v>
      </c>
      <c r="C320" s="9" t="s">
        <v>321</v>
      </c>
      <c r="D320" s="9" t="s">
        <v>755</v>
      </c>
      <c r="E320" s="9" t="s">
        <v>403</v>
      </c>
      <c r="F320" s="2" t="s">
        <v>143</v>
      </c>
      <c r="G320">
        <v>161</v>
      </c>
      <c r="H320">
        <v>4</v>
      </c>
      <c r="I320" t="str">
        <f>Clean_Data!$I320</f>
        <v>Fortune Barishal</v>
      </c>
      <c r="J320">
        <v>144</v>
      </c>
      <c r="K320">
        <v>7</v>
      </c>
      <c r="L320" s="9" t="s">
        <v>288</v>
      </c>
      <c r="M320" s="9" t="s">
        <v>199</v>
      </c>
      <c r="N320" s="9" t="s">
        <v>26</v>
      </c>
      <c r="O320" s="9" t="s">
        <v>155</v>
      </c>
      <c r="P320" s="9" t="s">
        <v>142</v>
      </c>
      <c r="Q320" s="9" t="s">
        <v>28</v>
      </c>
      <c r="R320" s="9" t="s">
        <v>29</v>
      </c>
      <c r="S320">
        <v>0</v>
      </c>
      <c r="T320">
        <v>17</v>
      </c>
      <c r="U320" s="9" t="s">
        <v>254</v>
      </c>
      <c r="V320" s="9" t="s">
        <v>756</v>
      </c>
      <c r="W320">
        <v>17</v>
      </c>
      <c r="X320" s="9" t="s">
        <v>757</v>
      </c>
      <c r="Y320">
        <v>305</v>
      </c>
      <c r="Z320" s="9" t="s">
        <v>754</v>
      </c>
      <c r="AA320" s="9" t="s">
        <v>50</v>
      </c>
      <c r="AB320" s="9" t="s">
        <v>147</v>
      </c>
      <c r="AC320" s="9" t="s">
        <v>3</v>
      </c>
      <c r="AD320" s="9" t="s">
        <v>142</v>
      </c>
      <c r="AE320" s="9">
        <f>IF(Table5[[#This Row],[Team_Name]]=Table5[[#This Row],[Correct_Winner]],1,0)</f>
        <v>1</v>
      </c>
    </row>
    <row r="321" spans="1:31" x14ac:dyDescent="0.3">
      <c r="A321" s="9" t="s">
        <v>197</v>
      </c>
      <c r="B321">
        <v>2016</v>
      </c>
      <c r="C321" s="9" t="s">
        <v>321</v>
      </c>
      <c r="D321" s="9" t="s">
        <v>755</v>
      </c>
      <c r="E321" s="9" t="s">
        <v>403</v>
      </c>
      <c r="F321" s="3" t="s">
        <v>280</v>
      </c>
      <c r="G321">
        <v>161</v>
      </c>
      <c r="H321">
        <v>4</v>
      </c>
      <c r="I321" t="str">
        <f>Clean_Data!$I321</f>
        <v>Khulna Tigers</v>
      </c>
      <c r="J321">
        <v>144</v>
      </c>
      <c r="K321">
        <v>7</v>
      </c>
      <c r="L321" s="9" t="s">
        <v>288</v>
      </c>
      <c r="M321" s="9" t="s">
        <v>199</v>
      </c>
      <c r="N321" s="9" t="s">
        <v>26</v>
      </c>
      <c r="O321" s="9" t="s">
        <v>155</v>
      </c>
      <c r="P321" s="9" t="s">
        <v>142</v>
      </c>
      <c r="Q321" s="9" t="s">
        <v>28</v>
      </c>
      <c r="R321" s="9" t="s">
        <v>29</v>
      </c>
      <c r="S321">
        <v>0</v>
      </c>
      <c r="T321">
        <v>17</v>
      </c>
      <c r="U321" s="9" t="s">
        <v>254</v>
      </c>
      <c r="V321" s="9" t="s">
        <v>756</v>
      </c>
      <c r="W321">
        <v>17</v>
      </c>
      <c r="X321" s="9" t="s">
        <v>757</v>
      </c>
      <c r="Y321">
        <v>305</v>
      </c>
      <c r="Z321" s="9" t="s">
        <v>754</v>
      </c>
      <c r="AA321" s="9" t="s">
        <v>50</v>
      </c>
      <c r="AB321" s="9" t="s">
        <v>147</v>
      </c>
      <c r="AC321" s="9" t="s">
        <v>6</v>
      </c>
      <c r="AD321" s="9" t="s">
        <v>199</v>
      </c>
      <c r="AE321" s="9">
        <f>IF(Table5[[#This Row],[Team_Name]]=Table5[[#This Row],[Correct_Winner]],1,0)</f>
        <v>0</v>
      </c>
    </row>
    <row r="322" spans="1:31" x14ac:dyDescent="0.3">
      <c r="A322" s="9" t="s">
        <v>197</v>
      </c>
      <c r="B322">
        <v>2016</v>
      </c>
      <c r="C322" s="9" t="s">
        <v>324</v>
      </c>
      <c r="D322" s="9" t="s">
        <v>755</v>
      </c>
      <c r="E322" s="9" t="s">
        <v>404</v>
      </c>
      <c r="F322" s="2" t="s">
        <v>307</v>
      </c>
      <c r="G322">
        <v>124</v>
      </c>
      <c r="H322">
        <v>7</v>
      </c>
      <c r="I322" t="str">
        <f>Clean_Data!$I322</f>
        <v>Minister Group Dhaka</v>
      </c>
      <c r="J322">
        <v>125</v>
      </c>
      <c r="K322">
        <v>2</v>
      </c>
      <c r="L322" s="9" t="s">
        <v>268</v>
      </c>
      <c r="M322" s="9" t="s">
        <v>199</v>
      </c>
      <c r="N322" s="9" t="s">
        <v>37</v>
      </c>
      <c r="O322" s="9" t="s">
        <v>145</v>
      </c>
      <c r="P322" s="9" t="s">
        <v>143</v>
      </c>
      <c r="Q322" s="9" t="s">
        <v>28</v>
      </c>
      <c r="R322" s="9" t="s">
        <v>29</v>
      </c>
      <c r="S322">
        <v>8</v>
      </c>
      <c r="T322">
        <v>0</v>
      </c>
      <c r="U322" s="9" t="s">
        <v>30</v>
      </c>
      <c r="V322" s="9" t="s">
        <v>752</v>
      </c>
      <c r="W322">
        <v>8</v>
      </c>
      <c r="X322" s="9" t="s">
        <v>753</v>
      </c>
      <c r="Y322">
        <v>249</v>
      </c>
      <c r="Z322" s="9" t="s">
        <v>754</v>
      </c>
      <c r="AA322" s="9" t="s">
        <v>66</v>
      </c>
      <c r="AB322" s="9" t="s">
        <v>405</v>
      </c>
      <c r="AC322" s="9" t="s">
        <v>3</v>
      </c>
      <c r="AD322" s="9" t="s">
        <v>199</v>
      </c>
      <c r="AE322" s="9">
        <f>IF(Table5[[#This Row],[Team_Name]]=Table5[[#This Row],[Correct_Winner]],1,0)</f>
        <v>0</v>
      </c>
    </row>
    <row r="323" spans="1:31" x14ac:dyDescent="0.3">
      <c r="A323" s="9" t="s">
        <v>197</v>
      </c>
      <c r="B323">
        <v>2016</v>
      </c>
      <c r="C323" s="9" t="s">
        <v>324</v>
      </c>
      <c r="D323" s="9" t="s">
        <v>755</v>
      </c>
      <c r="E323" s="9" t="s">
        <v>404</v>
      </c>
      <c r="F323" s="3" t="s">
        <v>310</v>
      </c>
      <c r="G323">
        <v>124</v>
      </c>
      <c r="H323">
        <v>7</v>
      </c>
      <c r="I323" t="str">
        <f>Clean_Data!$I323</f>
        <v>Khulna Tigers</v>
      </c>
      <c r="J323">
        <v>125</v>
      </c>
      <c r="K323">
        <v>2</v>
      </c>
      <c r="L323" s="9" t="s">
        <v>268</v>
      </c>
      <c r="M323" s="9" t="s">
        <v>199</v>
      </c>
      <c r="N323" s="9" t="s">
        <v>37</v>
      </c>
      <c r="O323" s="9" t="s">
        <v>145</v>
      </c>
      <c r="P323" s="9" t="s">
        <v>143</v>
      </c>
      <c r="Q323" s="9" t="s">
        <v>28</v>
      </c>
      <c r="R323" s="9" t="s">
        <v>29</v>
      </c>
      <c r="S323">
        <v>8</v>
      </c>
      <c r="T323">
        <v>0</v>
      </c>
      <c r="U323" s="9" t="s">
        <v>30</v>
      </c>
      <c r="V323" s="9" t="s">
        <v>752</v>
      </c>
      <c r="W323">
        <v>8</v>
      </c>
      <c r="X323" s="9" t="s">
        <v>753</v>
      </c>
      <c r="Y323">
        <v>249</v>
      </c>
      <c r="Z323" s="9" t="s">
        <v>754</v>
      </c>
      <c r="AA323" s="9" t="s">
        <v>66</v>
      </c>
      <c r="AB323" s="9" t="s">
        <v>405</v>
      </c>
      <c r="AC323" s="9" t="s">
        <v>6</v>
      </c>
      <c r="AD323" s="9" t="s">
        <v>143</v>
      </c>
      <c r="AE323" s="9">
        <f>IF(Table5[[#This Row],[Team_Name]]=Table5[[#This Row],[Correct_Winner]],1,0)</f>
        <v>1</v>
      </c>
    </row>
    <row r="324" spans="1:31" x14ac:dyDescent="0.3">
      <c r="A324" s="9" t="s">
        <v>197</v>
      </c>
      <c r="B324">
        <v>2016</v>
      </c>
      <c r="C324" s="9" t="s">
        <v>326</v>
      </c>
      <c r="D324" s="9" t="s">
        <v>755</v>
      </c>
      <c r="E324" s="9" t="s">
        <v>404</v>
      </c>
      <c r="F324" s="2" t="s">
        <v>280</v>
      </c>
      <c r="G324">
        <v>188</v>
      </c>
      <c r="H324">
        <v>7</v>
      </c>
      <c r="I324" t="str">
        <f>Clean_Data!$I324</f>
        <v>Sylhet Sunrisers</v>
      </c>
      <c r="J324">
        <v>146</v>
      </c>
      <c r="K324">
        <v>8</v>
      </c>
      <c r="L324" s="9" t="s">
        <v>259</v>
      </c>
      <c r="M324" s="9" t="s">
        <v>160</v>
      </c>
      <c r="N324" s="9" t="s">
        <v>37</v>
      </c>
      <c r="O324" s="9" t="s">
        <v>193</v>
      </c>
      <c r="P324" s="9" t="s">
        <v>160</v>
      </c>
      <c r="Q324" s="9" t="s">
        <v>28</v>
      </c>
      <c r="R324" s="9" t="s">
        <v>29</v>
      </c>
      <c r="S324">
        <v>0</v>
      </c>
      <c r="T324">
        <v>42</v>
      </c>
      <c r="U324" s="9" t="s">
        <v>406</v>
      </c>
      <c r="V324" s="9" t="s">
        <v>756</v>
      </c>
      <c r="W324">
        <v>42</v>
      </c>
      <c r="X324" s="9" t="s">
        <v>757</v>
      </c>
      <c r="Y324">
        <v>334</v>
      </c>
      <c r="Z324" s="9" t="s">
        <v>754</v>
      </c>
      <c r="AA324" s="9" t="s">
        <v>202</v>
      </c>
      <c r="AB324" s="9" t="s">
        <v>39</v>
      </c>
      <c r="AC324" s="9" t="s">
        <v>3</v>
      </c>
      <c r="AD324" s="9" t="s">
        <v>160</v>
      </c>
      <c r="AE324" s="9">
        <f>IF(Table5[[#This Row],[Team_Name]]=Table5[[#This Row],[Correct_Winner]],1,0)</f>
        <v>1</v>
      </c>
    </row>
    <row r="325" spans="1:31" x14ac:dyDescent="0.3">
      <c r="A325" s="9" t="s">
        <v>197</v>
      </c>
      <c r="B325">
        <v>2016</v>
      </c>
      <c r="C325" s="9" t="s">
        <v>326</v>
      </c>
      <c r="D325" s="9" t="s">
        <v>755</v>
      </c>
      <c r="E325" s="9" t="s">
        <v>404</v>
      </c>
      <c r="F325" s="3" t="s">
        <v>143</v>
      </c>
      <c r="G325">
        <v>188</v>
      </c>
      <c r="H325">
        <v>7</v>
      </c>
      <c r="I325" t="str">
        <f>Clean_Data!$I325</f>
        <v>Chattogram Challengers</v>
      </c>
      <c r="J325">
        <v>146</v>
      </c>
      <c r="K325">
        <v>8</v>
      </c>
      <c r="L325" s="9" t="s">
        <v>259</v>
      </c>
      <c r="M325" s="9" t="s">
        <v>160</v>
      </c>
      <c r="N325" s="9" t="s">
        <v>37</v>
      </c>
      <c r="O325" s="9" t="s">
        <v>193</v>
      </c>
      <c r="P325" s="9" t="s">
        <v>160</v>
      </c>
      <c r="Q325" s="9" t="s">
        <v>28</v>
      </c>
      <c r="R325" s="9" t="s">
        <v>29</v>
      </c>
      <c r="S325">
        <v>0</v>
      </c>
      <c r="T325">
        <v>42</v>
      </c>
      <c r="U325" s="9" t="s">
        <v>406</v>
      </c>
      <c r="V325" s="9" t="s">
        <v>756</v>
      </c>
      <c r="W325">
        <v>42</v>
      </c>
      <c r="X325" s="9" t="s">
        <v>757</v>
      </c>
      <c r="Y325">
        <v>334</v>
      </c>
      <c r="Z325" s="9" t="s">
        <v>754</v>
      </c>
      <c r="AA325" s="9" t="s">
        <v>202</v>
      </c>
      <c r="AB325" s="9" t="s">
        <v>39</v>
      </c>
      <c r="AC325" s="9" t="s">
        <v>6</v>
      </c>
      <c r="AD325" s="9" t="s">
        <v>113</v>
      </c>
      <c r="AE325" s="9">
        <f>IF(Table5[[#This Row],[Team_Name]]=Table5[[#This Row],[Correct_Winner]],1,0)</f>
        <v>0</v>
      </c>
    </row>
    <row r="326" spans="1:31" x14ac:dyDescent="0.3">
      <c r="A326" s="9" t="s">
        <v>197</v>
      </c>
      <c r="B326">
        <v>2016</v>
      </c>
      <c r="C326" s="9" t="s">
        <v>328</v>
      </c>
      <c r="D326" s="9" t="s">
        <v>755</v>
      </c>
      <c r="E326" s="9" t="s">
        <v>407</v>
      </c>
      <c r="F326" s="2" t="s">
        <v>310</v>
      </c>
      <c r="G326">
        <v>131</v>
      </c>
      <c r="H326">
        <v>8</v>
      </c>
      <c r="I326" t="str">
        <f>Clean_Data!$I326</f>
        <v>Khulna Tigers</v>
      </c>
      <c r="J326">
        <v>135</v>
      </c>
      <c r="K326">
        <v>5</v>
      </c>
      <c r="L326" s="9" t="s">
        <v>253</v>
      </c>
      <c r="M326" s="9" t="s">
        <v>206</v>
      </c>
      <c r="N326" s="9" t="s">
        <v>37</v>
      </c>
      <c r="O326" s="9" t="s">
        <v>245</v>
      </c>
      <c r="P326" s="9" t="s">
        <v>179</v>
      </c>
      <c r="Q326" s="9" t="s">
        <v>28</v>
      </c>
      <c r="R326" s="9" t="s">
        <v>29</v>
      </c>
      <c r="S326">
        <v>5</v>
      </c>
      <c r="T326">
        <v>0</v>
      </c>
      <c r="U326" s="9" t="s">
        <v>55</v>
      </c>
      <c r="V326" s="9" t="s">
        <v>752</v>
      </c>
      <c r="W326">
        <v>5</v>
      </c>
      <c r="X326" s="9" t="s">
        <v>753</v>
      </c>
      <c r="Y326">
        <v>266</v>
      </c>
      <c r="Z326" s="9" t="s">
        <v>754</v>
      </c>
      <c r="AA326" s="9" t="s">
        <v>56</v>
      </c>
      <c r="AB326" s="9" t="s">
        <v>147</v>
      </c>
      <c r="AC326" s="9" t="s">
        <v>3</v>
      </c>
      <c r="AD326" s="9" t="s">
        <v>206</v>
      </c>
      <c r="AE326" s="9">
        <f>IF(Table5[[#This Row],[Team_Name]]=Table5[[#This Row],[Correct_Winner]],1,0)</f>
        <v>0</v>
      </c>
    </row>
    <row r="327" spans="1:31" x14ac:dyDescent="0.3">
      <c r="A327" s="9" t="s">
        <v>197</v>
      </c>
      <c r="B327">
        <v>2016</v>
      </c>
      <c r="C327" s="9" t="s">
        <v>328</v>
      </c>
      <c r="D327" s="9" t="s">
        <v>755</v>
      </c>
      <c r="E327" s="9" t="s">
        <v>407</v>
      </c>
      <c r="F327" s="3" t="s">
        <v>312</v>
      </c>
      <c r="G327">
        <v>131</v>
      </c>
      <c r="H327">
        <v>8</v>
      </c>
      <c r="I327" t="str">
        <f>Clean_Data!$I327</f>
        <v>Comilla Victorians</v>
      </c>
      <c r="J327">
        <v>135</v>
      </c>
      <c r="K327">
        <v>5</v>
      </c>
      <c r="L327" s="9" t="s">
        <v>253</v>
      </c>
      <c r="M327" s="9" t="s">
        <v>206</v>
      </c>
      <c r="N327" s="9" t="s">
        <v>37</v>
      </c>
      <c r="O327" s="9" t="s">
        <v>245</v>
      </c>
      <c r="P327" s="9" t="s">
        <v>179</v>
      </c>
      <c r="Q327" s="9" t="s">
        <v>28</v>
      </c>
      <c r="R327" s="9" t="s">
        <v>29</v>
      </c>
      <c r="S327">
        <v>5</v>
      </c>
      <c r="T327">
        <v>0</v>
      </c>
      <c r="U327" s="9" t="s">
        <v>55</v>
      </c>
      <c r="V327" s="9" t="s">
        <v>752</v>
      </c>
      <c r="W327">
        <v>5</v>
      </c>
      <c r="X327" s="9" t="s">
        <v>753</v>
      </c>
      <c r="Y327">
        <v>266</v>
      </c>
      <c r="Z327" s="9" t="s">
        <v>754</v>
      </c>
      <c r="AA327" s="9" t="s">
        <v>56</v>
      </c>
      <c r="AB327" s="9" t="s">
        <v>147</v>
      </c>
      <c r="AC327" s="9" t="s">
        <v>6</v>
      </c>
      <c r="AD327" s="9" t="s">
        <v>179</v>
      </c>
      <c r="AE327" s="9">
        <f>IF(Table5[[#This Row],[Team_Name]]=Table5[[#This Row],[Correct_Winner]],1,0)</f>
        <v>1</v>
      </c>
    </row>
    <row r="328" spans="1:31" x14ac:dyDescent="0.3">
      <c r="A328" s="9" t="s">
        <v>197</v>
      </c>
      <c r="B328">
        <v>2016</v>
      </c>
      <c r="C328" s="9" t="s">
        <v>330</v>
      </c>
      <c r="D328" s="9" t="s">
        <v>755</v>
      </c>
      <c r="E328" s="9" t="s">
        <v>407</v>
      </c>
      <c r="F328" s="2" t="s">
        <v>310</v>
      </c>
      <c r="G328">
        <v>142</v>
      </c>
      <c r="H328">
        <v>8</v>
      </c>
      <c r="I328" t="str">
        <f>Clean_Data!$I328</f>
        <v>Chattogram Challengers</v>
      </c>
      <c r="J328">
        <v>145</v>
      </c>
      <c r="K328">
        <v>2</v>
      </c>
      <c r="L328" s="9" t="s">
        <v>408</v>
      </c>
      <c r="M328" s="9" t="s">
        <v>142</v>
      </c>
      <c r="N328" s="9" t="s">
        <v>37</v>
      </c>
      <c r="O328" s="9" t="s">
        <v>145</v>
      </c>
      <c r="P328" s="9" t="s">
        <v>143</v>
      </c>
      <c r="Q328" s="9" t="s">
        <v>28</v>
      </c>
      <c r="R328" s="9" t="s">
        <v>29</v>
      </c>
      <c r="S328">
        <v>8</v>
      </c>
      <c r="T328">
        <v>0</v>
      </c>
      <c r="U328" s="9" t="s">
        <v>30</v>
      </c>
      <c r="V328" s="9" t="s">
        <v>752</v>
      </c>
      <c r="W328">
        <v>8</v>
      </c>
      <c r="X328" s="9" t="s">
        <v>753</v>
      </c>
      <c r="Y328">
        <v>287</v>
      </c>
      <c r="Z328" s="9" t="s">
        <v>754</v>
      </c>
      <c r="AA328" s="9" t="s">
        <v>202</v>
      </c>
      <c r="AB328" s="9" t="s">
        <v>50</v>
      </c>
      <c r="AC328" s="9" t="s">
        <v>3</v>
      </c>
      <c r="AD328" s="9" t="s">
        <v>142</v>
      </c>
      <c r="AE328" s="9">
        <f>IF(Table5[[#This Row],[Team_Name]]=Table5[[#This Row],[Correct_Winner]],1,0)</f>
        <v>0</v>
      </c>
    </row>
    <row r="329" spans="1:31" x14ac:dyDescent="0.3">
      <c r="A329" s="9" t="s">
        <v>197</v>
      </c>
      <c r="B329">
        <v>2016</v>
      </c>
      <c r="C329" s="9" t="s">
        <v>330</v>
      </c>
      <c r="D329" s="9" t="s">
        <v>755</v>
      </c>
      <c r="E329" s="9" t="s">
        <v>407</v>
      </c>
      <c r="F329" s="3" t="s">
        <v>307</v>
      </c>
      <c r="G329">
        <v>142</v>
      </c>
      <c r="H329">
        <v>8</v>
      </c>
      <c r="I329" t="str">
        <f>Clean_Data!$I329</f>
        <v>Khulna Tigers</v>
      </c>
      <c r="J329">
        <v>145</v>
      </c>
      <c r="K329">
        <v>2</v>
      </c>
      <c r="L329" s="9" t="s">
        <v>408</v>
      </c>
      <c r="M329" s="9" t="s">
        <v>142</v>
      </c>
      <c r="N329" s="9" t="s">
        <v>37</v>
      </c>
      <c r="O329" s="9" t="s">
        <v>145</v>
      </c>
      <c r="P329" s="9" t="s">
        <v>143</v>
      </c>
      <c r="Q329" s="9" t="s">
        <v>28</v>
      </c>
      <c r="R329" s="9" t="s">
        <v>29</v>
      </c>
      <c r="S329">
        <v>8</v>
      </c>
      <c r="T329">
        <v>0</v>
      </c>
      <c r="U329" s="9" t="s">
        <v>30</v>
      </c>
      <c r="V329" s="9" t="s">
        <v>752</v>
      </c>
      <c r="W329">
        <v>8</v>
      </c>
      <c r="X329" s="9" t="s">
        <v>753</v>
      </c>
      <c r="Y329">
        <v>287</v>
      </c>
      <c r="Z329" s="9" t="s">
        <v>754</v>
      </c>
      <c r="AA329" s="9" t="s">
        <v>202</v>
      </c>
      <c r="AB329" s="9" t="s">
        <v>50</v>
      </c>
      <c r="AC329" s="9" t="s">
        <v>6</v>
      </c>
      <c r="AD329" s="9" t="s">
        <v>143</v>
      </c>
      <c r="AE329" s="9">
        <f>IF(Table5[[#This Row],[Team_Name]]=Table5[[#This Row],[Correct_Winner]],1,0)</f>
        <v>1</v>
      </c>
    </row>
    <row r="330" spans="1:31" x14ac:dyDescent="0.3">
      <c r="A330" s="9" t="s">
        <v>197</v>
      </c>
      <c r="B330">
        <v>2016</v>
      </c>
      <c r="C330" s="9" t="s">
        <v>334</v>
      </c>
      <c r="D330" s="9" t="s">
        <v>755</v>
      </c>
      <c r="E330" s="9" t="s">
        <v>409</v>
      </c>
      <c r="F330" s="2" t="s">
        <v>280</v>
      </c>
      <c r="G330">
        <v>128</v>
      </c>
      <c r="H330">
        <v>7</v>
      </c>
      <c r="I330" t="str">
        <f>Clean_Data!$I330</f>
        <v>Comilla Victorians</v>
      </c>
      <c r="J330">
        <v>79</v>
      </c>
      <c r="K330">
        <v>10</v>
      </c>
      <c r="L330" s="9" t="s">
        <v>410</v>
      </c>
      <c r="M330" s="9" t="s">
        <v>199</v>
      </c>
      <c r="N330" s="9" t="s">
        <v>37</v>
      </c>
      <c r="O330" s="9" t="s">
        <v>208</v>
      </c>
      <c r="P330" s="9" t="s">
        <v>199</v>
      </c>
      <c r="Q330" s="9" t="s">
        <v>28</v>
      </c>
      <c r="R330" s="9" t="s">
        <v>29</v>
      </c>
      <c r="S330">
        <v>0</v>
      </c>
      <c r="T330">
        <v>49</v>
      </c>
      <c r="U330" s="9" t="s">
        <v>411</v>
      </c>
      <c r="V330" s="9" t="s">
        <v>756</v>
      </c>
      <c r="W330">
        <v>49</v>
      </c>
      <c r="X330" s="9" t="s">
        <v>757</v>
      </c>
      <c r="Y330">
        <v>207</v>
      </c>
      <c r="Z330" s="9" t="s">
        <v>754</v>
      </c>
      <c r="AA330" s="9" t="s">
        <v>56</v>
      </c>
      <c r="AB330" s="9" t="s">
        <v>405</v>
      </c>
      <c r="AC330" s="9" t="s">
        <v>3</v>
      </c>
      <c r="AD330" s="9" t="s">
        <v>199</v>
      </c>
      <c r="AE330" s="9">
        <f>IF(Table5[[#This Row],[Team_Name]]=Table5[[#This Row],[Correct_Winner]],1,0)</f>
        <v>1</v>
      </c>
    </row>
    <row r="331" spans="1:31" x14ac:dyDescent="0.3">
      <c r="A331" s="9" t="s">
        <v>197</v>
      </c>
      <c r="B331">
        <v>2016</v>
      </c>
      <c r="C331" s="9" t="s">
        <v>334</v>
      </c>
      <c r="D331" s="9" t="s">
        <v>755</v>
      </c>
      <c r="E331" s="9" t="s">
        <v>409</v>
      </c>
      <c r="F331" s="3" t="s">
        <v>310</v>
      </c>
      <c r="G331">
        <v>128</v>
      </c>
      <c r="H331">
        <v>7</v>
      </c>
      <c r="I331" t="str">
        <f>Clean_Data!$I331</f>
        <v>Comilla Victorians</v>
      </c>
      <c r="J331">
        <v>79</v>
      </c>
      <c r="K331">
        <v>10</v>
      </c>
      <c r="L331" s="9" t="s">
        <v>410</v>
      </c>
      <c r="M331" s="9" t="s">
        <v>199</v>
      </c>
      <c r="N331" s="9" t="s">
        <v>37</v>
      </c>
      <c r="O331" s="9" t="s">
        <v>208</v>
      </c>
      <c r="P331" s="9" t="s">
        <v>199</v>
      </c>
      <c r="Q331" s="9" t="s">
        <v>28</v>
      </c>
      <c r="R331" s="9" t="s">
        <v>29</v>
      </c>
      <c r="S331">
        <v>0</v>
      </c>
      <c r="T331">
        <v>49</v>
      </c>
      <c r="U331" s="9" t="s">
        <v>411</v>
      </c>
      <c r="V331" s="9" t="s">
        <v>756</v>
      </c>
      <c r="W331">
        <v>49</v>
      </c>
      <c r="X331" s="9" t="s">
        <v>757</v>
      </c>
      <c r="Y331">
        <v>207</v>
      </c>
      <c r="Z331" s="9" t="s">
        <v>754</v>
      </c>
      <c r="AA331" s="9" t="s">
        <v>56</v>
      </c>
      <c r="AB331" s="9" t="s">
        <v>405</v>
      </c>
      <c r="AC331" s="9" t="s">
        <v>6</v>
      </c>
      <c r="AD331" s="9" t="s">
        <v>113</v>
      </c>
      <c r="AE331" s="9">
        <f>IF(Table5[[#This Row],[Team_Name]]=Table5[[#This Row],[Correct_Winner]],1,0)</f>
        <v>0</v>
      </c>
    </row>
    <row r="332" spans="1:31" x14ac:dyDescent="0.3">
      <c r="A332" s="9" t="s">
        <v>197</v>
      </c>
      <c r="B332">
        <v>2016</v>
      </c>
      <c r="C332" s="9" t="s">
        <v>336</v>
      </c>
      <c r="D332" s="9" t="s">
        <v>755</v>
      </c>
      <c r="E332" s="9" t="s">
        <v>412</v>
      </c>
      <c r="F332" s="2" t="s">
        <v>277</v>
      </c>
      <c r="G332">
        <v>124</v>
      </c>
      <c r="H332">
        <v>6</v>
      </c>
      <c r="I332" t="str">
        <f>Clean_Data!$I332</f>
        <v>Sylhet Sunrisers</v>
      </c>
      <c r="J332">
        <v>128</v>
      </c>
      <c r="K332">
        <v>1</v>
      </c>
      <c r="L332" s="9" t="s">
        <v>253</v>
      </c>
      <c r="M332" s="9" t="s">
        <v>113</v>
      </c>
      <c r="N332" s="9" t="s">
        <v>37</v>
      </c>
      <c r="O332" s="9" t="s">
        <v>245</v>
      </c>
      <c r="P332" s="9" t="s">
        <v>179</v>
      </c>
      <c r="Q332" s="9" t="s">
        <v>28</v>
      </c>
      <c r="R332" s="9" t="s">
        <v>29</v>
      </c>
      <c r="S332">
        <v>9</v>
      </c>
      <c r="T332">
        <v>0</v>
      </c>
      <c r="U332" s="9" t="s">
        <v>71</v>
      </c>
      <c r="V332" s="9" t="s">
        <v>752</v>
      </c>
      <c r="W332">
        <v>9</v>
      </c>
      <c r="X332" s="9" t="s">
        <v>753</v>
      </c>
      <c r="Y332">
        <v>252</v>
      </c>
      <c r="Z332" s="9" t="s">
        <v>754</v>
      </c>
      <c r="AA332" s="9" t="s">
        <v>39</v>
      </c>
      <c r="AB332" s="9" t="s">
        <v>147</v>
      </c>
      <c r="AC332" s="9" t="s">
        <v>3</v>
      </c>
      <c r="AD332" s="9" t="s">
        <v>113</v>
      </c>
      <c r="AE332" s="9">
        <f>IF(Table5[[#This Row],[Team_Name]]=Table5[[#This Row],[Correct_Winner]],1,0)</f>
        <v>0</v>
      </c>
    </row>
    <row r="333" spans="1:31" x14ac:dyDescent="0.3">
      <c r="A333" s="9" t="s">
        <v>197</v>
      </c>
      <c r="B333">
        <v>2016</v>
      </c>
      <c r="C333" s="9" t="s">
        <v>336</v>
      </c>
      <c r="D333" s="9" t="s">
        <v>755</v>
      </c>
      <c r="E333" s="9" t="s">
        <v>412</v>
      </c>
      <c r="F333" s="3" t="s">
        <v>280</v>
      </c>
      <c r="G333">
        <v>124</v>
      </c>
      <c r="H333">
        <v>6</v>
      </c>
      <c r="I333" t="str">
        <f>Clean_Data!$I333</f>
        <v>Minister Group Dhaka</v>
      </c>
      <c r="J333">
        <v>128</v>
      </c>
      <c r="K333">
        <v>1</v>
      </c>
      <c r="L333" s="9" t="s">
        <v>253</v>
      </c>
      <c r="M333" s="9" t="s">
        <v>113</v>
      </c>
      <c r="N333" s="9" t="s">
        <v>37</v>
      </c>
      <c r="O333" s="9" t="s">
        <v>245</v>
      </c>
      <c r="P333" s="9" t="s">
        <v>179</v>
      </c>
      <c r="Q333" s="9" t="s">
        <v>28</v>
      </c>
      <c r="R333" s="9" t="s">
        <v>29</v>
      </c>
      <c r="S333">
        <v>9</v>
      </c>
      <c r="T333">
        <v>0</v>
      </c>
      <c r="U333" s="9" t="s">
        <v>71</v>
      </c>
      <c r="V333" s="9" t="s">
        <v>752</v>
      </c>
      <c r="W333">
        <v>9</v>
      </c>
      <c r="X333" s="9" t="s">
        <v>753</v>
      </c>
      <c r="Y333">
        <v>252</v>
      </c>
      <c r="Z333" s="9" t="s">
        <v>754</v>
      </c>
      <c r="AA333" s="9" t="s">
        <v>39</v>
      </c>
      <c r="AB333" s="9" t="s">
        <v>147</v>
      </c>
      <c r="AC333" s="9" t="s">
        <v>6</v>
      </c>
      <c r="AD333" s="9" t="s">
        <v>179</v>
      </c>
      <c r="AE333" s="9">
        <f>IF(Table5[[#This Row],[Team_Name]]=Table5[[#This Row],[Correct_Winner]],1,0)</f>
        <v>1</v>
      </c>
    </row>
    <row r="334" spans="1:31" x14ac:dyDescent="0.3">
      <c r="A334" s="9" t="s">
        <v>197</v>
      </c>
      <c r="B334">
        <v>2016</v>
      </c>
      <c r="C334" s="9" t="s">
        <v>45</v>
      </c>
      <c r="D334" s="9" t="s">
        <v>755</v>
      </c>
      <c r="E334" s="9" t="s">
        <v>412</v>
      </c>
      <c r="F334" s="2" t="s">
        <v>310</v>
      </c>
      <c r="G334">
        <v>132</v>
      </c>
      <c r="H334">
        <v>6</v>
      </c>
      <c r="I334" t="str">
        <f>Clean_Data!$I334</f>
        <v>Sylhet Sunrisers</v>
      </c>
      <c r="J334">
        <v>135</v>
      </c>
      <c r="K334">
        <v>6</v>
      </c>
      <c r="L334" s="9" t="s">
        <v>108</v>
      </c>
      <c r="M334" s="9" t="s">
        <v>142</v>
      </c>
      <c r="N334" s="9" t="s">
        <v>37</v>
      </c>
      <c r="O334" s="9" t="s">
        <v>193</v>
      </c>
      <c r="P334" s="9" t="s">
        <v>160</v>
      </c>
      <c r="Q334" s="9" t="s">
        <v>28</v>
      </c>
      <c r="R334" s="9" t="s">
        <v>29</v>
      </c>
      <c r="S334">
        <v>4</v>
      </c>
      <c r="T334">
        <v>0</v>
      </c>
      <c r="U334" s="9" t="s">
        <v>90</v>
      </c>
      <c r="V334" s="9" t="s">
        <v>752</v>
      </c>
      <c r="W334">
        <v>4</v>
      </c>
      <c r="X334" s="9" t="s">
        <v>753</v>
      </c>
      <c r="Y334">
        <v>267</v>
      </c>
      <c r="Z334" s="9" t="s">
        <v>754</v>
      </c>
      <c r="AA334" s="9" t="s">
        <v>202</v>
      </c>
      <c r="AB334" s="9" t="s">
        <v>66</v>
      </c>
      <c r="AC334" s="9" t="s">
        <v>3</v>
      </c>
      <c r="AD334" s="9" t="s">
        <v>142</v>
      </c>
      <c r="AE334" s="9">
        <f>IF(Table5[[#This Row],[Team_Name]]=Table5[[#This Row],[Correct_Winner]],1,0)</f>
        <v>0</v>
      </c>
    </row>
    <row r="335" spans="1:31" x14ac:dyDescent="0.3">
      <c r="A335" s="9" t="s">
        <v>197</v>
      </c>
      <c r="B335">
        <v>2016</v>
      </c>
      <c r="C335" s="9" t="s">
        <v>45</v>
      </c>
      <c r="D335" s="9" t="s">
        <v>755</v>
      </c>
      <c r="E335" s="9" t="s">
        <v>412</v>
      </c>
      <c r="F335" s="3" t="s">
        <v>277</v>
      </c>
      <c r="G335">
        <v>132</v>
      </c>
      <c r="H335">
        <v>6</v>
      </c>
      <c r="I335" t="str">
        <f>Clean_Data!$I335</f>
        <v>Minister Group Dhaka</v>
      </c>
      <c r="J335">
        <v>135</v>
      </c>
      <c r="K335">
        <v>6</v>
      </c>
      <c r="L335" s="9" t="s">
        <v>108</v>
      </c>
      <c r="M335" s="9" t="s">
        <v>142</v>
      </c>
      <c r="N335" s="9" t="s">
        <v>37</v>
      </c>
      <c r="O335" s="9" t="s">
        <v>193</v>
      </c>
      <c r="P335" s="9" t="s">
        <v>160</v>
      </c>
      <c r="Q335" s="9" t="s">
        <v>28</v>
      </c>
      <c r="R335" s="9" t="s">
        <v>29</v>
      </c>
      <c r="S335">
        <v>4</v>
      </c>
      <c r="T335">
        <v>0</v>
      </c>
      <c r="U335" s="9" t="s">
        <v>90</v>
      </c>
      <c r="V335" s="9" t="s">
        <v>752</v>
      </c>
      <c r="W335">
        <v>4</v>
      </c>
      <c r="X335" s="9" t="s">
        <v>753</v>
      </c>
      <c r="Y335">
        <v>267</v>
      </c>
      <c r="Z335" s="9" t="s">
        <v>754</v>
      </c>
      <c r="AA335" s="9" t="s">
        <v>202</v>
      </c>
      <c r="AB335" s="9" t="s">
        <v>66</v>
      </c>
      <c r="AC335" s="9" t="s">
        <v>6</v>
      </c>
      <c r="AD335" s="9" t="s">
        <v>160</v>
      </c>
      <c r="AE335" s="9">
        <f>IF(Table5[[#This Row],[Team_Name]]=Table5[[#This Row],[Correct_Winner]],1,0)</f>
        <v>1</v>
      </c>
    </row>
    <row r="336" spans="1:31" x14ac:dyDescent="0.3">
      <c r="A336" s="9" t="s">
        <v>197</v>
      </c>
      <c r="B336">
        <v>2016</v>
      </c>
      <c r="C336" s="9" t="s">
        <v>51</v>
      </c>
      <c r="D336" s="9" t="s">
        <v>755</v>
      </c>
      <c r="E336" s="9" t="s">
        <v>413</v>
      </c>
      <c r="F336" s="2" t="s">
        <v>307</v>
      </c>
      <c r="G336">
        <v>154</v>
      </c>
      <c r="H336">
        <v>8</v>
      </c>
      <c r="I336" t="str">
        <f>Clean_Data!$I336</f>
        <v>Comilla Victorians</v>
      </c>
      <c r="J336">
        <v>145</v>
      </c>
      <c r="K336">
        <v>6</v>
      </c>
      <c r="L336" s="9" t="s">
        <v>213</v>
      </c>
      <c r="M336" s="9" t="s">
        <v>199</v>
      </c>
      <c r="N336" s="9" t="s">
        <v>37</v>
      </c>
      <c r="O336" s="9" t="s">
        <v>208</v>
      </c>
      <c r="P336" s="9" t="s">
        <v>199</v>
      </c>
      <c r="Q336" s="9" t="s">
        <v>28</v>
      </c>
      <c r="R336" s="9" t="s">
        <v>29</v>
      </c>
      <c r="S336">
        <v>0</v>
      </c>
      <c r="T336">
        <v>9</v>
      </c>
      <c r="U336" s="9" t="s">
        <v>38</v>
      </c>
      <c r="V336" s="9" t="s">
        <v>756</v>
      </c>
      <c r="W336">
        <v>9</v>
      </c>
      <c r="X336" s="9" t="s">
        <v>753</v>
      </c>
      <c r="Y336">
        <v>299</v>
      </c>
      <c r="Z336" s="9" t="s">
        <v>754</v>
      </c>
      <c r="AA336" s="9" t="s">
        <v>50</v>
      </c>
      <c r="AB336" s="9" t="s">
        <v>405</v>
      </c>
      <c r="AC336" s="9" t="s">
        <v>3</v>
      </c>
      <c r="AD336" s="9" t="s">
        <v>199</v>
      </c>
      <c r="AE336" s="9">
        <f>IF(Table5[[#This Row],[Team_Name]]=Table5[[#This Row],[Correct_Winner]],1,0)</f>
        <v>1</v>
      </c>
    </row>
    <row r="337" spans="1:31" x14ac:dyDescent="0.3">
      <c r="A337" s="9" t="s">
        <v>197</v>
      </c>
      <c r="B337">
        <v>2016</v>
      </c>
      <c r="C337" s="9" t="s">
        <v>51</v>
      </c>
      <c r="D337" s="9" t="s">
        <v>755</v>
      </c>
      <c r="E337" s="9" t="s">
        <v>413</v>
      </c>
      <c r="F337" s="3" t="s">
        <v>143</v>
      </c>
      <c r="G337">
        <v>154</v>
      </c>
      <c r="H337">
        <v>8</v>
      </c>
      <c r="I337" t="str">
        <f>Clean_Data!$I337</f>
        <v>Khulna Tigers</v>
      </c>
      <c r="J337">
        <v>145</v>
      </c>
      <c r="K337">
        <v>6</v>
      </c>
      <c r="L337" s="9" t="s">
        <v>213</v>
      </c>
      <c r="M337" s="9" t="s">
        <v>199</v>
      </c>
      <c r="N337" s="9" t="s">
        <v>37</v>
      </c>
      <c r="O337" s="9" t="s">
        <v>208</v>
      </c>
      <c r="P337" s="9" t="s">
        <v>199</v>
      </c>
      <c r="Q337" s="9" t="s">
        <v>28</v>
      </c>
      <c r="R337" s="9" t="s">
        <v>29</v>
      </c>
      <c r="S337">
        <v>0</v>
      </c>
      <c r="T337">
        <v>9</v>
      </c>
      <c r="U337" s="9" t="s">
        <v>38</v>
      </c>
      <c r="V337" s="9" t="s">
        <v>756</v>
      </c>
      <c r="W337">
        <v>9</v>
      </c>
      <c r="X337" s="9" t="s">
        <v>753</v>
      </c>
      <c r="Y337">
        <v>299</v>
      </c>
      <c r="Z337" s="9" t="s">
        <v>754</v>
      </c>
      <c r="AA337" s="9" t="s">
        <v>50</v>
      </c>
      <c r="AB337" s="9" t="s">
        <v>405</v>
      </c>
      <c r="AC337" s="9" t="s">
        <v>6</v>
      </c>
      <c r="AD337" s="9" t="s">
        <v>206</v>
      </c>
      <c r="AE337" s="9">
        <f>IF(Table5[[#This Row],[Team_Name]]=Table5[[#This Row],[Correct_Winner]],1,0)</f>
        <v>0</v>
      </c>
    </row>
    <row r="338" spans="1:31" x14ac:dyDescent="0.3">
      <c r="A338" s="9" t="s">
        <v>197</v>
      </c>
      <c r="B338">
        <v>2016</v>
      </c>
      <c r="C338" s="9" t="s">
        <v>58</v>
      </c>
      <c r="D338" s="9" t="s">
        <v>755</v>
      </c>
      <c r="E338" s="9" t="s">
        <v>413</v>
      </c>
      <c r="F338" s="2" t="s">
        <v>312</v>
      </c>
      <c r="G338">
        <v>170</v>
      </c>
      <c r="H338">
        <v>4</v>
      </c>
      <c r="I338" t="str">
        <f>Clean_Data!$I338</f>
        <v>Fortune Barishal</v>
      </c>
      <c r="J338">
        <v>138</v>
      </c>
      <c r="K338">
        <v>8</v>
      </c>
      <c r="L338" s="9" t="s">
        <v>108</v>
      </c>
      <c r="M338" s="9" t="s">
        <v>160</v>
      </c>
      <c r="N338" s="9" t="s">
        <v>37</v>
      </c>
      <c r="O338" s="9" t="s">
        <v>193</v>
      </c>
      <c r="P338" s="9" t="s">
        <v>160</v>
      </c>
      <c r="Q338" s="9" t="s">
        <v>28</v>
      </c>
      <c r="R338" s="9" t="s">
        <v>29</v>
      </c>
      <c r="S338">
        <v>0</v>
      </c>
      <c r="T338">
        <v>32</v>
      </c>
      <c r="U338" s="9" t="s">
        <v>414</v>
      </c>
      <c r="V338" s="9" t="s">
        <v>756</v>
      </c>
      <c r="W338">
        <v>32</v>
      </c>
      <c r="X338" s="9" t="s">
        <v>757</v>
      </c>
      <c r="Y338">
        <v>308</v>
      </c>
      <c r="Z338" s="9" t="s">
        <v>754</v>
      </c>
      <c r="AA338" s="9" t="s">
        <v>202</v>
      </c>
      <c r="AB338" s="9" t="s">
        <v>39</v>
      </c>
      <c r="AC338" s="9" t="s">
        <v>3</v>
      </c>
      <c r="AD338" s="9" t="s">
        <v>160</v>
      </c>
      <c r="AE338" s="9">
        <f>IF(Table5[[#This Row],[Team_Name]]=Table5[[#This Row],[Correct_Winner]],1,0)</f>
        <v>1</v>
      </c>
    </row>
    <row r="339" spans="1:31" x14ac:dyDescent="0.3">
      <c r="A339" s="9" t="s">
        <v>197</v>
      </c>
      <c r="B339">
        <v>2016</v>
      </c>
      <c r="C339" s="9" t="s">
        <v>58</v>
      </c>
      <c r="D339" s="9" t="s">
        <v>755</v>
      </c>
      <c r="E339" s="9" t="s">
        <v>413</v>
      </c>
      <c r="F339" s="3" t="s">
        <v>307</v>
      </c>
      <c r="G339">
        <v>170</v>
      </c>
      <c r="H339">
        <v>4</v>
      </c>
      <c r="I339" t="str">
        <f>Clean_Data!$I339</f>
        <v>Chattogram Challengers</v>
      </c>
      <c r="J339">
        <v>138</v>
      </c>
      <c r="K339">
        <v>8</v>
      </c>
      <c r="L339" s="9" t="s">
        <v>108</v>
      </c>
      <c r="M339" s="9" t="s">
        <v>160</v>
      </c>
      <c r="N339" s="9" t="s">
        <v>37</v>
      </c>
      <c r="O339" s="9" t="s">
        <v>193</v>
      </c>
      <c r="P339" s="9" t="s">
        <v>160</v>
      </c>
      <c r="Q339" s="9" t="s">
        <v>28</v>
      </c>
      <c r="R339" s="9" t="s">
        <v>29</v>
      </c>
      <c r="S339">
        <v>0</v>
      </c>
      <c r="T339">
        <v>32</v>
      </c>
      <c r="U339" s="9" t="s">
        <v>414</v>
      </c>
      <c r="V339" s="9" t="s">
        <v>756</v>
      </c>
      <c r="W339">
        <v>32</v>
      </c>
      <c r="X339" s="9" t="s">
        <v>757</v>
      </c>
      <c r="Y339">
        <v>308</v>
      </c>
      <c r="Z339" s="9" t="s">
        <v>754</v>
      </c>
      <c r="AA339" s="9" t="s">
        <v>202</v>
      </c>
      <c r="AB339" s="9" t="s">
        <v>39</v>
      </c>
      <c r="AC339" s="9" t="s">
        <v>6</v>
      </c>
      <c r="AD339" s="9" t="s">
        <v>143</v>
      </c>
      <c r="AE339" s="9">
        <f>IF(Table5[[#This Row],[Team_Name]]=Table5[[#This Row],[Correct_Winner]],1,0)</f>
        <v>0</v>
      </c>
    </row>
    <row r="340" spans="1:31" x14ac:dyDescent="0.3">
      <c r="A340" s="9" t="s">
        <v>197</v>
      </c>
      <c r="B340">
        <v>2016</v>
      </c>
      <c r="C340" s="9" t="s">
        <v>60</v>
      </c>
      <c r="D340" s="9" t="s">
        <v>755</v>
      </c>
      <c r="E340" s="9" t="s">
        <v>415</v>
      </c>
      <c r="F340" s="2" t="s">
        <v>143</v>
      </c>
      <c r="G340">
        <v>119</v>
      </c>
      <c r="H340">
        <v>5</v>
      </c>
      <c r="I340" t="str">
        <f>Clean_Data!$I340</f>
        <v>Khulna Tigers</v>
      </c>
      <c r="J340">
        <v>120</v>
      </c>
      <c r="K340">
        <v>4</v>
      </c>
      <c r="L340" s="9" t="s">
        <v>416</v>
      </c>
      <c r="M340" s="9" t="s">
        <v>142</v>
      </c>
      <c r="N340" s="9" t="s">
        <v>37</v>
      </c>
      <c r="O340" s="9" t="s">
        <v>215</v>
      </c>
      <c r="P340" s="9" t="s">
        <v>206</v>
      </c>
      <c r="Q340" s="9" t="s">
        <v>28</v>
      </c>
      <c r="R340" s="9" t="s">
        <v>29</v>
      </c>
      <c r="S340">
        <v>6</v>
      </c>
      <c r="T340">
        <v>0</v>
      </c>
      <c r="U340" s="9" t="s">
        <v>151</v>
      </c>
      <c r="V340" s="9" t="s">
        <v>752</v>
      </c>
      <c r="W340">
        <v>6</v>
      </c>
      <c r="X340" s="9" t="s">
        <v>753</v>
      </c>
      <c r="Y340">
        <v>239</v>
      </c>
      <c r="Z340" s="9" t="s">
        <v>754</v>
      </c>
      <c r="AA340" s="9" t="s">
        <v>72</v>
      </c>
      <c r="AB340" s="9" t="s">
        <v>202</v>
      </c>
      <c r="AC340" s="9" t="s">
        <v>3</v>
      </c>
      <c r="AD340" s="9" t="s">
        <v>142</v>
      </c>
      <c r="AE340" s="9">
        <f>IF(Table5[[#This Row],[Team_Name]]=Table5[[#This Row],[Correct_Winner]],1,0)</f>
        <v>0</v>
      </c>
    </row>
    <row r="341" spans="1:31" x14ac:dyDescent="0.3">
      <c r="A341" s="9" t="s">
        <v>197</v>
      </c>
      <c r="B341">
        <v>2016</v>
      </c>
      <c r="C341" s="9" t="s">
        <v>60</v>
      </c>
      <c r="D341" s="9" t="s">
        <v>755</v>
      </c>
      <c r="E341" s="9" t="s">
        <v>415</v>
      </c>
      <c r="F341" s="3" t="s">
        <v>280</v>
      </c>
      <c r="G341">
        <v>119</v>
      </c>
      <c r="H341">
        <v>5</v>
      </c>
      <c r="I341" t="str">
        <f>Clean_Data!$I341</f>
        <v>Khulna Tigers</v>
      </c>
      <c r="J341">
        <v>120</v>
      </c>
      <c r="K341">
        <v>4</v>
      </c>
      <c r="L341" s="9" t="s">
        <v>416</v>
      </c>
      <c r="M341" s="9" t="s">
        <v>142</v>
      </c>
      <c r="N341" s="9" t="s">
        <v>37</v>
      </c>
      <c r="O341" s="9" t="s">
        <v>215</v>
      </c>
      <c r="P341" s="9" t="s">
        <v>206</v>
      </c>
      <c r="Q341" s="9" t="s">
        <v>28</v>
      </c>
      <c r="R341" s="9" t="s">
        <v>29</v>
      </c>
      <c r="S341">
        <v>6</v>
      </c>
      <c r="T341">
        <v>0</v>
      </c>
      <c r="U341" s="9" t="s">
        <v>151</v>
      </c>
      <c r="V341" s="9" t="s">
        <v>752</v>
      </c>
      <c r="W341">
        <v>6</v>
      </c>
      <c r="X341" s="9" t="s">
        <v>753</v>
      </c>
      <c r="Y341">
        <v>239</v>
      </c>
      <c r="Z341" s="9" t="s">
        <v>754</v>
      </c>
      <c r="AA341" s="9" t="s">
        <v>72</v>
      </c>
      <c r="AB341" s="9" t="s">
        <v>202</v>
      </c>
      <c r="AC341" s="9" t="s">
        <v>6</v>
      </c>
      <c r="AD341" s="9" t="s">
        <v>206</v>
      </c>
      <c r="AE341" s="9">
        <f>IF(Table5[[#This Row],[Team_Name]]=Table5[[#This Row],[Correct_Winner]],1,0)</f>
        <v>1</v>
      </c>
    </row>
    <row r="342" spans="1:31" x14ac:dyDescent="0.3">
      <c r="A342" s="9" t="s">
        <v>197</v>
      </c>
      <c r="B342">
        <v>2016</v>
      </c>
      <c r="C342" s="9" t="s">
        <v>67</v>
      </c>
      <c r="D342" s="9" t="s">
        <v>755</v>
      </c>
      <c r="E342" s="9" t="s">
        <v>415</v>
      </c>
      <c r="F342" s="2" t="s">
        <v>310</v>
      </c>
      <c r="G342">
        <v>162</v>
      </c>
      <c r="H342">
        <v>5</v>
      </c>
      <c r="I342" t="str">
        <f>Clean_Data!$I342</f>
        <v>Comilla Victorians</v>
      </c>
      <c r="J342">
        <v>150</v>
      </c>
      <c r="K342">
        <v>5</v>
      </c>
      <c r="L342" s="9" t="s">
        <v>213</v>
      </c>
      <c r="M342" s="9" t="s">
        <v>113</v>
      </c>
      <c r="N342" s="9" t="s">
        <v>26</v>
      </c>
      <c r="O342" s="9" t="s">
        <v>208</v>
      </c>
      <c r="P342" s="9" t="s">
        <v>199</v>
      </c>
      <c r="Q342" s="9" t="s">
        <v>28</v>
      </c>
      <c r="R342" s="9" t="s">
        <v>29</v>
      </c>
      <c r="S342">
        <v>0</v>
      </c>
      <c r="T342">
        <v>12</v>
      </c>
      <c r="U342" s="9" t="s">
        <v>417</v>
      </c>
      <c r="V342" s="9" t="s">
        <v>756</v>
      </c>
      <c r="W342">
        <v>12</v>
      </c>
      <c r="X342" s="9" t="s">
        <v>757</v>
      </c>
      <c r="Y342">
        <v>312</v>
      </c>
      <c r="Z342" s="9" t="s">
        <v>754</v>
      </c>
      <c r="AA342" s="9" t="s">
        <v>147</v>
      </c>
      <c r="AB342" s="9" t="s">
        <v>44</v>
      </c>
      <c r="AC342" s="9" t="s">
        <v>3</v>
      </c>
      <c r="AD342" s="9" t="s">
        <v>199</v>
      </c>
      <c r="AE342" s="9">
        <f>IF(Table5[[#This Row],[Team_Name]]=Table5[[#This Row],[Correct_Winner]],1,0)</f>
        <v>1</v>
      </c>
    </row>
    <row r="343" spans="1:31" x14ac:dyDescent="0.3">
      <c r="A343" s="9" t="s">
        <v>197</v>
      </c>
      <c r="B343">
        <v>2016</v>
      </c>
      <c r="C343" s="9" t="s">
        <v>67</v>
      </c>
      <c r="D343" s="9" t="s">
        <v>755</v>
      </c>
      <c r="E343" s="9" t="s">
        <v>415</v>
      </c>
      <c r="F343" s="3" t="s">
        <v>280</v>
      </c>
      <c r="G343">
        <v>162</v>
      </c>
      <c r="H343">
        <v>5</v>
      </c>
      <c r="I343" t="str">
        <f>Clean_Data!$I343</f>
        <v>Comilla Victorians</v>
      </c>
      <c r="J343">
        <v>150</v>
      </c>
      <c r="K343">
        <v>5</v>
      </c>
      <c r="L343" s="9" t="s">
        <v>213</v>
      </c>
      <c r="M343" s="9" t="s">
        <v>113</v>
      </c>
      <c r="N343" s="9" t="s">
        <v>26</v>
      </c>
      <c r="O343" s="9" t="s">
        <v>208</v>
      </c>
      <c r="P343" s="9" t="s">
        <v>199</v>
      </c>
      <c r="Q343" s="9" t="s">
        <v>28</v>
      </c>
      <c r="R343" s="9" t="s">
        <v>29</v>
      </c>
      <c r="S343">
        <v>0</v>
      </c>
      <c r="T343">
        <v>12</v>
      </c>
      <c r="U343" s="9" t="s">
        <v>417</v>
      </c>
      <c r="V343" s="9" t="s">
        <v>756</v>
      </c>
      <c r="W343">
        <v>12</v>
      </c>
      <c r="X343" s="9" t="s">
        <v>757</v>
      </c>
      <c r="Y343">
        <v>312</v>
      </c>
      <c r="Z343" s="9" t="s">
        <v>754</v>
      </c>
      <c r="AA343" s="9" t="s">
        <v>147</v>
      </c>
      <c r="AB343" s="9" t="s">
        <v>44</v>
      </c>
      <c r="AC343" s="9" t="s">
        <v>6</v>
      </c>
      <c r="AD343" s="9" t="s">
        <v>113</v>
      </c>
      <c r="AE343" s="9">
        <f>IF(Table5[[#This Row],[Team_Name]]=Table5[[#This Row],[Correct_Winner]],1,0)</f>
        <v>0</v>
      </c>
    </row>
    <row r="344" spans="1:31" x14ac:dyDescent="0.3">
      <c r="A344" s="9" t="s">
        <v>197</v>
      </c>
      <c r="B344">
        <v>2016</v>
      </c>
      <c r="C344" s="9" t="s">
        <v>68</v>
      </c>
      <c r="D344" s="9" t="s">
        <v>755</v>
      </c>
      <c r="E344" s="9" t="s">
        <v>418</v>
      </c>
      <c r="F344" s="2" t="s">
        <v>143</v>
      </c>
      <c r="G344">
        <v>185</v>
      </c>
      <c r="H344">
        <v>5</v>
      </c>
      <c r="I344" t="str">
        <f>Clean_Data!$I344</f>
        <v>Fortune Barishal</v>
      </c>
      <c r="J344">
        <v>107</v>
      </c>
      <c r="K344">
        <v>10</v>
      </c>
      <c r="L344" s="9" t="s">
        <v>381</v>
      </c>
      <c r="M344" s="9" t="s">
        <v>179</v>
      </c>
      <c r="N344" s="9" t="s">
        <v>37</v>
      </c>
      <c r="O344" s="9" t="s">
        <v>245</v>
      </c>
      <c r="P344" s="9" t="s">
        <v>179</v>
      </c>
      <c r="Q344" s="9" t="s">
        <v>88</v>
      </c>
      <c r="R344" s="9" t="s">
        <v>89</v>
      </c>
      <c r="S344">
        <v>0</v>
      </c>
      <c r="T344">
        <v>78</v>
      </c>
      <c r="U344" s="9" t="s">
        <v>419</v>
      </c>
      <c r="V344" s="9" t="s">
        <v>756</v>
      </c>
      <c r="W344">
        <v>78</v>
      </c>
      <c r="X344" s="9" t="s">
        <v>757</v>
      </c>
      <c r="Y344">
        <v>292</v>
      </c>
      <c r="Z344" s="9" t="s">
        <v>754</v>
      </c>
      <c r="AA344" s="9" t="s">
        <v>56</v>
      </c>
      <c r="AB344" s="9" t="s">
        <v>147</v>
      </c>
      <c r="AC344" s="9" t="s">
        <v>3</v>
      </c>
      <c r="AD344" s="9" t="s">
        <v>179</v>
      </c>
      <c r="AE344" s="9">
        <f>IF(Table5[[#This Row],[Team_Name]]=Table5[[#This Row],[Correct_Winner]],1,0)</f>
        <v>1</v>
      </c>
    </row>
    <row r="345" spans="1:31" x14ac:dyDescent="0.3">
      <c r="A345" s="9" t="s">
        <v>197</v>
      </c>
      <c r="B345">
        <v>2016</v>
      </c>
      <c r="C345" s="9" t="s">
        <v>68</v>
      </c>
      <c r="D345" s="9" t="s">
        <v>755</v>
      </c>
      <c r="E345" s="9" t="s">
        <v>418</v>
      </c>
      <c r="F345" s="3" t="s">
        <v>280</v>
      </c>
      <c r="G345">
        <v>185</v>
      </c>
      <c r="H345">
        <v>5</v>
      </c>
      <c r="I345" t="str">
        <f>Clean_Data!$I345</f>
        <v>Sylhet Strikers</v>
      </c>
      <c r="J345">
        <v>107</v>
      </c>
      <c r="K345">
        <v>10</v>
      </c>
      <c r="L345" s="9" t="s">
        <v>381</v>
      </c>
      <c r="M345" s="9" t="s">
        <v>179</v>
      </c>
      <c r="N345" s="9" t="s">
        <v>37</v>
      </c>
      <c r="O345" s="9" t="s">
        <v>245</v>
      </c>
      <c r="P345" s="9" t="s">
        <v>179</v>
      </c>
      <c r="Q345" s="9" t="s">
        <v>88</v>
      </c>
      <c r="R345" s="9" t="s">
        <v>89</v>
      </c>
      <c r="S345">
        <v>0</v>
      </c>
      <c r="T345">
        <v>78</v>
      </c>
      <c r="U345" s="9" t="s">
        <v>419</v>
      </c>
      <c r="V345" s="9" t="s">
        <v>756</v>
      </c>
      <c r="W345">
        <v>78</v>
      </c>
      <c r="X345" s="9" t="s">
        <v>757</v>
      </c>
      <c r="Y345">
        <v>292</v>
      </c>
      <c r="Z345" s="9" t="s">
        <v>754</v>
      </c>
      <c r="AA345" s="9" t="s">
        <v>56</v>
      </c>
      <c r="AB345" s="9" t="s">
        <v>147</v>
      </c>
      <c r="AC345" s="9" t="s">
        <v>6</v>
      </c>
      <c r="AD345" s="9" t="s">
        <v>142</v>
      </c>
      <c r="AE345" s="9">
        <f>IF(Table5[[#This Row],[Team_Name]]=Table5[[#This Row],[Correct_Winner]],1,0)</f>
        <v>0</v>
      </c>
    </row>
    <row r="346" spans="1:31" x14ac:dyDescent="0.3">
      <c r="A346" s="9" t="s">
        <v>197</v>
      </c>
      <c r="B346">
        <v>2016</v>
      </c>
      <c r="C346" s="9" t="s">
        <v>78</v>
      </c>
      <c r="D346" s="9" t="s">
        <v>755</v>
      </c>
      <c r="E346" s="9" t="s">
        <v>418</v>
      </c>
      <c r="F346" s="2" t="s">
        <v>295</v>
      </c>
      <c r="G346">
        <v>125</v>
      </c>
      <c r="H346">
        <v>7</v>
      </c>
      <c r="I346" t="str">
        <f>Clean_Data!$I346</f>
        <v>Comilla Victorians</v>
      </c>
      <c r="J346">
        <v>129</v>
      </c>
      <c r="K346">
        <v>3</v>
      </c>
      <c r="L346" s="9" t="s">
        <v>235</v>
      </c>
      <c r="M346" s="9" t="s">
        <v>206</v>
      </c>
      <c r="N346" s="9" t="s">
        <v>37</v>
      </c>
      <c r="O346" s="9" t="s">
        <v>189</v>
      </c>
      <c r="P346" s="9" t="s">
        <v>113</v>
      </c>
      <c r="Q346" s="9" t="s">
        <v>88</v>
      </c>
      <c r="R346" s="9" t="s">
        <v>89</v>
      </c>
      <c r="S346">
        <v>7</v>
      </c>
      <c r="T346">
        <v>0</v>
      </c>
      <c r="U346" s="9" t="s">
        <v>118</v>
      </c>
      <c r="V346" s="9" t="s">
        <v>752</v>
      </c>
      <c r="W346">
        <v>7</v>
      </c>
      <c r="X346" s="9" t="s">
        <v>753</v>
      </c>
      <c r="Y346">
        <v>254</v>
      </c>
      <c r="Z346" s="9" t="s">
        <v>754</v>
      </c>
      <c r="AA346" s="9" t="s">
        <v>202</v>
      </c>
      <c r="AB346" s="9" t="s">
        <v>216</v>
      </c>
      <c r="AC346" s="9" t="s">
        <v>3</v>
      </c>
      <c r="AD346" s="9" t="s">
        <v>206</v>
      </c>
      <c r="AE346" s="9">
        <f>IF(Table5[[#This Row],[Team_Name]]=Table5[[#This Row],[Correct_Winner]],1,0)</f>
        <v>0</v>
      </c>
    </row>
    <row r="347" spans="1:31" x14ac:dyDescent="0.3">
      <c r="A347" s="9" t="s">
        <v>197</v>
      </c>
      <c r="B347">
        <v>2016</v>
      </c>
      <c r="C347" s="9" t="s">
        <v>78</v>
      </c>
      <c r="D347" s="9" t="s">
        <v>755</v>
      </c>
      <c r="E347" s="9" t="s">
        <v>418</v>
      </c>
      <c r="F347" s="3" t="s">
        <v>277</v>
      </c>
      <c r="G347">
        <v>125</v>
      </c>
      <c r="H347">
        <v>7</v>
      </c>
      <c r="I347" t="str">
        <f>Clean_Data!$I347</f>
        <v>Dhaka Dominators</v>
      </c>
      <c r="J347">
        <v>129</v>
      </c>
      <c r="K347">
        <v>3</v>
      </c>
      <c r="L347" s="9" t="s">
        <v>235</v>
      </c>
      <c r="M347" s="9" t="s">
        <v>206</v>
      </c>
      <c r="N347" s="9" t="s">
        <v>37</v>
      </c>
      <c r="O347" s="9" t="s">
        <v>189</v>
      </c>
      <c r="P347" s="9" t="s">
        <v>113</v>
      </c>
      <c r="Q347" s="9" t="s">
        <v>88</v>
      </c>
      <c r="R347" s="9" t="s">
        <v>89</v>
      </c>
      <c r="S347">
        <v>7</v>
      </c>
      <c r="T347">
        <v>0</v>
      </c>
      <c r="U347" s="9" t="s">
        <v>118</v>
      </c>
      <c r="V347" s="9" t="s">
        <v>752</v>
      </c>
      <c r="W347">
        <v>7</v>
      </c>
      <c r="X347" s="9" t="s">
        <v>753</v>
      </c>
      <c r="Y347">
        <v>254</v>
      </c>
      <c r="Z347" s="9" t="s">
        <v>754</v>
      </c>
      <c r="AA347" s="9" t="s">
        <v>202</v>
      </c>
      <c r="AB347" s="9" t="s">
        <v>216</v>
      </c>
      <c r="AC347" s="9" t="s">
        <v>6</v>
      </c>
      <c r="AD347" s="9" t="s">
        <v>113</v>
      </c>
      <c r="AE347" s="9">
        <f>IF(Table5[[#This Row],[Team_Name]]=Table5[[#This Row],[Correct_Winner]],1,0)</f>
        <v>1</v>
      </c>
    </row>
    <row r="348" spans="1:31" x14ac:dyDescent="0.3">
      <c r="A348" s="9" t="s">
        <v>197</v>
      </c>
      <c r="B348">
        <v>2016</v>
      </c>
      <c r="C348" s="9" t="s">
        <v>85</v>
      </c>
      <c r="D348" s="9" t="s">
        <v>755</v>
      </c>
      <c r="E348" s="9" t="s">
        <v>420</v>
      </c>
      <c r="F348" s="2" t="s">
        <v>310</v>
      </c>
      <c r="G348">
        <v>183</v>
      </c>
      <c r="H348">
        <v>3</v>
      </c>
      <c r="I348" t="str">
        <f>Clean_Data!$I348</f>
        <v>Sylhet Strikers</v>
      </c>
      <c r="J348">
        <v>186</v>
      </c>
      <c r="K348">
        <v>4</v>
      </c>
      <c r="L348" s="9" t="s">
        <v>356</v>
      </c>
      <c r="M348" s="9" t="s">
        <v>143</v>
      </c>
      <c r="N348" s="9" t="s">
        <v>37</v>
      </c>
      <c r="O348" s="9" t="s">
        <v>245</v>
      </c>
      <c r="P348" s="9" t="s">
        <v>179</v>
      </c>
      <c r="Q348" s="9" t="s">
        <v>88</v>
      </c>
      <c r="R348" s="9" t="s">
        <v>89</v>
      </c>
      <c r="S348">
        <v>6</v>
      </c>
      <c r="T348">
        <v>0</v>
      </c>
      <c r="U348" s="9" t="s">
        <v>151</v>
      </c>
      <c r="V348" s="9" t="s">
        <v>752</v>
      </c>
      <c r="W348">
        <v>6</v>
      </c>
      <c r="X348" s="9" t="s">
        <v>753</v>
      </c>
      <c r="Y348">
        <v>369</v>
      </c>
      <c r="Z348" s="9" t="s">
        <v>754</v>
      </c>
      <c r="AA348" s="9" t="s">
        <v>421</v>
      </c>
      <c r="AB348" s="9" t="s">
        <v>422</v>
      </c>
      <c r="AC348" s="9" t="s">
        <v>3</v>
      </c>
      <c r="AD348" s="9" t="s">
        <v>143</v>
      </c>
      <c r="AE348" s="9">
        <f>IF(Table5[[#This Row],[Team_Name]]=Table5[[#This Row],[Correct_Winner]],1,0)</f>
        <v>0</v>
      </c>
    </row>
    <row r="349" spans="1:31" x14ac:dyDescent="0.3">
      <c r="A349" s="9" t="s">
        <v>197</v>
      </c>
      <c r="B349">
        <v>2016</v>
      </c>
      <c r="C349" s="9" t="s">
        <v>85</v>
      </c>
      <c r="D349" s="9" t="s">
        <v>755</v>
      </c>
      <c r="E349" s="9" t="s">
        <v>420</v>
      </c>
      <c r="F349" s="3" t="s">
        <v>143</v>
      </c>
      <c r="G349">
        <v>183</v>
      </c>
      <c r="H349">
        <v>3</v>
      </c>
      <c r="I349" t="str">
        <f>Clean_Data!$I349</f>
        <v>Sylhet Strikers</v>
      </c>
      <c r="J349">
        <v>186</v>
      </c>
      <c r="K349">
        <v>4</v>
      </c>
      <c r="L349" s="9" t="s">
        <v>356</v>
      </c>
      <c r="M349" s="9" t="s">
        <v>143</v>
      </c>
      <c r="N349" s="9" t="s">
        <v>37</v>
      </c>
      <c r="O349" s="9" t="s">
        <v>245</v>
      </c>
      <c r="P349" s="9" t="s">
        <v>179</v>
      </c>
      <c r="Q349" s="9" t="s">
        <v>88</v>
      </c>
      <c r="R349" s="9" t="s">
        <v>89</v>
      </c>
      <c r="S349">
        <v>6</v>
      </c>
      <c r="T349">
        <v>0</v>
      </c>
      <c r="U349" s="9" t="s">
        <v>151</v>
      </c>
      <c r="V349" s="9" t="s">
        <v>752</v>
      </c>
      <c r="W349">
        <v>6</v>
      </c>
      <c r="X349" s="9" t="s">
        <v>753</v>
      </c>
      <c r="Y349">
        <v>369</v>
      </c>
      <c r="Z349" s="9" t="s">
        <v>754</v>
      </c>
      <c r="AA349" s="9" t="s">
        <v>421</v>
      </c>
      <c r="AB349" s="9" t="s">
        <v>422</v>
      </c>
      <c r="AC349" s="9" t="s">
        <v>6</v>
      </c>
      <c r="AD349" s="9" t="s">
        <v>179</v>
      </c>
      <c r="AE349" s="9">
        <f>IF(Table5[[#This Row],[Team_Name]]=Table5[[#This Row],[Correct_Winner]],1,0)</f>
        <v>1</v>
      </c>
    </row>
    <row r="350" spans="1:31" x14ac:dyDescent="0.3">
      <c r="A350" s="9" t="s">
        <v>197</v>
      </c>
      <c r="B350">
        <v>2016</v>
      </c>
      <c r="C350" s="9" t="s">
        <v>91</v>
      </c>
      <c r="D350" s="9" t="s">
        <v>755</v>
      </c>
      <c r="E350" s="9" t="s">
        <v>420</v>
      </c>
      <c r="F350" s="2" t="s">
        <v>277</v>
      </c>
      <c r="G350">
        <v>182</v>
      </c>
      <c r="H350">
        <v>4</v>
      </c>
      <c r="I350" t="str">
        <f>Clean_Data!$I350</f>
        <v>Chattogram Challengers</v>
      </c>
      <c r="J350">
        <v>184</v>
      </c>
      <c r="K350">
        <v>7</v>
      </c>
      <c r="L350" s="9" t="s">
        <v>207</v>
      </c>
      <c r="M350" s="9" t="s">
        <v>160</v>
      </c>
      <c r="N350" s="9" t="s">
        <v>37</v>
      </c>
      <c r="O350" s="9" t="s">
        <v>208</v>
      </c>
      <c r="P350" s="9" t="s">
        <v>199</v>
      </c>
      <c r="Q350" s="9" t="s">
        <v>88</v>
      </c>
      <c r="R350" s="9" t="s">
        <v>89</v>
      </c>
      <c r="S350">
        <v>3</v>
      </c>
      <c r="T350">
        <v>0</v>
      </c>
      <c r="U350" s="9" t="s">
        <v>49</v>
      </c>
      <c r="V350" s="9" t="s">
        <v>752</v>
      </c>
      <c r="W350">
        <v>3</v>
      </c>
      <c r="X350" s="9" t="s">
        <v>753</v>
      </c>
      <c r="Y350">
        <v>366</v>
      </c>
      <c r="Z350" s="9" t="s">
        <v>754</v>
      </c>
      <c r="AA350" s="9" t="s">
        <v>39</v>
      </c>
      <c r="AB350" s="9" t="s">
        <v>147</v>
      </c>
      <c r="AC350" s="9" t="s">
        <v>3</v>
      </c>
      <c r="AD350" s="9" t="s">
        <v>160</v>
      </c>
      <c r="AE350" s="9">
        <f>IF(Table5[[#This Row],[Team_Name]]=Table5[[#This Row],[Correct_Winner]],1,0)</f>
        <v>0</v>
      </c>
    </row>
    <row r="351" spans="1:31" x14ac:dyDescent="0.3">
      <c r="A351" s="9" t="s">
        <v>197</v>
      </c>
      <c r="B351">
        <v>2016</v>
      </c>
      <c r="C351" s="9" t="s">
        <v>91</v>
      </c>
      <c r="D351" s="9" t="s">
        <v>755</v>
      </c>
      <c r="E351" s="9" t="s">
        <v>420</v>
      </c>
      <c r="F351" s="3" t="s">
        <v>295</v>
      </c>
      <c r="G351">
        <v>182</v>
      </c>
      <c r="H351">
        <v>4</v>
      </c>
      <c r="I351" t="str">
        <f>Clean_Data!$I351</f>
        <v>Fortune Barishal</v>
      </c>
      <c r="J351">
        <v>184</v>
      </c>
      <c r="K351">
        <v>7</v>
      </c>
      <c r="L351" s="9" t="s">
        <v>207</v>
      </c>
      <c r="M351" s="9" t="s">
        <v>160</v>
      </c>
      <c r="N351" s="9" t="s">
        <v>37</v>
      </c>
      <c r="O351" s="9" t="s">
        <v>208</v>
      </c>
      <c r="P351" s="9" t="s">
        <v>199</v>
      </c>
      <c r="Q351" s="9" t="s">
        <v>88</v>
      </c>
      <c r="R351" s="9" t="s">
        <v>89</v>
      </c>
      <c r="S351">
        <v>3</v>
      </c>
      <c r="T351">
        <v>0</v>
      </c>
      <c r="U351" s="9" t="s">
        <v>49</v>
      </c>
      <c r="V351" s="9" t="s">
        <v>752</v>
      </c>
      <c r="W351">
        <v>3</v>
      </c>
      <c r="X351" s="9" t="s">
        <v>753</v>
      </c>
      <c r="Y351">
        <v>366</v>
      </c>
      <c r="Z351" s="9" t="s">
        <v>754</v>
      </c>
      <c r="AA351" s="9" t="s">
        <v>39</v>
      </c>
      <c r="AB351" s="9" t="s">
        <v>147</v>
      </c>
      <c r="AC351" s="9" t="s">
        <v>6</v>
      </c>
      <c r="AD351" s="9" t="s">
        <v>199</v>
      </c>
      <c r="AE351" s="9">
        <f>IF(Table5[[#This Row],[Team_Name]]=Table5[[#This Row],[Correct_Winner]],1,0)</f>
        <v>1</v>
      </c>
    </row>
    <row r="352" spans="1:31" x14ac:dyDescent="0.3">
      <c r="A352" s="9" t="s">
        <v>197</v>
      </c>
      <c r="B352">
        <v>2016</v>
      </c>
      <c r="C352" s="9" t="s">
        <v>95</v>
      </c>
      <c r="D352" s="9" t="s">
        <v>755</v>
      </c>
      <c r="E352" s="9" t="s">
        <v>423</v>
      </c>
      <c r="F352" s="2" t="s">
        <v>581</v>
      </c>
      <c r="G352">
        <v>151</v>
      </c>
      <c r="H352">
        <v>7</v>
      </c>
      <c r="I352" t="str">
        <f>Clean_Data!$I352</f>
        <v>Dhaka Dominators</v>
      </c>
      <c r="J352">
        <v>129</v>
      </c>
      <c r="K352">
        <v>10</v>
      </c>
      <c r="L352" s="9" t="s">
        <v>157</v>
      </c>
      <c r="M352" s="9" t="s">
        <v>142</v>
      </c>
      <c r="N352" s="9" t="s">
        <v>26</v>
      </c>
      <c r="O352" s="9" t="s">
        <v>215</v>
      </c>
      <c r="P352" s="9" t="s">
        <v>206</v>
      </c>
      <c r="Q352" s="9" t="s">
        <v>88</v>
      </c>
      <c r="R352" s="9" t="s">
        <v>89</v>
      </c>
      <c r="S352">
        <v>0</v>
      </c>
      <c r="T352">
        <v>22</v>
      </c>
      <c r="U352" s="9" t="s">
        <v>192</v>
      </c>
      <c r="V352" s="9" t="s">
        <v>756</v>
      </c>
      <c r="W352">
        <v>22</v>
      </c>
      <c r="X352" s="9" t="s">
        <v>757</v>
      </c>
      <c r="Y352">
        <v>280</v>
      </c>
      <c r="Z352" s="9" t="s">
        <v>754</v>
      </c>
      <c r="AA352" s="9" t="s">
        <v>56</v>
      </c>
      <c r="AB352" s="9" t="s">
        <v>147</v>
      </c>
      <c r="AC352" s="9" t="s">
        <v>3</v>
      </c>
      <c r="AD352" s="9" t="s">
        <v>206</v>
      </c>
      <c r="AE352" s="9">
        <f>IF(Table5[[#This Row],[Team_Name]]=Table5[[#This Row],[Correct_Winner]],1,0)</f>
        <v>1</v>
      </c>
    </row>
    <row r="353" spans="1:31" x14ac:dyDescent="0.3">
      <c r="A353" s="9" t="s">
        <v>197</v>
      </c>
      <c r="B353">
        <v>2016</v>
      </c>
      <c r="C353" s="9" t="s">
        <v>95</v>
      </c>
      <c r="D353" s="9" t="s">
        <v>755</v>
      </c>
      <c r="E353" s="9" t="s">
        <v>423</v>
      </c>
      <c r="F353" s="3" t="s">
        <v>310</v>
      </c>
      <c r="G353">
        <v>151</v>
      </c>
      <c r="H353">
        <v>7</v>
      </c>
      <c r="I353" t="str">
        <f>Clean_Data!$I353</f>
        <v>Chattogram Challengers</v>
      </c>
      <c r="J353">
        <v>129</v>
      </c>
      <c r="K353">
        <v>10</v>
      </c>
      <c r="L353" s="9" t="s">
        <v>157</v>
      </c>
      <c r="M353" s="9" t="s">
        <v>142</v>
      </c>
      <c r="N353" s="9" t="s">
        <v>26</v>
      </c>
      <c r="O353" s="9" t="s">
        <v>215</v>
      </c>
      <c r="P353" s="9" t="s">
        <v>206</v>
      </c>
      <c r="Q353" s="9" t="s">
        <v>88</v>
      </c>
      <c r="R353" s="9" t="s">
        <v>89</v>
      </c>
      <c r="S353">
        <v>0</v>
      </c>
      <c r="T353">
        <v>22</v>
      </c>
      <c r="U353" s="9" t="s">
        <v>192</v>
      </c>
      <c r="V353" s="9" t="s">
        <v>756</v>
      </c>
      <c r="W353">
        <v>22</v>
      </c>
      <c r="X353" s="9" t="s">
        <v>757</v>
      </c>
      <c r="Y353">
        <v>280</v>
      </c>
      <c r="Z353" s="9" t="s">
        <v>754</v>
      </c>
      <c r="AA353" s="9" t="s">
        <v>56</v>
      </c>
      <c r="AB353" s="9" t="s">
        <v>147</v>
      </c>
      <c r="AC353" s="9" t="s">
        <v>6</v>
      </c>
      <c r="AD353" s="9" t="s">
        <v>142</v>
      </c>
      <c r="AE353" s="9">
        <f>IF(Table5[[#This Row],[Team_Name]]=Table5[[#This Row],[Correct_Winner]],1,0)</f>
        <v>0</v>
      </c>
    </row>
    <row r="354" spans="1:31" x14ac:dyDescent="0.3">
      <c r="A354" s="9" t="s">
        <v>197</v>
      </c>
      <c r="B354">
        <v>2016</v>
      </c>
      <c r="C354" s="9" t="s">
        <v>104</v>
      </c>
      <c r="D354" s="9" t="s">
        <v>755</v>
      </c>
      <c r="E354" s="9" t="s">
        <v>424</v>
      </c>
      <c r="F354" s="2" t="s">
        <v>277</v>
      </c>
      <c r="G354">
        <v>152</v>
      </c>
      <c r="H354">
        <v>5</v>
      </c>
      <c r="I354" t="str">
        <f>Clean_Data!$I354</f>
        <v>Rangpur Rangers</v>
      </c>
      <c r="J354">
        <v>120</v>
      </c>
      <c r="K354">
        <v>10</v>
      </c>
      <c r="L354" s="9" t="s">
        <v>70</v>
      </c>
      <c r="M354" s="9" t="s">
        <v>199</v>
      </c>
      <c r="N354" s="9" t="s">
        <v>26</v>
      </c>
      <c r="O354" s="9" t="s">
        <v>145</v>
      </c>
      <c r="P354" s="9" t="s">
        <v>143</v>
      </c>
      <c r="Q354" s="9" t="s">
        <v>88</v>
      </c>
      <c r="R354" s="9" t="s">
        <v>89</v>
      </c>
      <c r="S354">
        <v>0</v>
      </c>
      <c r="T354">
        <v>32</v>
      </c>
      <c r="U354" s="9" t="s">
        <v>414</v>
      </c>
      <c r="V354" s="9" t="s">
        <v>756</v>
      </c>
      <c r="W354">
        <v>32</v>
      </c>
      <c r="X354" s="9" t="s">
        <v>757</v>
      </c>
      <c r="Y354">
        <v>272</v>
      </c>
      <c r="Z354" s="9" t="s">
        <v>754</v>
      </c>
      <c r="AA354" s="9" t="s">
        <v>39</v>
      </c>
      <c r="AB354" s="9" t="s">
        <v>147</v>
      </c>
      <c r="AC354" s="9" t="s">
        <v>3</v>
      </c>
      <c r="AD354" s="9" t="s">
        <v>143</v>
      </c>
      <c r="AE354" s="9">
        <f>IF(Table5[[#This Row],[Team_Name]]=Table5[[#This Row],[Correct_Winner]],1,0)</f>
        <v>1</v>
      </c>
    </row>
    <row r="355" spans="1:31" x14ac:dyDescent="0.3">
      <c r="A355" s="9" t="s">
        <v>197</v>
      </c>
      <c r="B355">
        <v>2016</v>
      </c>
      <c r="C355" s="9" t="s">
        <v>104</v>
      </c>
      <c r="D355" s="9" t="s">
        <v>755</v>
      </c>
      <c r="E355" s="9" t="s">
        <v>424</v>
      </c>
      <c r="F355" s="3" t="s">
        <v>310</v>
      </c>
      <c r="G355">
        <v>152</v>
      </c>
      <c r="H355">
        <v>5</v>
      </c>
      <c r="I355" t="str">
        <f>Clean_Data!$I355</f>
        <v>Comilla Victorians</v>
      </c>
      <c r="J355">
        <v>120</v>
      </c>
      <c r="K355">
        <v>10</v>
      </c>
      <c r="L355" s="9" t="s">
        <v>70</v>
      </c>
      <c r="M355" s="9" t="s">
        <v>199</v>
      </c>
      <c r="N355" s="9" t="s">
        <v>26</v>
      </c>
      <c r="O355" s="9" t="s">
        <v>145</v>
      </c>
      <c r="P355" s="9" t="s">
        <v>143</v>
      </c>
      <c r="Q355" s="9" t="s">
        <v>88</v>
      </c>
      <c r="R355" s="9" t="s">
        <v>89</v>
      </c>
      <c r="S355">
        <v>0</v>
      </c>
      <c r="T355">
        <v>32</v>
      </c>
      <c r="U355" s="9" t="s">
        <v>414</v>
      </c>
      <c r="V355" s="9" t="s">
        <v>756</v>
      </c>
      <c r="W355">
        <v>32</v>
      </c>
      <c r="X355" s="9" t="s">
        <v>757</v>
      </c>
      <c r="Y355">
        <v>272</v>
      </c>
      <c r="Z355" s="9" t="s">
        <v>754</v>
      </c>
      <c r="AA355" s="9" t="s">
        <v>39</v>
      </c>
      <c r="AB355" s="9" t="s">
        <v>147</v>
      </c>
      <c r="AC355" s="9" t="s">
        <v>6</v>
      </c>
      <c r="AD355" s="9" t="s">
        <v>199</v>
      </c>
      <c r="AE355" s="9">
        <f>IF(Table5[[#This Row],[Team_Name]]=Table5[[#This Row],[Correct_Winner]],1,0)</f>
        <v>0</v>
      </c>
    </row>
    <row r="356" spans="1:31" x14ac:dyDescent="0.3">
      <c r="A356" s="9" t="s">
        <v>197</v>
      </c>
      <c r="B356">
        <v>2016</v>
      </c>
      <c r="C356" s="9" t="s">
        <v>110</v>
      </c>
      <c r="D356" s="9" t="s">
        <v>755</v>
      </c>
      <c r="E356" s="9" t="s">
        <v>424</v>
      </c>
      <c r="F356" s="2" t="s">
        <v>585</v>
      </c>
      <c r="G356">
        <v>157</v>
      </c>
      <c r="H356">
        <v>5</v>
      </c>
      <c r="I356" t="str">
        <f>Clean_Data!$I356</f>
        <v>Chattogram Challengers</v>
      </c>
      <c r="J356">
        <v>148</v>
      </c>
      <c r="K356">
        <v>10</v>
      </c>
      <c r="L356" s="9" t="s">
        <v>75</v>
      </c>
      <c r="M356" s="9" t="s">
        <v>206</v>
      </c>
      <c r="N356" s="9" t="s">
        <v>37</v>
      </c>
      <c r="O356" s="9" t="s">
        <v>215</v>
      </c>
      <c r="P356" s="9" t="s">
        <v>206</v>
      </c>
      <c r="Q356" s="9" t="s">
        <v>88</v>
      </c>
      <c r="R356" s="9" t="s">
        <v>89</v>
      </c>
      <c r="S356">
        <v>0</v>
      </c>
      <c r="T356">
        <v>9</v>
      </c>
      <c r="U356" s="9" t="s">
        <v>38</v>
      </c>
      <c r="V356" s="9" t="s">
        <v>756</v>
      </c>
      <c r="W356">
        <v>9</v>
      </c>
      <c r="X356" s="9" t="s">
        <v>753</v>
      </c>
      <c r="Y356">
        <v>305</v>
      </c>
      <c r="Z356" s="9" t="s">
        <v>754</v>
      </c>
      <c r="AA356" s="9" t="s">
        <v>202</v>
      </c>
      <c r="AB356" s="9" t="s">
        <v>66</v>
      </c>
      <c r="AC356" s="9" t="s">
        <v>3</v>
      </c>
      <c r="AD356" s="9" t="s">
        <v>206</v>
      </c>
      <c r="AE356" s="9">
        <f>IF(Table5[[#This Row],[Team_Name]]=Table5[[#This Row],[Correct_Winner]],1,0)</f>
        <v>1</v>
      </c>
    </row>
    <row r="357" spans="1:31" x14ac:dyDescent="0.3">
      <c r="A357" s="9" t="s">
        <v>197</v>
      </c>
      <c r="B357">
        <v>2016</v>
      </c>
      <c r="C357" s="9" t="s">
        <v>110</v>
      </c>
      <c r="D357" s="9" t="s">
        <v>755</v>
      </c>
      <c r="E357" s="9" t="s">
        <v>424</v>
      </c>
      <c r="F357" s="3" t="s">
        <v>585</v>
      </c>
      <c r="G357">
        <v>157</v>
      </c>
      <c r="H357">
        <v>5</v>
      </c>
      <c r="I357" t="str">
        <f>Clean_Data!$I357</f>
        <v>Sylhet Strikers</v>
      </c>
      <c r="J357">
        <v>148</v>
      </c>
      <c r="K357">
        <v>10</v>
      </c>
      <c r="L357" s="9" t="s">
        <v>75</v>
      </c>
      <c r="M357" s="9" t="s">
        <v>206</v>
      </c>
      <c r="N357" s="9" t="s">
        <v>37</v>
      </c>
      <c r="O357" s="9" t="s">
        <v>215</v>
      </c>
      <c r="P357" s="9" t="s">
        <v>206</v>
      </c>
      <c r="Q357" s="9" t="s">
        <v>88</v>
      </c>
      <c r="R357" s="9" t="s">
        <v>89</v>
      </c>
      <c r="S357">
        <v>0</v>
      </c>
      <c r="T357">
        <v>9</v>
      </c>
      <c r="U357" s="9" t="s">
        <v>38</v>
      </c>
      <c r="V357" s="9" t="s">
        <v>756</v>
      </c>
      <c r="W357">
        <v>9</v>
      </c>
      <c r="X357" s="9" t="s">
        <v>753</v>
      </c>
      <c r="Y357">
        <v>305</v>
      </c>
      <c r="Z357" s="9" t="s">
        <v>754</v>
      </c>
      <c r="AA357" s="9" t="s">
        <v>202</v>
      </c>
      <c r="AB357" s="9" t="s">
        <v>66</v>
      </c>
      <c r="AC357" s="9" t="s">
        <v>6</v>
      </c>
      <c r="AD357" s="9" t="s">
        <v>160</v>
      </c>
      <c r="AE357" s="9">
        <f>IF(Table5[[#This Row],[Team_Name]]=Table5[[#This Row],[Correct_Winner]],1,0)</f>
        <v>0</v>
      </c>
    </row>
    <row r="358" spans="1:31" x14ac:dyDescent="0.3">
      <c r="A358" s="9" t="s">
        <v>197</v>
      </c>
      <c r="B358">
        <v>2016</v>
      </c>
      <c r="C358" s="9" t="s">
        <v>116</v>
      </c>
      <c r="D358" s="9" t="s">
        <v>755</v>
      </c>
      <c r="E358" s="9" t="s">
        <v>425</v>
      </c>
      <c r="F358" s="2" t="s">
        <v>280</v>
      </c>
      <c r="G358">
        <v>122</v>
      </c>
      <c r="H358">
        <v>5</v>
      </c>
      <c r="I358" t="str">
        <f>Clean_Data!$I358</f>
        <v>Comilla Victorians</v>
      </c>
      <c r="J358">
        <v>126</v>
      </c>
      <c r="K358">
        <v>1</v>
      </c>
      <c r="L358" s="9" t="s">
        <v>221</v>
      </c>
      <c r="M358" s="9" t="s">
        <v>113</v>
      </c>
      <c r="N358" s="9" t="s">
        <v>26</v>
      </c>
      <c r="O358" s="9" t="s">
        <v>189</v>
      </c>
      <c r="P358" s="9" t="s">
        <v>113</v>
      </c>
      <c r="Q358" s="9" t="s">
        <v>88</v>
      </c>
      <c r="R358" s="9" t="s">
        <v>89</v>
      </c>
      <c r="S358">
        <v>9</v>
      </c>
      <c r="T358">
        <v>0</v>
      </c>
      <c r="U358" s="9" t="s">
        <v>71</v>
      </c>
      <c r="V358" s="9" t="s">
        <v>752</v>
      </c>
      <c r="W358">
        <v>9</v>
      </c>
      <c r="X358" s="9" t="s">
        <v>753</v>
      </c>
      <c r="Y358">
        <v>248</v>
      </c>
      <c r="Z358" s="9" t="s">
        <v>754</v>
      </c>
      <c r="AA358" s="9" t="s">
        <v>147</v>
      </c>
      <c r="AB358" s="9" t="s">
        <v>225</v>
      </c>
      <c r="AC358" s="9" t="s">
        <v>3</v>
      </c>
      <c r="AD358" s="9" t="s">
        <v>143</v>
      </c>
      <c r="AE358" s="9">
        <f>IF(Table5[[#This Row],[Team_Name]]=Table5[[#This Row],[Correct_Winner]],1,0)</f>
        <v>0</v>
      </c>
    </row>
    <row r="359" spans="1:31" x14ac:dyDescent="0.3">
      <c r="A359" s="9" t="s">
        <v>197</v>
      </c>
      <c r="B359">
        <v>2016</v>
      </c>
      <c r="C359" s="9" t="s">
        <v>116</v>
      </c>
      <c r="D359" s="9" t="s">
        <v>755</v>
      </c>
      <c r="E359" s="9" t="s">
        <v>425</v>
      </c>
      <c r="F359" s="3" t="s">
        <v>295</v>
      </c>
      <c r="G359">
        <v>122</v>
      </c>
      <c r="H359">
        <v>5</v>
      </c>
      <c r="I359" t="str">
        <f>Clean_Data!$I359</f>
        <v>Khulna Tigers</v>
      </c>
      <c r="J359">
        <v>126</v>
      </c>
      <c r="K359">
        <v>1</v>
      </c>
      <c r="L359" s="9" t="s">
        <v>221</v>
      </c>
      <c r="M359" s="9" t="s">
        <v>113</v>
      </c>
      <c r="N359" s="9" t="s">
        <v>26</v>
      </c>
      <c r="O359" s="9" t="s">
        <v>189</v>
      </c>
      <c r="P359" s="9" t="s">
        <v>113</v>
      </c>
      <c r="Q359" s="9" t="s">
        <v>88</v>
      </c>
      <c r="R359" s="9" t="s">
        <v>89</v>
      </c>
      <c r="S359">
        <v>9</v>
      </c>
      <c r="T359">
        <v>0</v>
      </c>
      <c r="U359" s="9" t="s">
        <v>71</v>
      </c>
      <c r="V359" s="9" t="s">
        <v>752</v>
      </c>
      <c r="W359">
        <v>9</v>
      </c>
      <c r="X359" s="9" t="s">
        <v>753</v>
      </c>
      <c r="Y359">
        <v>248</v>
      </c>
      <c r="Z359" s="9" t="s">
        <v>754</v>
      </c>
      <c r="AA359" s="9" t="s">
        <v>147</v>
      </c>
      <c r="AB359" s="9" t="s">
        <v>225</v>
      </c>
      <c r="AC359" s="9" t="s">
        <v>6</v>
      </c>
      <c r="AD359" s="9" t="s">
        <v>113</v>
      </c>
      <c r="AE359" s="9">
        <f>IF(Table5[[#This Row],[Team_Name]]=Table5[[#This Row],[Correct_Winner]],1,0)</f>
        <v>1</v>
      </c>
    </row>
    <row r="360" spans="1:31" x14ac:dyDescent="0.3">
      <c r="A360" s="9" t="s">
        <v>197</v>
      </c>
      <c r="B360">
        <v>2016</v>
      </c>
      <c r="C360" s="9" t="s">
        <v>123</v>
      </c>
      <c r="D360" s="9" t="s">
        <v>755</v>
      </c>
      <c r="E360" s="9" t="s">
        <v>425</v>
      </c>
      <c r="F360" s="2" t="s">
        <v>581</v>
      </c>
      <c r="G360">
        <v>190</v>
      </c>
      <c r="H360">
        <v>5</v>
      </c>
      <c r="I360" t="str">
        <f>Clean_Data!$I360</f>
        <v>Comilla Victorians</v>
      </c>
      <c r="J360">
        <v>171</v>
      </c>
      <c r="K360">
        <v>9</v>
      </c>
      <c r="L360" s="9" t="s">
        <v>356</v>
      </c>
      <c r="M360" s="9" t="s">
        <v>199</v>
      </c>
      <c r="N360" s="9" t="s">
        <v>26</v>
      </c>
      <c r="O360" s="9" t="s">
        <v>245</v>
      </c>
      <c r="P360" s="9" t="s">
        <v>179</v>
      </c>
      <c r="Q360" s="9" t="s">
        <v>88</v>
      </c>
      <c r="R360" s="9" t="s">
        <v>89</v>
      </c>
      <c r="S360">
        <v>0</v>
      </c>
      <c r="T360">
        <v>19</v>
      </c>
      <c r="U360" s="9" t="s">
        <v>196</v>
      </c>
      <c r="V360" s="9" t="s">
        <v>756</v>
      </c>
      <c r="W360">
        <v>19</v>
      </c>
      <c r="X360" s="9" t="s">
        <v>757</v>
      </c>
      <c r="Y360">
        <v>361</v>
      </c>
      <c r="Z360" s="9" t="s">
        <v>754</v>
      </c>
      <c r="AA360" s="9" t="s">
        <v>202</v>
      </c>
      <c r="AB360" s="9" t="s">
        <v>39</v>
      </c>
      <c r="AC360" s="9" t="s">
        <v>3</v>
      </c>
      <c r="AD360" s="9" t="s">
        <v>179</v>
      </c>
      <c r="AE360" s="9">
        <f>IF(Table5[[#This Row],[Team_Name]]=Table5[[#This Row],[Correct_Winner]],1,0)</f>
        <v>1</v>
      </c>
    </row>
    <row r="361" spans="1:31" x14ac:dyDescent="0.3">
      <c r="A361" s="9" t="s">
        <v>197</v>
      </c>
      <c r="B361">
        <v>2016</v>
      </c>
      <c r="C361" s="9" t="s">
        <v>123</v>
      </c>
      <c r="D361" s="9" t="s">
        <v>755</v>
      </c>
      <c r="E361" s="9" t="s">
        <v>425</v>
      </c>
      <c r="F361" s="3" t="s">
        <v>143</v>
      </c>
      <c r="G361">
        <v>190</v>
      </c>
      <c r="H361">
        <v>5</v>
      </c>
      <c r="I361" t="str">
        <f>Clean_Data!$I361</f>
        <v>Dhaka Dominators</v>
      </c>
      <c r="J361">
        <v>171</v>
      </c>
      <c r="K361">
        <v>9</v>
      </c>
      <c r="L361" s="9" t="s">
        <v>356</v>
      </c>
      <c r="M361" s="9" t="s">
        <v>199</v>
      </c>
      <c r="N361" s="9" t="s">
        <v>26</v>
      </c>
      <c r="O361" s="9" t="s">
        <v>245</v>
      </c>
      <c r="P361" s="9" t="s">
        <v>179</v>
      </c>
      <c r="Q361" s="9" t="s">
        <v>88</v>
      </c>
      <c r="R361" s="9" t="s">
        <v>89</v>
      </c>
      <c r="S361">
        <v>0</v>
      </c>
      <c r="T361">
        <v>19</v>
      </c>
      <c r="U361" s="9" t="s">
        <v>196</v>
      </c>
      <c r="V361" s="9" t="s">
        <v>756</v>
      </c>
      <c r="W361">
        <v>19</v>
      </c>
      <c r="X361" s="9" t="s">
        <v>757</v>
      </c>
      <c r="Y361">
        <v>361</v>
      </c>
      <c r="Z361" s="9" t="s">
        <v>754</v>
      </c>
      <c r="AA361" s="9" t="s">
        <v>202</v>
      </c>
      <c r="AB361" s="9" t="s">
        <v>39</v>
      </c>
      <c r="AC361" s="9" t="s">
        <v>6</v>
      </c>
      <c r="AD361" s="9" t="s">
        <v>199</v>
      </c>
      <c r="AE361" s="9">
        <f>IF(Table5[[#This Row],[Team_Name]]=Table5[[#This Row],[Correct_Winner]],1,0)</f>
        <v>0</v>
      </c>
    </row>
    <row r="362" spans="1:31" x14ac:dyDescent="0.3">
      <c r="A362" s="9" t="s">
        <v>197</v>
      </c>
      <c r="B362">
        <v>2016</v>
      </c>
      <c r="C362" s="9" t="s">
        <v>126</v>
      </c>
      <c r="D362" s="9" t="s">
        <v>755</v>
      </c>
      <c r="E362" s="9" t="s">
        <v>426</v>
      </c>
      <c r="F362" s="2" t="s">
        <v>310</v>
      </c>
      <c r="G362">
        <v>175</v>
      </c>
      <c r="H362">
        <v>6</v>
      </c>
      <c r="I362" t="str">
        <f>Clean_Data!$I362</f>
        <v>Rangpur Rangers</v>
      </c>
      <c r="J362">
        <v>163</v>
      </c>
      <c r="K362">
        <v>10</v>
      </c>
      <c r="L362" s="9" t="s">
        <v>249</v>
      </c>
      <c r="M362" s="9" t="s">
        <v>142</v>
      </c>
      <c r="N362" s="9" t="s">
        <v>26</v>
      </c>
      <c r="O362" s="9" t="s">
        <v>189</v>
      </c>
      <c r="P362" s="9" t="s">
        <v>113</v>
      </c>
      <c r="Q362" s="9" t="s">
        <v>88</v>
      </c>
      <c r="R362" s="9" t="s">
        <v>89</v>
      </c>
      <c r="S362">
        <v>0</v>
      </c>
      <c r="T362">
        <v>12</v>
      </c>
      <c r="U362" s="9" t="s">
        <v>417</v>
      </c>
      <c r="V362" s="9" t="s">
        <v>756</v>
      </c>
      <c r="W362">
        <v>12</v>
      </c>
      <c r="X362" s="9" t="s">
        <v>757</v>
      </c>
      <c r="Y362">
        <v>338</v>
      </c>
      <c r="Z362" s="9" t="s">
        <v>754</v>
      </c>
      <c r="AA362" s="9" t="s">
        <v>202</v>
      </c>
      <c r="AB362" s="9" t="s">
        <v>66</v>
      </c>
      <c r="AC362" s="9" t="s">
        <v>3</v>
      </c>
      <c r="AD362" s="9" t="s">
        <v>113</v>
      </c>
      <c r="AE362" s="9">
        <f>IF(Table5[[#This Row],[Team_Name]]=Table5[[#This Row],[Correct_Winner]],1,0)</f>
        <v>1</v>
      </c>
    </row>
    <row r="363" spans="1:31" x14ac:dyDescent="0.3">
      <c r="A363" s="9" t="s">
        <v>197</v>
      </c>
      <c r="B363">
        <v>2016</v>
      </c>
      <c r="C363" s="9" t="s">
        <v>126</v>
      </c>
      <c r="D363" s="9" t="s">
        <v>755</v>
      </c>
      <c r="E363" s="9" t="s">
        <v>426</v>
      </c>
      <c r="F363" s="3" t="s">
        <v>280</v>
      </c>
      <c r="G363">
        <v>175</v>
      </c>
      <c r="H363">
        <v>6</v>
      </c>
      <c r="I363" t="str">
        <f>Clean_Data!$I363</f>
        <v>Khulna Tigers</v>
      </c>
      <c r="J363">
        <v>163</v>
      </c>
      <c r="K363">
        <v>10</v>
      </c>
      <c r="L363" s="9" t="s">
        <v>249</v>
      </c>
      <c r="M363" s="9" t="s">
        <v>142</v>
      </c>
      <c r="N363" s="9" t="s">
        <v>26</v>
      </c>
      <c r="O363" s="9" t="s">
        <v>189</v>
      </c>
      <c r="P363" s="9" t="s">
        <v>113</v>
      </c>
      <c r="Q363" s="9" t="s">
        <v>88</v>
      </c>
      <c r="R363" s="9" t="s">
        <v>89</v>
      </c>
      <c r="S363">
        <v>0</v>
      </c>
      <c r="T363">
        <v>12</v>
      </c>
      <c r="U363" s="9" t="s">
        <v>417</v>
      </c>
      <c r="V363" s="9" t="s">
        <v>756</v>
      </c>
      <c r="W363">
        <v>12</v>
      </c>
      <c r="X363" s="9" t="s">
        <v>757</v>
      </c>
      <c r="Y363">
        <v>338</v>
      </c>
      <c r="Z363" s="9" t="s">
        <v>754</v>
      </c>
      <c r="AA363" s="9" t="s">
        <v>202</v>
      </c>
      <c r="AB363" s="9" t="s">
        <v>66</v>
      </c>
      <c r="AC363" s="9" t="s">
        <v>6</v>
      </c>
      <c r="AD363" s="9" t="s">
        <v>142</v>
      </c>
      <c r="AE363" s="9">
        <f>IF(Table5[[#This Row],[Team_Name]]=Table5[[#This Row],[Correct_Winner]],1,0)</f>
        <v>0</v>
      </c>
    </row>
    <row r="364" spans="1:31" x14ac:dyDescent="0.3">
      <c r="A364" s="9" t="s">
        <v>197</v>
      </c>
      <c r="B364">
        <v>2016</v>
      </c>
      <c r="C364" s="9" t="s">
        <v>132</v>
      </c>
      <c r="D364" s="9" t="s">
        <v>755</v>
      </c>
      <c r="E364" s="9" t="s">
        <v>426</v>
      </c>
      <c r="F364" s="2" t="s">
        <v>310</v>
      </c>
      <c r="G364">
        <v>148</v>
      </c>
      <c r="H364">
        <v>9</v>
      </c>
      <c r="I364" t="str">
        <f>Clean_Data!$I364</f>
        <v>Dhaka Dominators</v>
      </c>
      <c r="J364">
        <v>129</v>
      </c>
      <c r="K364">
        <v>8</v>
      </c>
      <c r="L364" s="9" t="s">
        <v>427</v>
      </c>
      <c r="M364" s="9" t="s">
        <v>179</v>
      </c>
      <c r="N364" s="9" t="s">
        <v>26</v>
      </c>
      <c r="O364" s="9" t="s">
        <v>193</v>
      </c>
      <c r="P364" s="9" t="s">
        <v>160</v>
      </c>
      <c r="Q364" s="9" t="s">
        <v>88</v>
      </c>
      <c r="R364" s="9" t="s">
        <v>89</v>
      </c>
      <c r="S364">
        <v>0</v>
      </c>
      <c r="T364">
        <v>19</v>
      </c>
      <c r="U364" s="9" t="s">
        <v>196</v>
      </c>
      <c r="V364" s="9" t="s">
        <v>756</v>
      </c>
      <c r="W364">
        <v>19</v>
      </c>
      <c r="X364" s="9" t="s">
        <v>757</v>
      </c>
      <c r="Y364">
        <v>277</v>
      </c>
      <c r="Z364" s="9" t="s">
        <v>754</v>
      </c>
      <c r="AA364" s="9" t="s">
        <v>39</v>
      </c>
      <c r="AB364" s="9" t="s">
        <v>147</v>
      </c>
      <c r="AC364" s="9" t="s">
        <v>3</v>
      </c>
      <c r="AD364" s="9" t="s">
        <v>160</v>
      </c>
      <c r="AE364" s="9">
        <f>IF(Table5[[#This Row],[Team_Name]]=Table5[[#This Row],[Correct_Winner]],1,0)</f>
        <v>1</v>
      </c>
    </row>
    <row r="365" spans="1:31" x14ac:dyDescent="0.3">
      <c r="A365" s="9" t="s">
        <v>197</v>
      </c>
      <c r="B365">
        <v>2016</v>
      </c>
      <c r="C365" s="9" t="s">
        <v>132</v>
      </c>
      <c r="D365" s="9" t="s">
        <v>755</v>
      </c>
      <c r="E365" s="9" t="s">
        <v>426</v>
      </c>
      <c r="F365" s="3" t="s">
        <v>295</v>
      </c>
      <c r="G365">
        <v>148</v>
      </c>
      <c r="H365">
        <v>9</v>
      </c>
      <c r="I365" t="str">
        <f>Clean_Data!$I365</f>
        <v>Chattogram Challengers</v>
      </c>
      <c r="J365">
        <v>129</v>
      </c>
      <c r="K365">
        <v>8</v>
      </c>
      <c r="L365" s="9" t="s">
        <v>427</v>
      </c>
      <c r="M365" s="9" t="s">
        <v>179</v>
      </c>
      <c r="N365" s="9" t="s">
        <v>26</v>
      </c>
      <c r="O365" s="9" t="s">
        <v>193</v>
      </c>
      <c r="P365" s="9" t="s">
        <v>160</v>
      </c>
      <c r="Q365" s="9" t="s">
        <v>88</v>
      </c>
      <c r="R365" s="9" t="s">
        <v>89</v>
      </c>
      <c r="S365">
        <v>0</v>
      </c>
      <c r="T365">
        <v>19</v>
      </c>
      <c r="U365" s="9" t="s">
        <v>196</v>
      </c>
      <c r="V365" s="9" t="s">
        <v>756</v>
      </c>
      <c r="W365">
        <v>19</v>
      </c>
      <c r="X365" s="9" t="s">
        <v>757</v>
      </c>
      <c r="Y365">
        <v>277</v>
      </c>
      <c r="Z365" s="9" t="s">
        <v>754</v>
      </c>
      <c r="AA365" s="9" t="s">
        <v>39</v>
      </c>
      <c r="AB365" s="9" t="s">
        <v>147</v>
      </c>
      <c r="AC365" s="9" t="s">
        <v>6</v>
      </c>
      <c r="AD365" s="9" t="s">
        <v>179</v>
      </c>
      <c r="AE365" s="9">
        <f>IF(Table5[[#This Row],[Team_Name]]=Table5[[#This Row],[Correct_Winner]],1,0)</f>
        <v>0</v>
      </c>
    </row>
    <row r="366" spans="1:31" x14ac:dyDescent="0.3">
      <c r="A366" s="9" t="s">
        <v>197</v>
      </c>
      <c r="B366">
        <v>2016</v>
      </c>
      <c r="C366" s="9" t="s">
        <v>138</v>
      </c>
      <c r="D366" s="9" t="s">
        <v>755</v>
      </c>
      <c r="E366" s="9" t="s">
        <v>428</v>
      </c>
      <c r="F366" s="2" t="s">
        <v>143</v>
      </c>
      <c r="G366">
        <v>194</v>
      </c>
      <c r="H366">
        <v>5</v>
      </c>
      <c r="I366" t="str">
        <f>Clean_Data!$I366</f>
        <v>Dhaka Dominators</v>
      </c>
      <c r="J366">
        <v>161</v>
      </c>
      <c r="K366">
        <v>9</v>
      </c>
      <c r="L366" s="9" t="s">
        <v>370</v>
      </c>
      <c r="M366" s="9" t="s">
        <v>143</v>
      </c>
      <c r="N366" s="9" t="s">
        <v>26</v>
      </c>
      <c r="O366" s="9" t="s">
        <v>193</v>
      </c>
      <c r="P366" s="9" t="s">
        <v>160</v>
      </c>
      <c r="Q366" s="9" t="s">
        <v>28</v>
      </c>
      <c r="R366" s="9" t="s">
        <v>29</v>
      </c>
      <c r="S366">
        <v>0</v>
      </c>
      <c r="T366">
        <v>33</v>
      </c>
      <c r="U366" s="9" t="s">
        <v>131</v>
      </c>
      <c r="V366" s="9" t="s">
        <v>756</v>
      </c>
      <c r="W366">
        <v>33</v>
      </c>
      <c r="X366" s="9" t="s">
        <v>757</v>
      </c>
      <c r="Y366">
        <v>355</v>
      </c>
      <c r="Z366" s="9" t="s">
        <v>754</v>
      </c>
      <c r="AA366" s="9" t="s">
        <v>39</v>
      </c>
      <c r="AB366" s="9" t="s">
        <v>147</v>
      </c>
      <c r="AC366" s="9" t="s">
        <v>3</v>
      </c>
      <c r="AD366" s="9" t="s">
        <v>160</v>
      </c>
      <c r="AE366" s="9">
        <f>IF(Table5[[#This Row],[Team_Name]]=Table5[[#This Row],[Correct_Winner]],1,0)</f>
        <v>1</v>
      </c>
    </row>
    <row r="367" spans="1:31" x14ac:dyDescent="0.3">
      <c r="A367" s="9" t="s">
        <v>197</v>
      </c>
      <c r="B367">
        <v>2016</v>
      </c>
      <c r="C367" s="9" t="s">
        <v>138</v>
      </c>
      <c r="D367" s="9" t="s">
        <v>755</v>
      </c>
      <c r="E367" s="9" t="s">
        <v>428</v>
      </c>
      <c r="F367" s="3" t="s">
        <v>581</v>
      </c>
      <c r="G367">
        <v>194</v>
      </c>
      <c r="H367">
        <v>5</v>
      </c>
      <c r="I367" t="str">
        <f>Clean_Data!$I367</f>
        <v>Fortune Barishal</v>
      </c>
      <c r="J367">
        <v>161</v>
      </c>
      <c r="K367">
        <v>9</v>
      </c>
      <c r="L367" s="9" t="s">
        <v>370</v>
      </c>
      <c r="M367" s="9" t="s">
        <v>143</v>
      </c>
      <c r="N367" s="9" t="s">
        <v>26</v>
      </c>
      <c r="O367" s="9" t="s">
        <v>193</v>
      </c>
      <c r="P367" s="9" t="s">
        <v>160</v>
      </c>
      <c r="Q367" s="9" t="s">
        <v>28</v>
      </c>
      <c r="R367" s="9" t="s">
        <v>29</v>
      </c>
      <c r="S367">
        <v>0</v>
      </c>
      <c r="T367">
        <v>33</v>
      </c>
      <c r="U367" s="9" t="s">
        <v>131</v>
      </c>
      <c r="V367" s="9" t="s">
        <v>756</v>
      </c>
      <c r="W367">
        <v>33</v>
      </c>
      <c r="X367" s="9" t="s">
        <v>757</v>
      </c>
      <c r="Y367">
        <v>355</v>
      </c>
      <c r="Z367" s="9" t="s">
        <v>754</v>
      </c>
      <c r="AA367" s="9" t="s">
        <v>39</v>
      </c>
      <c r="AB367" s="9" t="s">
        <v>147</v>
      </c>
      <c r="AC367" s="9" t="s">
        <v>6</v>
      </c>
      <c r="AD367" s="9" t="s">
        <v>143</v>
      </c>
      <c r="AE367" s="9">
        <f>IF(Table5[[#This Row],[Team_Name]]=Table5[[#This Row],[Correct_Winner]],1,0)</f>
        <v>0</v>
      </c>
    </row>
    <row r="368" spans="1:31" x14ac:dyDescent="0.3">
      <c r="A368" s="9" t="s">
        <v>197</v>
      </c>
      <c r="B368">
        <v>2016</v>
      </c>
      <c r="C368" s="9" t="s">
        <v>148</v>
      </c>
      <c r="D368" s="9" t="s">
        <v>755</v>
      </c>
      <c r="E368" s="9" t="s">
        <v>428</v>
      </c>
      <c r="F368" s="2" t="s">
        <v>585</v>
      </c>
      <c r="G368">
        <v>163</v>
      </c>
      <c r="H368">
        <v>3</v>
      </c>
      <c r="I368" t="str">
        <f>Clean_Data!$I368</f>
        <v>Khulna Tigers</v>
      </c>
      <c r="J368">
        <v>167</v>
      </c>
      <c r="K368">
        <v>3</v>
      </c>
      <c r="L368" s="9" t="s">
        <v>429</v>
      </c>
      <c r="M368" s="9" t="s">
        <v>142</v>
      </c>
      <c r="N368" s="9" t="s">
        <v>26</v>
      </c>
      <c r="O368" s="9" t="s">
        <v>155</v>
      </c>
      <c r="P368" s="9" t="s">
        <v>142</v>
      </c>
      <c r="Q368" s="9" t="s">
        <v>28</v>
      </c>
      <c r="R368" s="9" t="s">
        <v>29</v>
      </c>
      <c r="S368">
        <v>7</v>
      </c>
      <c r="T368">
        <v>0</v>
      </c>
      <c r="U368" s="9" t="s">
        <v>118</v>
      </c>
      <c r="V368" s="9" t="s">
        <v>752</v>
      </c>
      <c r="W368">
        <v>7</v>
      </c>
      <c r="X368" s="9" t="s">
        <v>753</v>
      </c>
      <c r="Y368">
        <v>330</v>
      </c>
      <c r="Z368" s="9" t="s">
        <v>754</v>
      </c>
      <c r="AA368" s="9" t="s">
        <v>202</v>
      </c>
      <c r="AB368" s="9" t="s">
        <v>225</v>
      </c>
      <c r="AC368" s="9" t="s">
        <v>3</v>
      </c>
      <c r="AD368" s="9" t="s">
        <v>179</v>
      </c>
      <c r="AE368" s="9">
        <f>IF(Table5[[#This Row],[Team_Name]]=Table5[[#This Row],[Correct_Winner]],1,0)</f>
        <v>0</v>
      </c>
    </row>
    <row r="369" spans="1:31" x14ac:dyDescent="0.3">
      <c r="A369" s="9" t="s">
        <v>197</v>
      </c>
      <c r="B369">
        <v>2016</v>
      </c>
      <c r="C369" s="9" t="s">
        <v>148</v>
      </c>
      <c r="D369" s="9" t="s">
        <v>755</v>
      </c>
      <c r="E369" s="9" t="s">
        <v>428</v>
      </c>
      <c r="F369" s="3" t="s">
        <v>581</v>
      </c>
      <c r="G369">
        <v>163</v>
      </c>
      <c r="H369">
        <v>3</v>
      </c>
      <c r="I369" t="str">
        <f>Clean_Data!$I369</f>
        <v>Rangpur Rangers</v>
      </c>
      <c r="J369">
        <v>167</v>
      </c>
      <c r="K369">
        <v>3</v>
      </c>
      <c r="L369" s="9" t="s">
        <v>429</v>
      </c>
      <c r="M369" s="9" t="s">
        <v>142</v>
      </c>
      <c r="N369" s="9" t="s">
        <v>26</v>
      </c>
      <c r="O369" s="9" t="s">
        <v>155</v>
      </c>
      <c r="P369" s="9" t="s">
        <v>142</v>
      </c>
      <c r="Q369" s="9" t="s">
        <v>28</v>
      </c>
      <c r="R369" s="9" t="s">
        <v>29</v>
      </c>
      <c r="S369">
        <v>7</v>
      </c>
      <c r="T369">
        <v>0</v>
      </c>
      <c r="U369" s="9" t="s">
        <v>118</v>
      </c>
      <c r="V369" s="9" t="s">
        <v>752</v>
      </c>
      <c r="W369">
        <v>7</v>
      </c>
      <c r="X369" s="9" t="s">
        <v>753</v>
      </c>
      <c r="Y369">
        <v>330</v>
      </c>
      <c r="Z369" s="9" t="s">
        <v>754</v>
      </c>
      <c r="AA369" s="9" t="s">
        <v>202</v>
      </c>
      <c r="AB369" s="9" t="s">
        <v>225</v>
      </c>
      <c r="AC369" s="9" t="s">
        <v>6</v>
      </c>
      <c r="AD369" s="9" t="s">
        <v>142</v>
      </c>
      <c r="AE369" s="9">
        <f>IF(Table5[[#This Row],[Team_Name]]=Table5[[#This Row],[Correct_Winner]],1,0)</f>
        <v>1</v>
      </c>
    </row>
    <row r="370" spans="1:31" x14ac:dyDescent="0.3">
      <c r="A370" s="9" t="s">
        <v>197</v>
      </c>
      <c r="B370">
        <v>2016</v>
      </c>
      <c r="C370" s="9" t="s">
        <v>156</v>
      </c>
      <c r="D370" s="9" t="s">
        <v>755</v>
      </c>
      <c r="E370" s="9" t="s">
        <v>430</v>
      </c>
      <c r="F370" s="2" t="s">
        <v>280</v>
      </c>
      <c r="G370">
        <v>144</v>
      </c>
      <c r="H370">
        <v>9</v>
      </c>
      <c r="I370" t="str">
        <f>Clean_Data!$I370</f>
        <v>Fortune Barishal</v>
      </c>
      <c r="J370">
        <v>131</v>
      </c>
      <c r="K370">
        <v>9</v>
      </c>
      <c r="L370" s="9" t="s">
        <v>399</v>
      </c>
      <c r="M370" s="9" t="s">
        <v>143</v>
      </c>
      <c r="N370" s="9" t="s">
        <v>26</v>
      </c>
      <c r="O370" s="9" t="s">
        <v>215</v>
      </c>
      <c r="P370" s="9" t="s">
        <v>206</v>
      </c>
      <c r="Q370" s="9" t="s">
        <v>28</v>
      </c>
      <c r="R370" s="9" t="s">
        <v>29</v>
      </c>
      <c r="S370">
        <v>0</v>
      </c>
      <c r="T370">
        <v>13</v>
      </c>
      <c r="U370" s="9" t="s">
        <v>81</v>
      </c>
      <c r="V370" s="9" t="s">
        <v>756</v>
      </c>
      <c r="W370">
        <v>13</v>
      </c>
      <c r="X370" s="9" t="s">
        <v>757</v>
      </c>
      <c r="Y370">
        <v>275</v>
      </c>
      <c r="Z370" s="9" t="s">
        <v>754</v>
      </c>
      <c r="AA370" s="9" t="s">
        <v>147</v>
      </c>
      <c r="AB370" s="9" t="s">
        <v>44</v>
      </c>
      <c r="AC370" s="9" t="s">
        <v>3</v>
      </c>
      <c r="AD370" s="9" t="s">
        <v>206</v>
      </c>
      <c r="AE370" s="9">
        <f>IF(Table5[[#This Row],[Team_Name]]=Table5[[#This Row],[Correct_Winner]],1,0)</f>
        <v>1</v>
      </c>
    </row>
    <row r="371" spans="1:31" x14ac:dyDescent="0.3">
      <c r="A371" s="9" t="s">
        <v>197</v>
      </c>
      <c r="B371">
        <v>2016</v>
      </c>
      <c r="C371" s="9" t="s">
        <v>156</v>
      </c>
      <c r="D371" s="9" t="s">
        <v>755</v>
      </c>
      <c r="E371" s="9" t="s">
        <v>430</v>
      </c>
      <c r="F371" s="3" t="s">
        <v>143</v>
      </c>
      <c r="G371">
        <v>144</v>
      </c>
      <c r="H371">
        <v>9</v>
      </c>
      <c r="I371" t="str">
        <f>Clean_Data!$I371</f>
        <v>Khulna Tigers</v>
      </c>
      <c r="J371">
        <v>131</v>
      </c>
      <c r="K371">
        <v>9</v>
      </c>
      <c r="L371" s="9" t="s">
        <v>399</v>
      </c>
      <c r="M371" s="9" t="s">
        <v>143</v>
      </c>
      <c r="N371" s="9" t="s">
        <v>26</v>
      </c>
      <c r="O371" s="9" t="s">
        <v>215</v>
      </c>
      <c r="P371" s="9" t="s">
        <v>206</v>
      </c>
      <c r="Q371" s="9" t="s">
        <v>28</v>
      </c>
      <c r="R371" s="9" t="s">
        <v>29</v>
      </c>
      <c r="S371">
        <v>0</v>
      </c>
      <c r="T371">
        <v>13</v>
      </c>
      <c r="U371" s="9" t="s">
        <v>81</v>
      </c>
      <c r="V371" s="9" t="s">
        <v>756</v>
      </c>
      <c r="W371">
        <v>13</v>
      </c>
      <c r="X371" s="9" t="s">
        <v>757</v>
      </c>
      <c r="Y371">
        <v>275</v>
      </c>
      <c r="Z371" s="9" t="s">
        <v>754</v>
      </c>
      <c r="AA371" s="9" t="s">
        <v>147</v>
      </c>
      <c r="AB371" s="9" t="s">
        <v>44</v>
      </c>
      <c r="AC371" s="9" t="s">
        <v>6</v>
      </c>
      <c r="AD371" s="9" t="s">
        <v>143</v>
      </c>
      <c r="AE371" s="9">
        <f>IF(Table5[[#This Row],[Team_Name]]=Table5[[#This Row],[Correct_Winner]],1,0)</f>
        <v>0</v>
      </c>
    </row>
    <row r="372" spans="1:31" x14ac:dyDescent="0.3">
      <c r="A372" s="9" t="s">
        <v>197</v>
      </c>
      <c r="B372">
        <v>2016</v>
      </c>
      <c r="C372" s="9" t="s">
        <v>163</v>
      </c>
      <c r="D372" s="9" t="s">
        <v>755</v>
      </c>
      <c r="E372" s="9" t="s">
        <v>430</v>
      </c>
      <c r="F372" s="2" t="s">
        <v>280</v>
      </c>
      <c r="G372">
        <v>192</v>
      </c>
      <c r="H372">
        <v>4</v>
      </c>
      <c r="I372" t="str">
        <f>Clean_Data!$I372</f>
        <v>Sylhet Strikers</v>
      </c>
      <c r="J372">
        <v>188</v>
      </c>
      <c r="K372">
        <v>6</v>
      </c>
      <c r="L372" s="9" t="s">
        <v>154</v>
      </c>
      <c r="M372" s="9" t="s">
        <v>199</v>
      </c>
      <c r="N372" s="9" t="s">
        <v>26</v>
      </c>
      <c r="O372" s="9" t="s">
        <v>155</v>
      </c>
      <c r="P372" s="9" t="s">
        <v>142</v>
      </c>
      <c r="Q372" s="9" t="s">
        <v>28</v>
      </c>
      <c r="R372" s="9" t="s">
        <v>29</v>
      </c>
      <c r="S372">
        <v>0</v>
      </c>
      <c r="T372">
        <v>4</v>
      </c>
      <c r="U372" s="9" t="s">
        <v>103</v>
      </c>
      <c r="V372" s="9" t="s">
        <v>756</v>
      </c>
      <c r="W372">
        <v>4</v>
      </c>
      <c r="X372" s="9" t="s">
        <v>753</v>
      </c>
      <c r="Y372">
        <v>380</v>
      </c>
      <c r="Z372" s="9" t="s">
        <v>754</v>
      </c>
      <c r="AA372" s="9" t="s">
        <v>72</v>
      </c>
      <c r="AB372" s="9" t="s">
        <v>202</v>
      </c>
      <c r="AC372" s="9" t="s">
        <v>3</v>
      </c>
      <c r="AD372" s="9" t="s">
        <v>142</v>
      </c>
      <c r="AE372" s="9">
        <f>IF(Table5[[#This Row],[Team_Name]]=Table5[[#This Row],[Correct_Winner]],1,0)</f>
        <v>1</v>
      </c>
    </row>
    <row r="373" spans="1:31" x14ac:dyDescent="0.3">
      <c r="A373" s="9" t="s">
        <v>197</v>
      </c>
      <c r="B373">
        <v>2016</v>
      </c>
      <c r="C373" s="9" t="s">
        <v>163</v>
      </c>
      <c r="D373" s="9" t="s">
        <v>755</v>
      </c>
      <c r="E373" s="9" t="s">
        <v>430</v>
      </c>
      <c r="F373" s="3" t="s">
        <v>585</v>
      </c>
      <c r="G373">
        <v>192</v>
      </c>
      <c r="H373">
        <v>4</v>
      </c>
      <c r="I373" t="str">
        <f>Clean_Data!$I373</f>
        <v>Rangpur Rangers</v>
      </c>
      <c r="J373">
        <v>188</v>
      </c>
      <c r="K373">
        <v>6</v>
      </c>
      <c r="L373" s="9" t="s">
        <v>154</v>
      </c>
      <c r="M373" s="9" t="s">
        <v>199</v>
      </c>
      <c r="N373" s="9" t="s">
        <v>26</v>
      </c>
      <c r="O373" s="9" t="s">
        <v>155</v>
      </c>
      <c r="P373" s="9" t="s">
        <v>142</v>
      </c>
      <c r="Q373" s="9" t="s">
        <v>28</v>
      </c>
      <c r="R373" s="9" t="s">
        <v>29</v>
      </c>
      <c r="S373">
        <v>0</v>
      </c>
      <c r="T373">
        <v>4</v>
      </c>
      <c r="U373" s="9" t="s">
        <v>103</v>
      </c>
      <c r="V373" s="9" t="s">
        <v>756</v>
      </c>
      <c r="W373">
        <v>4</v>
      </c>
      <c r="X373" s="9" t="s">
        <v>753</v>
      </c>
      <c r="Y373">
        <v>380</v>
      </c>
      <c r="Z373" s="9" t="s">
        <v>754</v>
      </c>
      <c r="AA373" s="9" t="s">
        <v>72</v>
      </c>
      <c r="AB373" s="9" t="s">
        <v>202</v>
      </c>
      <c r="AC373" s="9" t="s">
        <v>6</v>
      </c>
      <c r="AD373" s="9" t="s">
        <v>199</v>
      </c>
      <c r="AE373" s="9">
        <f>IF(Table5[[#This Row],[Team_Name]]=Table5[[#This Row],[Correct_Winner]],1,0)</f>
        <v>0</v>
      </c>
    </row>
    <row r="374" spans="1:31" x14ac:dyDescent="0.3">
      <c r="A374" s="9" t="s">
        <v>197</v>
      </c>
      <c r="B374">
        <v>2016</v>
      </c>
      <c r="C374" s="9" t="s">
        <v>168</v>
      </c>
      <c r="D374" s="9" t="s">
        <v>755</v>
      </c>
      <c r="E374" s="9" t="s">
        <v>431</v>
      </c>
      <c r="F374" s="2" t="s">
        <v>581</v>
      </c>
      <c r="G374">
        <v>170</v>
      </c>
      <c r="H374">
        <v>6</v>
      </c>
      <c r="I374" t="str">
        <f>Clean_Data!$I374</f>
        <v>Khulna Tigers</v>
      </c>
      <c r="J374">
        <v>92</v>
      </c>
      <c r="K374">
        <v>10</v>
      </c>
      <c r="L374" s="9" t="s">
        <v>432</v>
      </c>
      <c r="M374" s="9" t="s">
        <v>113</v>
      </c>
      <c r="N374" s="9" t="s">
        <v>26</v>
      </c>
      <c r="O374" s="9" t="s">
        <v>193</v>
      </c>
      <c r="P374" s="9" t="s">
        <v>160</v>
      </c>
      <c r="Q374" s="9" t="s">
        <v>28</v>
      </c>
      <c r="R374" s="9" t="s">
        <v>29</v>
      </c>
      <c r="S374">
        <v>0</v>
      </c>
      <c r="T374">
        <v>78</v>
      </c>
      <c r="U374" s="9" t="s">
        <v>419</v>
      </c>
      <c r="V374" s="9" t="s">
        <v>756</v>
      </c>
      <c r="W374">
        <v>78</v>
      </c>
      <c r="X374" s="9" t="s">
        <v>757</v>
      </c>
      <c r="Y374">
        <v>262</v>
      </c>
      <c r="Z374" s="9" t="s">
        <v>754</v>
      </c>
      <c r="AA374" s="9" t="s">
        <v>202</v>
      </c>
      <c r="AB374" s="9" t="s">
        <v>39</v>
      </c>
      <c r="AC374" s="9" t="s">
        <v>3</v>
      </c>
      <c r="AD374" s="9" t="s">
        <v>160</v>
      </c>
      <c r="AE374" s="9">
        <f>IF(Table5[[#This Row],[Team_Name]]=Table5[[#This Row],[Correct_Winner]],1,0)</f>
        <v>1</v>
      </c>
    </row>
    <row r="375" spans="1:31" x14ac:dyDescent="0.3">
      <c r="A375" s="9" t="s">
        <v>197</v>
      </c>
      <c r="B375">
        <v>2016</v>
      </c>
      <c r="C375" s="9" t="s">
        <v>168</v>
      </c>
      <c r="D375" s="9" t="s">
        <v>755</v>
      </c>
      <c r="E375" s="9" t="s">
        <v>431</v>
      </c>
      <c r="F375" s="3" t="s">
        <v>310</v>
      </c>
      <c r="G375">
        <v>170</v>
      </c>
      <c r="H375">
        <v>6</v>
      </c>
      <c r="I375" t="str">
        <f>Clean_Data!$I375</f>
        <v>Dhaka Dominators</v>
      </c>
      <c r="J375">
        <v>92</v>
      </c>
      <c r="K375">
        <v>10</v>
      </c>
      <c r="L375" s="9" t="s">
        <v>432</v>
      </c>
      <c r="M375" s="9" t="s">
        <v>113</v>
      </c>
      <c r="N375" s="9" t="s">
        <v>26</v>
      </c>
      <c r="O375" s="9" t="s">
        <v>193</v>
      </c>
      <c r="P375" s="9" t="s">
        <v>160</v>
      </c>
      <c r="Q375" s="9" t="s">
        <v>28</v>
      </c>
      <c r="R375" s="9" t="s">
        <v>29</v>
      </c>
      <c r="S375">
        <v>0</v>
      </c>
      <c r="T375">
        <v>78</v>
      </c>
      <c r="U375" s="9" t="s">
        <v>419</v>
      </c>
      <c r="V375" s="9" t="s">
        <v>756</v>
      </c>
      <c r="W375">
        <v>78</v>
      </c>
      <c r="X375" s="9" t="s">
        <v>757</v>
      </c>
      <c r="Y375">
        <v>262</v>
      </c>
      <c r="Z375" s="9" t="s">
        <v>754</v>
      </c>
      <c r="AA375" s="9" t="s">
        <v>202</v>
      </c>
      <c r="AB375" s="9" t="s">
        <v>39</v>
      </c>
      <c r="AC375" s="9" t="s">
        <v>6</v>
      </c>
      <c r="AD375" s="9" t="s">
        <v>113</v>
      </c>
      <c r="AE375" s="9">
        <f>IF(Table5[[#This Row],[Team_Name]]=Table5[[#This Row],[Correct_Winner]],1,0)</f>
        <v>0</v>
      </c>
    </row>
    <row r="376" spans="1:31" x14ac:dyDescent="0.3">
      <c r="A376" s="9" t="s">
        <v>197</v>
      </c>
      <c r="B376">
        <v>2016</v>
      </c>
      <c r="C376" s="9" t="s">
        <v>170</v>
      </c>
      <c r="D376" s="9" t="s">
        <v>755</v>
      </c>
      <c r="E376" s="9" t="s">
        <v>431</v>
      </c>
      <c r="F376" s="2" t="s">
        <v>277</v>
      </c>
      <c r="G376">
        <v>127</v>
      </c>
      <c r="H376">
        <v>7</v>
      </c>
      <c r="I376" t="str">
        <f>Clean_Data!$I376</f>
        <v>Comilla Victorians</v>
      </c>
      <c r="J376">
        <v>123</v>
      </c>
      <c r="K376">
        <v>9</v>
      </c>
      <c r="L376" s="9" t="s">
        <v>157</v>
      </c>
      <c r="M376" s="9" t="s">
        <v>179</v>
      </c>
      <c r="N376" s="9" t="s">
        <v>26</v>
      </c>
      <c r="O376" s="9" t="s">
        <v>215</v>
      </c>
      <c r="P376" s="9" t="s">
        <v>206</v>
      </c>
      <c r="Q376" s="9" t="s">
        <v>28</v>
      </c>
      <c r="R376" s="9" t="s">
        <v>29</v>
      </c>
      <c r="S376">
        <v>0</v>
      </c>
      <c r="T376">
        <v>4</v>
      </c>
      <c r="U376" s="9" t="s">
        <v>103</v>
      </c>
      <c r="V376" s="9" t="s">
        <v>756</v>
      </c>
      <c r="W376">
        <v>4</v>
      </c>
      <c r="X376" s="9" t="s">
        <v>753</v>
      </c>
      <c r="Y376">
        <v>250</v>
      </c>
      <c r="Z376" s="9" t="s">
        <v>754</v>
      </c>
      <c r="AA376" s="9" t="s">
        <v>50</v>
      </c>
      <c r="AB376" s="9" t="s">
        <v>147</v>
      </c>
      <c r="AC376" s="9" t="s">
        <v>3</v>
      </c>
      <c r="AD376" s="9" t="s">
        <v>206</v>
      </c>
      <c r="AE376" s="9">
        <f>IF(Table5[[#This Row],[Team_Name]]=Table5[[#This Row],[Correct_Winner]],1,0)</f>
        <v>1</v>
      </c>
    </row>
    <row r="377" spans="1:31" x14ac:dyDescent="0.3">
      <c r="A377" s="9" t="s">
        <v>197</v>
      </c>
      <c r="B377">
        <v>2016</v>
      </c>
      <c r="C377" s="9" t="s">
        <v>170</v>
      </c>
      <c r="D377" s="9" t="s">
        <v>755</v>
      </c>
      <c r="E377" s="9" t="s">
        <v>431</v>
      </c>
      <c r="F377" s="3" t="s">
        <v>310</v>
      </c>
      <c r="G377">
        <v>127</v>
      </c>
      <c r="H377">
        <v>7</v>
      </c>
      <c r="I377" t="str">
        <f>Clean_Data!$I377</f>
        <v>Khulna Tigers</v>
      </c>
      <c r="J377">
        <v>123</v>
      </c>
      <c r="K377">
        <v>9</v>
      </c>
      <c r="L377" s="9" t="s">
        <v>157</v>
      </c>
      <c r="M377" s="9" t="s">
        <v>179</v>
      </c>
      <c r="N377" s="9" t="s">
        <v>26</v>
      </c>
      <c r="O377" s="9" t="s">
        <v>215</v>
      </c>
      <c r="P377" s="9" t="s">
        <v>206</v>
      </c>
      <c r="Q377" s="9" t="s">
        <v>28</v>
      </c>
      <c r="R377" s="9" t="s">
        <v>29</v>
      </c>
      <c r="S377">
        <v>0</v>
      </c>
      <c r="T377">
        <v>4</v>
      </c>
      <c r="U377" s="9" t="s">
        <v>103</v>
      </c>
      <c r="V377" s="9" t="s">
        <v>756</v>
      </c>
      <c r="W377">
        <v>4</v>
      </c>
      <c r="X377" s="9" t="s">
        <v>753</v>
      </c>
      <c r="Y377">
        <v>250</v>
      </c>
      <c r="Z377" s="9" t="s">
        <v>754</v>
      </c>
      <c r="AA377" s="9" t="s">
        <v>50</v>
      </c>
      <c r="AB377" s="9" t="s">
        <v>147</v>
      </c>
      <c r="AC377" s="9" t="s">
        <v>6</v>
      </c>
      <c r="AD377" s="9" t="s">
        <v>179</v>
      </c>
      <c r="AE377" s="9">
        <f>IF(Table5[[#This Row],[Team_Name]]=Table5[[#This Row],[Correct_Winner]],1,0)</f>
        <v>0</v>
      </c>
    </row>
    <row r="378" spans="1:31" x14ac:dyDescent="0.3">
      <c r="A378" s="9" t="s">
        <v>197</v>
      </c>
      <c r="B378">
        <v>2016</v>
      </c>
      <c r="C378" s="9" t="s">
        <v>176</v>
      </c>
      <c r="D378" s="9" t="s">
        <v>755</v>
      </c>
      <c r="E378" s="9" t="s">
        <v>433</v>
      </c>
      <c r="F378" s="2" t="s">
        <v>585</v>
      </c>
      <c r="G378">
        <v>138</v>
      </c>
      <c r="H378">
        <v>5</v>
      </c>
      <c r="I378" t="str">
        <f>Clean_Data!$I378</f>
        <v>Rangpur Rangers</v>
      </c>
      <c r="J378">
        <v>139</v>
      </c>
      <c r="K378">
        <v>4</v>
      </c>
      <c r="L378" s="9" t="s">
        <v>207</v>
      </c>
      <c r="M378" s="9" t="s">
        <v>199</v>
      </c>
      <c r="N378" s="9" t="s">
        <v>26</v>
      </c>
      <c r="O378" s="9" t="s">
        <v>208</v>
      </c>
      <c r="P378" s="9" t="s">
        <v>199</v>
      </c>
      <c r="Q378" s="9" t="s">
        <v>28</v>
      </c>
      <c r="R378" s="9" t="s">
        <v>29</v>
      </c>
      <c r="S378">
        <v>6</v>
      </c>
      <c r="T378">
        <v>0</v>
      </c>
      <c r="U378" s="9" t="s">
        <v>151</v>
      </c>
      <c r="V378" s="9" t="s">
        <v>752</v>
      </c>
      <c r="W378">
        <v>6</v>
      </c>
      <c r="X378" s="9" t="s">
        <v>753</v>
      </c>
      <c r="Y378">
        <v>277</v>
      </c>
      <c r="Z378" s="9" t="s">
        <v>754</v>
      </c>
      <c r="AA378" s="9" t="s">
        <v>202</v>
      </c>
      <c r="AB378" s="9" t="s">
        <v>66</v>
      </c>
      <c r="AC378" s="9" t="s">
        <v>3</v>
      </c>
      <c r="AD378" s="9" t="s">
        <v>160</v>
      </c>
      <c r="AE378" s="9">
        <f>IF(Table5[[#This Row],[Team_Name]]=Table5[[#This Row],[Correct_Winner]],1,0)</f>
        <v>0</v>
      </c>
    </row>
    <row r="379" spans="1:31" x14ac:dyDescent="0.3">
      <c r="A379" s="9" t="s">
        <v>197</v>
      </c>
      <c r="B379">
        <v>2016</v>
      </c>
      <c r="C379" s="9" t="s">
        <v>176</v>
      </c>
      <c r="D379" s="9" t="s">
        <v>755</v>
      </c>
      <c r="E379" s="9" t="s">
        <v>433</v>
      </c>
      <c r="F379" s="3" t="s">
        <v>280</v>
      </c>
      <c r="G379">
        <v>138</v>
      </c>
      <c r="H379">
        <v>5</v>
      </c>
      <c r="I379" t="str">
        <f>Clean_Data!$I379</f>
        <v>Comilla Victorians</v>
      </c>
      <c r="J379">
        <v>139</v>
      </c>
      <c r="K379">
        <v>4</v>
      </c>
      <c r="L379" s="9" t="s">
        <v>207</v>
      </c>
      <c r="M379" s="9" t="s">
        <v>199</v>
      </c>
      <c r="N379" s="9" t="s">
        <v>26</v>
      </c>
      <c r="O379" s="9" t="s">
        <v>208</v>
      </c>
      <c r="P379" s="9" t="s">
        <v>199</v>
      </c>
      <c r="Q379" s="9" t="s">
        <v>28</v>
      </c>
      <c r="R379" s="9" t="s">
        <v>29</v>
      </c>
      <c r="S379">
        <v>6</v>
      </c>
      <c r="T379">
        <v>0</v>
      </c>
      <c r="U379" s="9" t="s">
        <v>151</v>
      </c>
      <c r="V379" s="9" t="s">
        <v>752</v>
      </c>
      <c r="W379">
        <v>6</v>
      </c>
      <c r="X379" s="9" t="s">
        <v>753</v>
      </c>
      <c r="Y379">
        <v>277</v>
      </c>
      <c r="Z379" s="9" t="s">
        <v>754</v>
      </c>
      <c r="AA379" s="9" t="s">
        <v>202</v>
      </c>
      <c r="AB379" s="9" t="s">
        <v>66</v>
      </c>
      <c r="AC379" s="9" t="s">
        <v>6</v>
      </c>
      <c r="AD379" s="9" t="s">
        <v>199</v>
      </c>
      <c r="AE379" s="9">
        <f>IF(Table5[[#This Row],[Team_Name]]=Table5[[#This Row],[Correct_Winner]],1,0)</f>
        <v>1</v>
      </c>
    </row>
    <row r="380" spans="1:31" x14ac:dyDescent="0.3">
      <c r="A380" s="9" t="s">
        <v>197</v>
      </c>
      <c r="B380">
        <v>2016</v>
      </c>
      <c r="C380" s="9" t="s">
        <v>180</v>
      </c>
      <c r="D380" s="9" t="s">
        <v>755</v>
      </c>
      <c r="E380" s="9" t="s">
        <v>433</v>
      </c>
      <c r="F380" s="2" t="s">
        <v>581</v>
      </c>
      <c r="G380">
        <v>129</v>
      </c>
      <c r="H380">
        <v>8</v>
      </c>
      <c r="I380" t="str">
        <f>Clean_Data!$I380</f>
        <v>Rangpur Rangers</v>
      </c>
      <c r="J380">
        <v>130</v>
      </c>
      <c r="K380">
        <v>4</v>
      </c>
      <c r="L380" s="9" t="s">
        <v>434</v>
      </c>
      <c r="M380" s="9" t="s">
        <v>143</v>
      </c>
      <c r="N380" s="9" t="s">
        <v>37</v>
      </c>
      <c r="O380" s="9" t="s">
        <v>155</v>
      </c>
      <c r="P380" s="9" t="s">
        <v>142</v>
      </c>
      <c r="Q380" s="9" t="s">
        <v>28</v>
      </c>
      <c r="R380" s="9" t="s">
        <v>29</v>
      </c>
      <c r="S380">
        <v>6</v>
      </c>
      <c r="T380">
        <v>0</v>
      </c>
      <c r="U380" s="9" t="s">
        <v>151</v>
      </c>
      <c r="V380" s="9" t="s">
        <v>752</v>
      </c>
      <c r="W380">
        <v>6</v>
      </c>
      <c r="X380" s="9" t="s">
        <v>753</v>
      </c>
      <c r="Y380">
        <v>259</v>
      </c>
      <c r="Z380" s="9" t="s">
        <v>754</v>
      </c>
      <c r="AA380" s="9" t="s">
        <v>39</v>
      </c>
      <c r="AB380" s="9" t="s">
        <v>147</v>
      </c>
      <c r="AC380" s="9" t="s">
        <v>3</v>
      </c>
      <c r="AD380" s="9" t="s">
        <v>143</v>
      </c>
      <c r="AE380" s="9">
        <f>IF(Table5[[#This Row],[Team_Name]]=Table5[[#This Row],[Correct_Winner]],1,0)</f>
        <v>0</v>
      </c>
    </row>
    <row r="381" spans="1:31" x14ac:dyDescent="0.3">
      <c r="A381" s="9" t="s">
        <v>197</v>
      </c>
      <c r="B381">
        <v>2016</v>
      </c>
      <c r="C381" s="9" t="s">
        <v>180</v>
      </c>
      <c r="D381" s="9" t="s">
        <v>755</v>
      </c>
      <c r="E381" s="9" t="s">
        <v>433</v>
      </c>
      <c r="F381" s="3" t="s">
        <v>280</v>
      </c>
      <c r="G381">
        <v>129</v>
      </c>
      <c r="H381">
        <v>8</v>
      </c>
      <c r="I381" t="str">
        <f>Clean_Data!$I381</f>
        <v>Dhaka Dominators</v>
      </c>
      <c r="J381">
        <v>130</v>
      </c>
      <c r="K381">
        <v>4</v>
      </c>
      <c r="L381" s="9" t="s">
        <v>434</v>
      </c>
      <c r="M381" s="9" t="s">
        <v>143</v>
      </c>
      <c r="N381" s="9" t="s">
        <v>37</v>
      </c>
      <c r="O381" s="9" t="s">
        <v>155</v>
      </c>
      <c r="P381" s="9" t="s">
        <v>142</v>
      </c>
      <c r="Q381" s="9" t="s">
        <v>28</v>
      </c>
      <c r="R381" s="9" t="s">
        <v>29</v>
      </c>
      <c r="S381">
        <v>6</v>
      </c>
      <c r="T381">
        <v>0</v>
      </c>
      <c r="U381" s="9" t="s">
        <v>151</v>
      </c>
      <c r="V381" s="9" t="s">
        <v>752</v>
      </c>
      <c r="W381">
        <v>6</v>
      </c>
      <c r="X381" s="9" t="s">
        <v>753</v>
      </c>
      <c r="Y381">
        <v>259</v>
      </c>
      <c r="Z381" s="9" t="s">
        <v>754</v>
      </c>
      <c r="AA381" s="9" t="s">
        <v>39</v>
      </c>
      <c r="AB381" s="9" t="s">
        <v>147</v>
      </c>
      <c r="AC381" s="9" t="s">
        <v>6</v>
      </c>
      <c r="AD381" s="9" t="s">
        <v>142</v>
      </c>
      <c r="AE381" s="9">
        <f>IF(Table5[[#This Row],[Team_Name]]=Table5[[#This Row],[Correct_Winner]],1,0)</f>
        <v>1</v>
      </c>
    </row>
    <row r="382" spans="1:31" x14ac:dyDescent="0.3">
      <c r="A382" s="9" t="s">
        <v>197</v>
      </c>
      <c r="B382">
        <v>2016</v>
      </c>
      <c r="C382" s="9" t="s">
        <v>186</v>
      </c>
      <c r="D382" s="9" t="s">
        <v>755</v>
      </c>
      <c r="E382" s="9" t="s">
        <v>435</v>
      </c>
      <c r="F382" s="2" t="s">
        <v>310</v>
      </c>
      <c r="G382">
        <v>44</v>
      </c>
      <c r="H382">
        <v>10</v>
      </c>
      <c r="I382" t="str">
        <f>Clean_Data!$I382</f>
        <v>Comilla Victorians</v>
      </c>
      <c r="J382">
        <v>45</v>
      </c>
      <c r="K382">
        <v>1</v>
      </c>
      <c r="L382" s="9" t="s">
        <v>235</v>
      </c>
      <c r="M382" s="9" t="s">
        <v>113</v>
      </c>
      <c r="N382" s="9" t="s">
        <v>26</v>
      </c>
      <c r="O382" s="9" t="s">
        <v>189</v>
      </c>
      <c r="P382" s="9" t="s">
        <v>113</v>
      </c>
      <c r="Q382" s="9" t="s">
        <v>28</v>
      </c>
      <c r="R382" s="9" t="s">
        <v>29</v>
      </c>
      <c r="S382">
        <v>9</v>
      </c>
      <c r="T382">
        <v>0</v>
      </c>
      <c r="U382" s="9" t="s">
        <v>71</v>
      </c>
      <c r="V382" s="9" t="s">
        <v>752</v>
      </c>
      <c r="W382">
        <v>9</v>
      </c>
      <c r="X382" s="9" t="s">
        <v>753</v>
      </c>
      <c r="Y382">
        <v>89</v>
      </c>
      <c r="Z382" s="9" t="s">
        <v>758</v>
      </c>
      <c r="AA382" s="9" t="s">
        <v>50</v>
      </c>
      <c r="AB382" s="9" t="s">
        <v>147</v>
      </c>
      <c r="AC382" s="9" t="s">
        <v>3</v>
      </c>
      <c r="AD382" s="9" t="s">
        <v>206</v>
      </c>
      <c r="AE382" s="9">
        <f>IF(Table5[[#This Row],[Team_Name]]=Table5[[#This Row],[Correct_Winner]],1,0)</f>
        <v>0</v>
      </c>
    </row>
    <row r="383" spans="1:31" x14ac:dyDescent="0.3">
      <c r="A383" s="9" t="s">
        <v>197</v>
      </c>
      <c r="B383">
        <v>2016</v>
      </c>
      <c r="C383" s="9" t="s">
        <v>186</v>
      </c>
      <c r="D383" s="9" t="s">
        <v>755</v>
      </c>
      <c r="E383" s="9" t="s">
        <v>435</v>
      </c>
      <c r="F383" s="3" t="s">
        <v>277</v>
      </c>
      <c r="G383">
        <v>44</v>
      </c>
      <c r="H383">
        <v>10</v>
      </c>
      <c r="I383" t="str">
        <f>Clean_Data!$I383</f>
        <v>Sylhet Strikers</v>
      </c>
      <c r="J383">
        <v>45</v>
      </c>
      <c r="K383">
        <v>1</v>
      </c>
      <c r="L383" s="9" t="s">
        <v>235</v>
      </c>
      <c r="M383" s="9" t="s">
        <v>113</v>
      </c>
      <c r="N383" s="9" t="s">
        <v>26</v>
      </c>
      <c r="O383" s="9" t="s">
        <v>189</v>
      </c>
      <c r="P383" s="9" t="s">
        <v>113</v>
      </c>
      <c r="Q383" s="9" t="s">
        <v>28</v>
      </c>
      <c r="R383" s="9" t="s">
        <v>29</v>
      </c>
      <c r="S383">
        <v>9</v>
      </c>
      <c r="T383">
        <v>0</v>
      </c>
      <c r="U383" s="9" t="s">
        <v>71</v>
      </c>
      <c r="V383" s="9" t="s">
        <v>752</v>
      </c>
      <c r="W383">
        <v>9</v>
      </c>
      <c r="X383" s="9" t="s">
        <v>753</v>
      </c>
      <c r="Y383">
        <v>89</v>
      </c>
      <c r="Z383" s="9" t="s">
        <v>758</v>
      </c>
      <c r="AA383" s="9" t="s">
        <v>50</v>
      </c>
      <c r="AB383" s="9" t="s">
        <v>147</v>
      </c>
      <c r="AC383" s="9" t="s">
        <v>6</v>
      </c>
      <c r="AD383" s="9" t="s">
        <v>113</v>
      </c>
      <c r="AE383" s="9">
        <f>IF(Table5[[#This Row],[Team_Name]]=Table5[[#This Row],[Correct_Winner]],1,0)</f>
        <v>1</v>
      </c>
    </row>
    <row r="384" spans="1:31" x14ac:dyDescent="0.3">
      <c r="A384" s="9" t="s">
        <v>197</v>
      </c>
      <c r="B384">
        <v>2016</v>
      </c>
      <c r="C384" s="9" t="s">
        <v>190</v>
      </c>
      <c r="D384" s="9" t="s">
        <v>755</v>
      </c>
      <c r="E384" s="9" t="s">
        <v>436</v>
      </c>
      <c r="F384" s="2" t="s">
        <v>280</v>
      </c>
      <c r="G384">
        <v>124</v>
      </c>
      <c r="H384">
        <v>10</v>
      </c>
      <c r="I384" t="str">
        <f>Clean_Data!$I384</f>
        <v>Rangpur Rangers</v>
      </c>
      <c r="J384">
        <v>125</v>
      </c>
      <c r="K384">
        <v>1</v>
      </c>
      <c r="L384" s="9" t="s">
        <v>221</v>
      </c>
      <c r="M384" s="9" t="s">
        <v>113</v>
      </c>
      <c r="N384" s="9" t="s">
        <v>26</v>
      </c>
      <c r="O384" s="9" t="s">
        <v>189</v>
      </c>
      <c r="P384" s="9" t="s">
        <v>113</v>
      </c>
      <c r="Q384" s="9" t="s">
        <v>28</v>
      </c>
      <c r="R384" s="9" t="s">
        <v>29</v>
      </c>
      <c r="S384">
        <v>9</v>
      </c>
      <c r="T384">
        <v>0</v>
      </c>
      <c r="U384" s="9" t="s">
        <v>71</v>
      </c>
      <c r="V384" s="9" t="s">
        <v>752</v>
      </c>
      <c r="W384">
        <v>9</v>
      </c>
      <c r="X384" s="9" t="s">
        <v>753</v>
      </c>
      <c r="Y384">
        <v>249</v>
      </c>
      <c r="Z384" s="9" t="s">
        <v>754</v>
      </c>
      <c r="AA384" s="9" t="s">
        <v>202</v>
      </c>
      <c r="AB384" s="9" t="s">
        <v>39</v>
      </c>
      <c r="AC384" s="9" t="s">
        <v>3</v>
      </c>
      <c r="AD384" s="9" t="s">
        <v>179</v>
      </c>
      <c r="AE384" s="9">
        <f>IF(Table5[[#This Row],[Team_Name]]=Table5[[#This Row],[Correct_Winner]],1,0)</f>
        <v>0</v>
      </c>
    </row>
    <row r="385" spans="1:31" x14ac:dyDescent="0.3">
      <c r="A385" s="9" t="s">
        <v>197</v>
      </c>
      <c r="B385">
        <v>2016</v>
      </c>
      <c r="C385" s="9" t="s">
        <v>190</v>
      </c>
      <c r="D385" s="9" t="s">
        <v>755</v>
      </c>
      <c r="E385" s="9" t="s">
        <v>436</v>
      </c>
      <c r="F385" s="3" t="s">
        <v>143</v>
      </c>
      <c r="G385">
        <v>124</v>
      </c>
      <c r="H385">
        <v>10</v>
      </c>
      <c r="I385" t="str">
        <f>Clean_Data!$I385</f>
        <v>Rangpur Rangers</v>
      </c>
      <c r="J385">
        <v>125</v>
      </c>
      <c r="K385">
        <v>1</v>
      </c>
      <c r="L385" s="9" t="s">
        <v>221</v>
      </c>
      <c r="M385" s="9" t="s">
        <v>113</v>
      </c>
      <c r="N385" s="9" t="s">
        <v>26</v>
      </c>
      <c r="O385" s="9" t="s">
        <v>189</v>
      </c>
      <c r="P385" s="9" t="s">
        <v>113</v>
      </c>
      <c r="Q385" s="9" t="s">
        <v>28</v>
      </c>
      <c r="R385" s="9" t="s">
        <v>29</v>
      </c>
      <c r="S385">
        <v>9</v>
      </c>
      <c r="T385">
        <v>0</v>
      </c>
      <c r="U385" s="9" t="s">
        <v>71</v>
      </c>
      <c r="V385" s="9" t="s">
        <v>752</v>
      </c>
      <c r="W385">
        <v>9</v>
      </c>
      <c r="X385" s="9" t="s">
        <v>753</v>
      </c>
      <c r="Y385">
        <v>249</v>
      </c>
      <c r="Z385" s="9" t="s">
        <v>754</v>
      </c>
      <c r="AA385" s="9" t="s">
        <v>202</v>
      </c>
      <c r="AB385" s="9" t="s">
        <v>39</v>
      </c>
      <c r="AC385" s="9" t="s">
        <v>6</v>
      </c>
      <c r="AD385" s="9" t="s">
        <v>113</v>
      </c>
      <c r="AE385" s="9">
        <f>IF(Table5[[#This Row],[Team_Name]]=Table5[[#This Row],[Correct_Winner]],1,0)</f>
        <v>1</v>
      </c>
    </row>
    <row r="386" spans="1:31" x14ac:dyDescent="0.3">
      <c r="A386" s="9" t="s">
        <v>197</v>
      </c>
      <c r="B386">
        <v>2016</v>
      </c>
      <c r="C386" s="9" t="s">
        <v>195</v>
      </c>
      <c r="D386" s="9" t="s">
        <v>755</v>
      </c>
      <c r="E386" s="9" t="s">
        <v>436</v>
      </c>
      <c r="F386" s="2" t="s">
        <v>310</v>
      </c>
      <c r="G386">
        <v>133</v>
      </c>
      <c r="H386">
        <v>8</v>
      </c>
      <c r="I386" t="str">
        <f>Clean_Data!$I386</f>
        <v>Khulna Tigers</v>
      </c>
      <c r="J386">
        <v>130</v>
      </c>
      <c r="K386">
        <v>10</v>
      </c>
      <c r="L386" s="9" t="s">
        <v>157</v>
      </c>
      <c r="M386" s="9" t="s">
        <v>206</v>
      </c>
      <c r="N386" s="9" t="s">
        <v>37</v>
      </c>
      <c r="O386" s="9" t="s">
        <v>215</v>
      </c>
      <c r="P386" s="9" t="s">
        <v>206</v>
      </c>
      <c r="Q386" s="9" t="s">
        <v>28</v>
      </c>
      <c r="R386" s="9" t="s">
        <v>29</v>
      </c>
      <c r="S386">
        <v>0</v>
      </c>
      <c r="T386">
        <v>3</v>
      </c>
      <c r="U386" s="9" t="s">
        <v>437</v>
      </c>
      <c r="V386" s="9" t="s">
        <v>756</v>
      </c>
      <c r="W386">
        <v>3</v>
      </c>
      <c r="X386" s="9" t="s">
        <v>753</v>
      </c>
      <c r="Y386">
        <v>263</v>
      </c>
      <c r="Z386" s="9" t="s">
        <v>754</v>
      </c>
      <c r="AA386" s="9" t="s">
        <v>438</v>
      </c>
      <c r="AB386" s="9" t="s">
        <v>410</v>
      </c>
      <c r="AC386" s="9" t="s">
        <v>3</v>
      </c>
      <c r="AD386" s="9" t="s">
        <v>206</v>
      </c>
      <c r="AE386" s="9">
        <f>IF(Table5[[#This Row],[Team_Name]]=Table5[[#This Row],[Correct_Winner]],1,0)</f>
        <v>1</v>
      </c>
    </row>
    <row r="387" spans="1:31" x14ac:dyDescent="0.3">
      <c r="A387" s="9" t="s">
        <v>197</v>
      </c>
      <c r="B387">
        <v>2016</v>
      </c>
      <c r="C387" s="9" t="s">
        <v>195</v>
      </c>
      <c r="D387" s="9" t="s">
        <v>755</v>
      </c>
      <c r="E387" s="9" t="s">
        <v>436</v>
      </c>
      <c r="F387" s="3" t="s">
        <v>310</v>
      </c>
      <c r="G387">
        <v>133</v>
      </c>
      <c r="H387">
        <v>8</v>
      </c>
      <c r="I387" t="str">
        <f>Clean_Data!$I387</f>
        <v>Rangpur Rangers</v>
      </c>
      <c r="J387">
        <v>130</v>
      </c>
      <c r="K387">
        <v>10</v>
      </c>
      <c r="L387" s="9" t="s">
        <v>157</v>
      </c>
      <c r="M387" s="9" t="s">
        <v>206</v>
      </c>
      <c r="N387" s="9" t="s">
        <v>37</v>
      </c>
      <c r="O387" s="9" t="s">
        <v>215</v>
      </c>
      <c r="P387" s="9" t="s">
        <v>206</v>
      </c>
      <c r="Q387" s="9" t="s">
        <v>28</v>
      </c>
      <c r="R387" s="9" t="s">
        <v>29</v>
      </c>
      <c r="S387">
        <v>0</v>
      </c>
      <c r="T387">
        <v>3</v>
      </c>
      <c r="U387" s="9" t="s">
        <v>437</v>
      </c>
      <c r="V387" s="9" t="s">
        <v>756</v>
      </c>
      <c r="W387">
        <v>3</v>
      </c>
      <c r="X387" s="9" t="s">
        <v>753</v>
      </c>
      <c r="Y387">
        <v>263</v>
      </c>
      <c r="Z387" s="9" t="s">
        <v>754</v>
      </c>
      <c r="AA387" s="9" t="s">
        <v>438</v>
      </c>
      <c r="AB387" s="9" t="s">
        <v>410</v>
      </c>
      <c r="AC387" s="9" t="s">
        <v>6</v>
      </c>
      <c r="AD387" s="9" t="s">
        <v>199</v>
      </c>
      <c r="AE387" s="9">
        <f>IF(Table5[[#This Row],[Team_Name]]=Table5[[#This Row],[Correct_Winner]],1,0)</f>
        <v>0</v>
      </c>
    </row>
    <row r="388" spans="1:31" x14ac:dyDescent="0.3">
      <c r="A388" s="9" t="s">
        <v>197</v>
      </c>
      <c r="B388">
        <v>2016</v>
      </c>
      <c r="C388" s="9" t="s">
        <v>33</v>
      </c>
      <c r="D388" s="9" t="s">
        <v>755</v>
      </c>
      <c r="E388" s="9" t="s">
        <v>439</v>
      </c>
      <c r="F388" s="2" t="s">
        <v>581</v>
      </c>
      <c r="G388">
        <v>148</v>
      </c>
      <c r="H388">
        <v>6</v>
      </c>
      <c r="I388" t="str">
        <f>Clean_Data!$I388</f>
        <v>Comilla Victorians</v>
      </c>
      <c r="J388">
        <v>149</v>
      </c>
      <c r="K388">
        <v>2</v>
      </c>
      <c r="L388" s="9" t="s">
        <v>370</v>
      </c>
      <c r="M388" s="9" t="s">
        <v>160</v>
      </c>
      <c r="N388" s="9" t="s">
        <v>26</v>
      </c>
      <c r="O388" s="9" t="s">
        <v>193</v>
      </c>
      <c r="P388" s="9" t="s">
        <v>160</v>
      </c>
      <c r="Q388" s="9" t="s">
        <v>28</v>
      </c>
      <c r="R388" s="9" t="s">
        <v>29</v>
      </c>
      <c r="S388">
        <v>8</v>
      </c>
      <c r="T388">
        <v>0</v>
      </c>
      <c r="U388" s="9" t="s">
        <v>30</v>
      </c>
      <c r="V388" s="9" t="s">
        <v>752</v>
      </c>
      <c r="W388">
        <v>8</v>
      </c>
      <c r="X388" s="9" t="s">
        <v>753</v>
      </c>
      <c r="Y388">
        <v>297</v>
      </c>
      <c r="Z388" s="9" t="s">
        <v>754</v>
      </c>
      <c r="AA388" s="9" t="s">
        <v>202</v>
      </c>
      <c r="AB388" s="9" t="s">
        <v>39</v>
      </c>
      <c r="AC388" s="9" t="s">
        <v>3</v>
      </c>
      <c r="AD388" s="9" t="s">
        <v>142</v>
      </c>
      <c r="AE388" s="9">
        <f>IF(Table5[[#This Row],[Team_Name]]=Table5[[#This Row],[Correct_Winner]],1,0)</f>
        <v>0</v>
      </c>
    </row>
    <row r="389" spans="1:31" x14ac:dyDescent="0.3">
      <c r="A389" s="9" t="s">
        <v>197</v>
      </c>
      <c r="B389">
        <v>2016</v>
      </c>
      <c r="C389" s="9" t="s">
        <v>33</v>
      </c>
      <c r="D389" s="9" t="s">
        <v>755</v>
      </c>
      <c r="E389" s="9" t="s">
        <v>439</v>
      </c>
      <c r="F389" s="3" t="s">
        <v>581</v>
      </c>
      <c r="G389">
        <v>148</v>
      </c>
      <c r="H389">
        <v>6</v>
      </c>
      <c r="I389" t="str">
        <f>Clean_Data!$I389</f>
        <v>Rangpur Rangers</v>
      </c>
      <c r="J389">
        <v>149</v>
      </c>
      <c r="K389">
        <v>2</v>
      </c>
      <c r="L389" s="9" t="s">
        <v>370</v>
      </c>
      <c r="M389" s="9" t="s">
        <v>160</v>
      </c>
      <c r="N389" s="9" t="s">
        <v>26</v>
      </c>
      <c r="O389" s="9" t="s">
        <v>193</v>
      </c>
      <c r="P389" s="9" t="s">
        <v>160</v>
      </c>
      <c r="Q389" s="9" t="s">
        <v>28</v>
      </c>
      <c r="R389" s="9" t="s">
        <v>29</v>
      </c>
      <c r="S389">
        <v>8</v>
      </c>
      <c r="T389">
        <v>0</v>
      </c>
      <c r="U389" s="9" t="s">
        <v>30</v>
      </c>
      <c r="V389" s="9" t="s">
        <v>752</v>
      </c>
      <c r="W389">
        <v>8</v>
      </c>
      <c r="X389" s="9" t="s">
        <v>753</v>
      </c>
      <c r="Y389">
        <v>297</v>
      </c>
      <c r="Z389" s="9" t="s">
        <v>754</v>
      </c>
      <c r="AA389" s="9" t="s">
        <v>202</v>
      </c>
      <c r="AB389" s="9" t="s">
        <v>39</v>
      </c>
      <c r="AC389" s="9" t="s">
        <v>6</v>
      </c>
      <c r="AD389" s="9" t="s">
        <v>160</v>
      </c>
      <c r="AE389" s="9">
        <f>IF(Table5[[#This Row],[Team_Name]]=Table5[[#This Row],[Correct_Winner]],1,0)</f>
        <v>1</v>
      </c>
    </row>
    <row r="390" spans="1:31" x14ac:dyDescent="0.3">
      <c r="A390" s="9" t="s">
        <v>197</v>
      </c>
      <c r="B390">
        <v>2016</v>
      </c>
      <c r="C390" s="9" t="s">
        <v>40</v>
      </c>
      <c r="D390" s="9" t="s">
        <v>755</v>
      </c>
      <c r="E390" s="9" t="s">
        <v>439</v>
      </c>
      <c r="F390" s="2" t="s">
        <v>581</v>
      </c>
      <c r="G390">
        <v>161</v>
      </c>
      <c r="H390">
        <v>3</v>
      </c>
      <c r="I390" t="str">
        <f>Clean_Data!$I390</f>
        <v>Comilla Victorians</v>
      </c>
      <c r="J390">
        <v>132</v>
      </c>
      <c r="K390">
        <v>8</v>
      </c>
      <c r="L390" s="9" t="s">
        <v>356</v>
      </c>
      <c r="M390" s="9" t="s">
        <v>143</v>
      </c>
      <c r="N390" s="9" t="s">
        <v>26</v>
      </c>
      <c r="O390" s="9" t="s">
        <v>245</v>
      </c>
      <c r="P390" s="9" t="s">
        <v>179</v>
      </c>
      <c r="Q390" s="9" t="s">
        <v>28</v>
      </c>
      <c r="R390" s="9" t="s">
        <v>29</v>
      </c>
      <c r="S390">
        <v>0</v>
      </c>
      <c r="T390">
        <v>29</v>
      </c>
      <c r="U390" s="9" t="s">
        <v>109</v>
      </c>
      <c r="V390" s="9" t="s">
        <v>756</v>
      </c>
      <c r="W390">
        <v>29</v>
      </c>
      <c r="X390" s="9" t="s">
        <v>757</v>
      </c>
      <c r="Y390">
        <v>293</v>
      </c>
      <c r="Z390" s="9" t="s">
        <v>754</v>
      </c>
      <c r="AA390" s="9" t="s">
        <v>440</v>
      </c>
      <c r="AB390" s="9" t="s">
        <v>291</v>
      </c>
      <c r="AC390" s="9" t="s">
        <v>3</v>
      </c>
      <c r="AD390" s="9" t="s">
        <v>179</v>
      </c>
      <c r="AE390" s="9">
        <f>IF(Table5[[#This Row],[Team_Name]]=Table5[[#This Row],[Correct_Winner]],1,0)</f>
        <v>1</v>
      </c>
    </row>
    <row r="391" spans="1:31" x14ac:dyDescent="0.3">
      <c r="A391" s="9" t="s">
        <v>197</v>
      </c>
      <c r="B391">
        <v>2016</v>
      </c>
      <c r="C391" s="9" t="s">
        <v>40</v>
      </c>
      <c r="D391" s="9" t="s">
        <v>755</v>
      </c>
      <c r="E391" s="9" t="s">
        <v>439</v>
      </c>
      <c r="F391" s="3" t="s">
        <v>635</v>
      </c>
      <c r="G391">
        <v>161</v>
      </c>
      <c r="H391">
        <v>3</v>
      </c>
      <c r="I391" t="str">
        <f>Clean_Data!$I391</f>
        <v>Durdanto Dhaka</v>
      </c>
      <c r="J391">
        <v>132</v>
      </c>
      <c r="K391">
        <v>8</v>
      </c>
      <c r="L391" s="9" t="s">
        <v>356</v>
      </c>
      <c r="M391" s="9" t="s">
        <v>143</v>
      </c>
      <c r="N391" s="9" t="s">
        <v>26</v>
      </c>
      <c r="O391" s="9" t="s">
        <v>245</v>
      </c>
      <c r="P391" s="9" t="s">
        <v>179</v>
      </c>
      <c r="Q391" s="9" t="s">
        <v>28</v>
      </c>
      <c r="R391" s="9" t="s">
        <v>29</v>
      </c>
      <c r="S391">
        <v>0</v>
      </c>
      <c r="T391">
        <v>29</v>
      </c>
      <c r="U391" s="9" t="s">
        <v>109</v>
      </c>
      <c r="V391" s="9" t="s">
        <v>756</v>
      </c>
      <c r="W391">
        <v>29</v>
      </c>
      <c r="X391" s="9" t="s">
        <v>757</v>
      </c>
      <c r="Y391">
        <v>293</v>
      </c>
      <c r="Z391" s="9" t="s">
        <v>754</v>
      </c>
      <c r="AA391" s="9" t="s">
        <v>440</v>
      </c>
      <c r="AB391" s="9" t="s">
        <v>291</v>
      </c>
      <c r="AC391" s="9" t="s">
        <v>6</v>
      </c>
      <c r="AD391" s="9" t="s">
        <v>143</v>
      </c>
      <c r="AE391" s="9">
        <f>IF(Table5[[#This Row],[Team_Name]]=Table5[[#This Row],[Correct_Winner]],1,0)</f>
        <v>0</v>
      </c>
    </row>
    <row r="392" spans="1:31" x14ac:dyDescent="0.3">
      <c r="A392" s="9" t="s">
        <v>226</v>
      </c>
      <c r="B392">
        <v>2017</v>
      </c>
      <c r="C392" s="9" t="s">
        <v>321</v>
      </c>
      <c r="D392" s="9" t="s">
        <v>755</v>
      </c>
      <c r="E392" s="9" t="s">
        <v>441</v>
      </c>
      <c r="F392" s="2" t="s">
        <v>581</v>
      </c>
      <c r="G392">
        <v>205</v>
      </c>
      <c r="H392">
        <v>5</v>
      </c>
      <c r="I392" t="str">
        <f>Clean_Data!$I392</f>
        <v>Chattogram Challengers</v>
      </c>
      <c r="J392">
        <v>106</v>
      </c>
      <c r="K392">
        <v>10</v>
      </c>
      <c r="L392" s="9" t="s">
        <v>260</v>
      </c>
      <c r="M392" s="9" t="s">
        <v>160</v>
      </c>
      <c r="N392" s="9" t="s">
        <v>37</v>
      </c>
      <c r="O392" s="9" t="s">
        <v>193</v>
      </c>
      <c r="P392" s="9" t="s">
        <v>160</v>
      </c>
      <c r="Q392" s="9" t="s">
        <v>28</v>
      </c>
      <c r="R392" s="9" t="s">
        <v>29</v>
      </c>
      <c r="S392">
        <v>0</v>
      </c>
      <c r="T392">
        <v>99</v>
      </c>
      <c r="U392" s="9" t="s">
        <v>442</v>
      </c>
      <c r="V392" s="9" t="s">
        <v>756</v>
      </c>
      <c r="W392">
        <v>99</v>
      </c>
      <c r="X392" s="9" t="s">
        <v>757</v>
      </c>
      <c r="Y392">
        <v>311</v>
      </c>
      <c r="Z392" s="9" t="s">
        <v>754</v>
      </c>
      <c r="AA392" s="9" t="s">
        <v>66</v>
      </c>
      <c r="AB392" s="9" t="s">
        <v>229</v>
      </c>
      <c r="AC392" s="9" t="s">
        <v>3</v>
      </c>
      <c r="AD392" s="9" t="s">
        <v>160</v>
      </c>
      <c r="AE392" s="9">
        <f>IF(Table5[[#This Row],[Team_Name]]=Table5[[#This Row],[Correct_Winner]],1,0)</f>
        <v>1</v>
      </c>
    </row>
    <row r="393" spans="1:31" x14ac:dyDescent="0.3">
      <c r="A393" s="9" t="s">
        <v>226</v>
      </c>
      <c r="B393">
        <v>2017</v>
      </c>
      <c r="C393" s="9" t="s">
        <v>321</v>
      </c>
      <c r="D393" s="9" t="s">
        <v>755</v>
      </c>
      <c r="E393" s="9" t="s">
        <v>441</v>
      </c>
      <c r="F393" s="3" t="s">
        <v>113</v>
      </c>
      <c r="G393">
        <v>205</v>
      </c>
      <c r="H393">
        <v>5</v>
      </c>
      <c r="I393" t="str">
        <f>Clean_Data!$I393</f>
        <v xml:space="preserve">Fortune Barishal </v>
      </c>
      <c r="J393">
        <v>106</v>
      </c>
      <c r="K393">
        <v>10</v>
      </c>
      <c r="L393" s="9" t="s">
        <v>260</v>
      </c>
      <c r="M393" s="9" t="s">
        <v>160</v>
      </c>
      <c r="N393" s="9" t="s">
        <v>37</v>
      </c>
      <c r="O393" s="9" t="s">
        <v>193</v>
      </c>
      <c r="P393" s="9" t="s">
        <v>160</v>
      </c>
      <c r="Q393" s="9" t="s">
        <v>28</v>
      </c>
      <c r="R393" s="9" t="s">
        <v>29</v>
      </c>
      <c r="S393">
        <v>0</v>
      </c>
      <c r="T393">
        <v>99</v>
      </c>
      <c r="U393" s="9" t="s">
        <v>442</v>
      </c>
      <c r="V393" s="9" t="s">
        <v>756</v>
      </c>
      <c r="W393">
        <v>99</v>
      </c>
      <c r="X393" s="9" t="s">
        <v>757</v>
      </c>
      <c r="Y393">
        <v>311</v>
      </c>
      <c r="Z393" s="9" t="s">
        <v>754</v>
      </c>
      <c r="AA393" s="9" t="s">
        <v>66</v>
      </c>
      <c r="AB393" s="9" t="s">
        <v>229</v>
      </c>
      <c r="AC393" s="9" t="s">
        <v>6</v>
      </c>
      <c r="AD393" s="9" t="s">
        <v>199</v>
      </c>
      <c r="AE393" s="9">
        <f>IF(Table5[[#This Row],[Team_Name]]=Table5[[#This Row],[Correct_Winner]],1,0)</f>
        <v>0</v>
      </c>
    </row>
    <row r="394" spans="1:31" x14ac:dyDescent="0.3">
      <c r="A394" s="9" t="s">
        <v>226</v>
      </c>
      <c r="B394">
        <v>2017</v>
      </c>
      <c r="C394" s="9" t="s">
        <v>324</v>
      </c>
      <c r="D394" s="9" t="s">
        <v>755</v>
      </c>
      <c r="E394" s="9" t="s">
        <v>441</v>
      </c>
      <c r="F394" s="2" t="s">
        <v>280</v>
      </c>
      <c r="G394">
        <v>97</v>
      </c>
      <c r="H394">
        <v>10</v>
      </c>
      <c r="I394" t="str">
        <f>Clean_Data!$I394</f>
        <v>Khulna Tigers</v>
      </c>
      <c r="J394">
        <v>100</v>
      </c>
      <c r="K394">
        <v>6</v>
      </c>
      <c r="L394" s="9" t="s">
        <v>443</v>
      </c>
      <c r="M394" s="9" t="s">
        <v>143</v>
      </c>
      <c r="N394" s="9" t="s">
        <v>26</v>
      </c>
      <c r="O394" s="9" t="s">
        <v>145</v>
      </c>
      <c r="P394" s="9" t="s">
        <v>143</v>
      </c>
      <c r="Q394" s="9" t="s">
        <v>28</v>
      </c>
      <c r="R394" s="9" t="s">
        <v>29</v>
      </c>
      <c r="S394">
        <v>4</v>
      </c>
      <c r="T394">
        <v>0</v>
      </c>
      <c r="U394" s="9" t="s">
        <v>90</v>
      </c>
      <c r="V394" s="9" t="s">
        <v>752</v>
      </c>
      <c r="W394">
        <v>4</v>
      </c>
      <c r="X394" s="9" t="s">
        <v>753</v>
      </c>
      <c r="Y394">
        <v>197</v>
      </c>
      <c r="Z394" s="9" t="s">
        <v>754</v>
      </c>
      <c r="AA394" s="9" t="s">
        <v>39</v>
      </c>
      <c r="AB394" s="9" t="s">
        <v>147</v>
      </c>
      <c r="AC394" s="9" t="s">
        <v>3</v>
      </c>
      <c r="AD394" s="9" t="s">
        <v>113</v>
      </c>
      <c r="AE394" s="9">
        <f>IF(Table5[[#This Row],[Team_Name]]=Table5[[#This Row],[Correct_Winner]],1,0)</f>
        <v>0</v>
      </c>
    </row>
    <row r="395" spans="1:31" x14ac:dyDescent="0.3">
      <c r="A395" s="9" t="s">
        <v>226</v>
      </c>
      <c r="B395">
        <v>2017</v>
      </c>
      <c r="C395" s="9" t="s">
        <v>324</v>
      </c>
      <c r="D395" s="9" t="s">
        <v>755</v>
      </c>
      <c r="E395" s="9" t="s">
        <v>441</v>
      </c>
      <c r="F395" s="3" t="s">
        <v>636</v>
      </c>
      <c r="G395">
        <v>97</v>
      </c>
      <c r="H395">
        <v>10</v>
      </c>
      <c r="I395" t="str">
        <f>Clean_Data!$I395</f>
        <v>Chattogram Challengers</v>
      </c>
      <c r="J395">
        <v>100</v>
      </c>
      <c r="K395">
        <v>6</v>
      </c>
      <c r="L395" s="9" t="s">
        <v>443</v>
      </c>
      <c r="M395" s="9" t="s">
        <v>143</v>
      </c>
      <c r="N395" s="9" t="s">
        <v>26</v>
      </c>
      <c r="O395" s="9" t="s">
        <v>145</v>
      </c>
      <c r="P395" s="9" t="s">
        <v>143</v>
      </c>
      <c r="Q395" s="9" t="s">
        <v>28</v>
      </c>
      <c r="R395" s="9" t="s">
        <v>29</v>
      </c>
      <c r="S395">
        <v>4</v>
      </c>
      <c r="T395">
        <v>0</v>
      </c>
      <c r="U395" s="9" t="s">
        <v>90</v>
      </c>
      <c r="V395" s="9" t="s">
        <v>752</v>
      </c>
      <c r="W395">
        <v>4</v>
      </c>
      <c r="X395" s="9" t="s">
        <v>753</v>
      </c>
      <c r="Y395">
        <v>197</v>
      </c>
      <c r="Z395" s="9" t="s">
        <v>754</v>
      </c>
      <c r="AA395" s="9" t="s">
        <v>39</v>
      </c>
      <c r="AB395" s="9" t="s">
        <v>147</v>
      </c>
      <c r="AC395" s="9" t="s">
        <v>6</v>
      </c>
      <c r="AD395" s="9" t="s">
        <v>143</v>
      </c>
      <c r="AE395" s="9">
        <f>IF(Table5[[#This Row],[Team_Name]]=Table5[[#This Row],[Correct_Winner]],1,0)</f>
        <v>1</v>
      </c>
    </row>
    <row r="396" spans="1:31" x14ac:dyDescent="0.3">
      <c r="A396" s="9" t="s">
        <v>226</v>
      </c>
      <c r="B396">
        <v>2017</v>
      </c>
      <c r="C396" s="9" t="s">
        <v>326</v>
      </c>
      <c r="D396" s="9" t="s">
        <v>755</v>
      </c>
      <c r="E396" s="9" t="s">
        <v>444</v>
      </c>
      <c r="F396" s="2" t="s">
        <v>641</v>
      </c>
      <c r="G396">
        <v>167</v>
      </c>
      <c r="H396">
        <v>6</v>
      </c>
      <c r="I396" t="str">
        <f>Clean_Data!$I396</f>
        <v>Khulna Tigers</v>
      </c>
      <c r="J396">
        <v>155</v>
      </c>
      <c r="K396">
        <v>8</v>
      </c>
      <c r="L396" s="9" t="s">
        <v>79</v>
      </c>
      <c r="M396" s="9" t="s">
        <v>160</v>
      </c>
      <c r="N396" s="9" t="s">
        <v>26</v>
      </c>
      <c r="O396" s="9" t="s">
        <v>145</v>
      </c>
      <c r="P396" s="9" t="s">
        <v>143</v>
      </c>
      <c r="Q396" s="9" t="s">
        <v>88</v>
      </c>
      <c r="R396" s="9" t="s">
        <v>89</v>
      </c>
      <c r="S396">
        <v>0</v>
      </c>
      <c r="T396">
        <v>12</v>
      </c>
      <c r="U396" s="9" t="s">
        <v>417</v>
      </c>
      <c r="V396" s="9" t="s">
        <v>756</v>
      </c>
      <c r="W396">
        <v>12</v>
      </c>
      <c r="X396" s="9" t="s">
        <v>757</v>
      </c>
      <c r="Y396">
        <v>322</v>
      </c>
      <c r="Z396" s="9" t="s">
        <v>754</v>
      </c>
      <c r="AA396" s="9" t="s">
        <v>39</v>
      </c>
      <c r="AB396" s="9" t="s">
        <v>229</v>
      </c>
      <c r="AC396" s="9" t="s">
        <v>3</v>
      </c>
      <c r="AD396" s="9" t="s">
        <v>143</v>
      </c>
      <c r="AE396" s="9">
        <f>IF(Table5[[#This Row],[Team_Name]]=Table5[[#This Row],[Correct_Winner]],1,0)</f>
        <v>1</v>
      </c>
    </row>
    <row r="397" spans="1:31" x14ac:dyDescent="0.3">
      <c r="A397" s="9" t="s">
        <v>226</v>
      </c>
      <c r="B397">
        <v>2017</v>
      </c>
      <c r="C397" s="9" t="s">
        <v>326</v>
      </c>
      <c r="D397" s="9" t="s">
        <v>755</v>
      </c>
      <c r="E397" s="9" t="s">
        <v>444</v>
      </c>
      <c r="F397" s="3" t="s">
        <v>581</v>
      </c>
      <c r="G397">
        <v>167</v>
      </c>
      <c r="H397">
        <v>6</v>
      </c>
      <c r="I397" t="str">
        <f>Clean_Data!$I397</f>
        <v>Rangpur Riders</v>
      </c>
      <c r="J397">
        <v>155</v>
      </c>
      <c r="K397">
        <v>8</v>
      </c>
      <c r="L397" s="9" t="s">
        <v>79</v>
      </c>
      <c r="M397" s="9" t="s">
        <v>160</v>
      </c>
      <c r="N397" s="9" t="s">
        <v>26</v>
      </c>
      <c r="O397" s="9" t="s">
        <v>145</v>
      </c>
      <c r="P397" s="9" t="s">
        <v>143</v>
      </c>
      <c r="Q397" s="9" t="s">
        <v>88</v>
      </c>
      <c r="R397" s="9" t="s">
        <v>89</v>
      </c>
      <c r="S397">
        <v>0</v>
      </c>
      <c r="T397">
        <v>12</v>
      </c>
      <c r="U397" s="9" t="s">
        <v>417</v>
      </c>
      <c r="V397" s="9" t="s">
        <v>756</v>
      </c>
      <c r="W397">
        <v>12</v>
      </c>
      <c r="X397" s="9" t="s">
        <v>757</v>
      </c>
      <c r="Y397">
        <v>322</v>
      </c>
      <c r="Z397" s="9" t="s">
        <v>754</v>
      </c>
      <c r="AA397" s="9" t="s">
        <v>39</v>
      </c>
      <c r="AB397" s="9" t="s">
        <v>229</v>
      </c>
      <c r="AC397" s="9" t="s">
        <v>6</v>
      </c>
      <c r="AD397" s="9" t="s">
        <v>160</v>
      </c>
      <c r="AE397" s="9">
        <f>IF(Table5[[#This Row],[Team_Name]]=Table5[[#This Row],[Correct_Winner]],1,0)</f>
        <v>0</v>
      </c>
    </row>
    <row r="398" spans="1:31" x14ac:dyDescent="0.3">
      <c r="A398" s="9" t="s">
        <v>226</v>
      </c>
      <c r="B398">
        <v>2017</v>
      </c>
      <c r="C398" s="9" t="s">
        <v>328</v>
      </c>
      <c r="D398" s="9" t="s">
        <v>755</v>
      </c>
      <c r="E398" s="9" t="s">
        <v>444</v>
      </c>
      <c r="F398" s="2" t="s">
        <v>641</v>
      </c>
      <c r="G398">
        <v>157</v>
      </c>
      <c r="H398">
        <v>6</v>
      </c>
      <c r="I398" t="str">
        <f>Clean_Data!$I398</f>
        <v>Comilla Victorians</v>
      </c>
      <c r="J398">
        <v>124</v>
      </c>
      <c r="K398">
        <v>10</v>
      </c>
      <c r="L398" s="9" t="s">
        <v>213</v>
      </c>
      <c r="M398" s="9" t="s">
        <v>199</v>
      </c>
      <c r="N398" s="9" t="s">
        <v>37</v>
      </c>
      <c r="O398" s="9" t="s">
        <v>208</v>
      </c>
      <c r="P398" s="9" t="s">
        <v>199</v>
      </c>
      <c r="Q398" s="9" t="s">
        <v>88</v>
      </c>
      <c r="R398" s="9" t="s">
        <v>89</v>
      </c>
      <c r="S398">
        <v>0</v>
      </c>
      <c r="T398">
        <v>33</v>
      </c>
      <c r="U398" s="9" t="s">
        <v>131</v>
      </c>
      <c r="V398" s="9" t="s">
        <v>756</v>
      </c>
      <c r="W398">
        <v>33</v>
      </c>
      <c r="X398" s="9" t="s">
        <v>757</v>
      </c>
      <c r="Y398">
        <v>281</v>
      </c>
      <c r="Z398" s="9" t="s">
        <v>754</v>
      </c>
      <c r="AA398" s="9" t="s">
        <v>445</v>
      </c>
      <c r="AB398" s="9" t="s">
        <v>446</v>
      </c>
      <c r="AC398" s="9" t="s">
        <v>3</v>
      </c>
      <c r="AD398" s="9" t="s">
        <v>199</v>
      </c>
      <c r="AE398" s="9">
        <f>IF(Table5[[#This Row],[Team_Name]]=Table5[[#This Row],[Correct_Winner]],1,0)</f>
        <v>1</v>
      </c>
    </row>
    <row r="399" spans="1:31" x14ac:dyDescent="0.3">
      <c r="A399" s="9" t="s">
        <v>226</v>
      </c>
      <c r="B399">
        <v>2017</v>
      </c>
      <c r="C399" s="9" t="s">
        <v>328</v>
      </c>
      <c r="D399" s="9" t="s">
        <v>755</v>
      </c>
      <c r="E399" s="9" t="s">
        <v>444</v>
      </c>
      <c r="F399" s="3" t="s">
        <v>277</v>
      </c>
      <c r="G399">
        <v>157</v>
      </c>
      <c r="H399">
        <v>6</v>
      </c>
      <c r="I399" t="str">
        <f>Clean_Data!$I399</f>
        <v>Rangpur Riders</v>
      </c>
      <c r="J399">
        <v>124</v>
      </c>
      <c r="K399">
        <v>10</v>
      </c>
      <c r="L399" s="9" t="s">
        <v>213</v>
      </c>
      <c r="M399" s="9" t="s">
        <v>199</v>
      </c>
      <c r="N399" s="9" t="s">
        <v>37</v>
      </c>
      <c r="O399" s="9" t="s">
        <v>208</v>
      </c>
      <c r="P399" s="9" t="s">
        <v>199</v>
      </c>
      <c r="Q399" s="9" t="s">
        <v>88</v>
      </c>
      <c r="R399" s="9" t="s">
        <v>89</v>
      </c>
      <c r="S399">
        <v>0</v>
      </c>
      <c r="T399">
        <v>33</v>
      </c>
      <c r="U399" s="9" t="s">
        <v>131</v>
      </c>
      <c r="V399" s="9" t="s">
        <v>756</v>
      </c>
      <c r="W399">
        <v>33</v>
      </c>
      <c r="X399" s="9" t="s">
        <v>757</v>
      </c>
      <c r="Y399">
        <v>281</v>
      </c>
      <c r="Z399" s="9" t="s">
        <v>754</v>
      </c>
      <c r="AA399" s="9" t="s">
        <v>445</v>
      </c>
      <c r="AB399" s="9" t="s">
        <v>446</v>
      </c>
      <c r="AC399" s="9" t="s">
        <v>6</v>
      </c>
      <c r="AD399" s="9" t="s">
        <v>179</v>
      </c>
      <c r="AE399" s="9">
        <f>IF(Table5[[#This Row],[Team_Name]]=Table5[[#This Row],[Correct_Winner]],1,0)</f>
        <v>0</v>
      </c>
    </row>
    <row r="400" spans="1:31" x14ac:dyDescent="0.3">
      <c r="A400" s="9" t="s">
        <v>226</v>
      </c>
      <c r="B400">
        <v>2017</v>
      </c>
      <c r="C400" s="9" t="s">
        <v>330</v>
      </c>
      <c r="D400" s="9" t="s">
        <v>755</v>
      </c>
      <c r="E400" s="9" t="s">
        <v>447</v>
      </c>
      <c r="F400" s="2" t="s">
        <v>635</v>
      </c>
      <c r="G400">
        <v>111</v>
      </c>
      <c r="H400">
        <v>10</v>
      </c>
      <c r="I400" t="str">
        <f>Clean_Data!$I400</f>
        <v>Sylhet Strikers</v>
      </c>
      <c r="J400">
        <v>112</v>
      </c>
      <c r="K400">
        <v>1</v>
      </c>
      <c r="L400" s="9" t="s">
        <v>381</v>
      </c>
      <c r="M400" s="9" t="s">
        <v>206</v>
      </c>
      <c r="N400" s="9" t="s">
        <v>37</v>
      </c>
      <c r="O400" s="9" t="s">
        <v>145</v>
      </c>
      <c r="P400" s="9" t="s">
        <v>143</v>
      </c>
      <c r="Q400" s="9" t="s">
        <v>88</v>
      </c>
      <c r="R400" s="9" t="s">
        <v>89</v>
      </c>
      <c r="S400">
        <v>9</v>
      </c>
      <c r="T400">
        <v>0</v>
      </c>
      <c r="U400" s="9" t="s">
        <v>71</v>
      </c>
      <c r="V400" s="9" t="s">
        <v>752</v>
      </c>
      <c r="W400">
        <v>9</v>
      </c>
      <c r="X400" s="9" t="s">
        <v>753</v>
      </c>
      <c r="Y400">
        <v>223</v>
      </c>
      <c r="Z400" s="9" t="s">
        <v>754</v>
      </c>
      <c r="AA400" s="9" t="s">
        <v>39</v>
      </c>
      <c r="AB400" s="9" t="s">
        <v>229</v>
      </c>
      <c r="AC400" s="9" t="s">
        <v>3</v>
      </c>
      <c r="AD400" s="9" t="s">
        <v>206</v>
      </c>
      <c r="AE400" s="9">
        <f>IF(Table5[[#This Row],[Team_Name]]=Table5[[#This Row],[Correct_Winner]],1,0)</f>
        <v>0</v>
      </c>
    </row>
    <row r="401" spans="1:31" x14ac:dyDescent="0.3">
      <c r="A401" s="9" t="s">
        <v>226</v>
      </c>
      <c r="B401">
        <v>2017</v>
      </c>
      <c r="C401" s="9" t="s">
        <v>330</v>
      </c>
      <c r="D401" s="9" t="s">
        <v>755</v>
      </c>
      <c r="E401" s="9" t="s">
        <v>447</v>
      </c>
      <c r="F401" s="3" t="s">
        <v>280</v>
      </c>
      <c r="G401">
        <v>111</v>
      </c>
      <c r="H401">
        <v>10</v>
      </c>
      <c r="I401" t="str">
        <f>Clean_Data!$I401</f>
        <v xml:space="preserve">Fortune Barishal </v>
      </c>
      <c r="J401">
        <v>112</v>
      </c>
      <c r="K401">
        <v>1</v>
      </c>
      <c r="L401" s="9" t="s">
        <v>381</v>
      </c>
      <c r="M401" s="9" t="s">
        <v>206</v>
      </c>
      <c r="N401" s="9" t="s">
        <v>37</v>
      </c>
      <c r="O401" s="9" t="s">
        <v>145</v>
      </c>
      <c r="P401" s="9" t="s">
        <v>143</v>
      </c>
      <c r="Q401" s="9" t="s">
        <v>88</v>
      </c>
      <c r="R401" s="9" t="s">
        <v>89</v>
      </c>
      <c r="S401">
        <v>9</v>
      </c>
      <c r="T401">
        <v>0</v>
      </c>
      <c r="U401" s="9" t="s">
        <v>71</v>
      </c>
      <c r="V401" s="9" t="s">
        <v>752</v>
      </c>
      <c r="W401">
        <v>9</v>
      </c>
      <c r="X401" s="9" t="s">
        <v>753</v>
      </c>
      <c r="Y401">
        <v>223</v>
      </c>
      <c r="Z401" s="9" t="s">
        <v>754</v>
      </c>
      <c r="AA401" s="9" t="s">
        <v>39</v>
      </c>
      <c r="AB401" s="9" t="s">
        <v>229</v>
      </c>
      <c r="AC401" s="9" t="s">
        <v>6</v>
      </c>
      <c r="AD401" s="9" t="s">
        <v>143</v>
      </c>
      <c r="AE401" s="9">
        <f>IF(Table5[[#This Row],[Team_Name]]=Table5[[#This Row],[Correct_Winner]],1,0)</f>
        <v>1</v>
      </c>
    </row>
    <row r="402" spans="1:31" x14ac:dyDescent="0.3">
      <c r="A402" s="9" t="s">
        <v>226</v>
      </c>
      <c r="B402">
        <v>2017</v>
      </c>
      <c r="C402" s="9" t="s">
        <v>334</v>
      </c>
      <c r="D402" s="9" t="s">
        <v>755</v>
      </c>
      <c r="E402" s="9" t="s">
        <v>447</v>
      </c>
      <c r="F402" s="2" t="s">
        <v>113</v>
      </c>
      <c r="G402">
        <v>173</v>
      </c>
      <c r="H402">
        <v>5</v>
      </c>
      <c r="I402" t="str">
        <f>Clean_Data!$I402</f>
        <v>Durdanto Dhaka</v>
      </c>
      <c r="J402">
        <v>177</v>
      </c>
      <c r="K402">
        <v>6</v>
      </c>
      <c r="L402" s="9" t="s">
        <v>448</v>
      </c>
      <c r="M402" s="9" t="s">
        <v>113</v>
      </c>
      <c r="N402" s="9" t="s">
        <v>26</v>
      </c>
      <c r="O402" s="9" t="s">
        <v>189</v>
      </c>
      <c r="P402" s="9" t="s">
        <v>113</v>
      </c>
      <c r="Q402" s="9" t="s">
        <v>88</v>
      </c>
      <c r="R402" s="9" t="s">
        <v>89</v>
      </c>
      <c r="S402">
        <v>4</v>
      </c>
      <c r="T402">
        <v>0</v>
      </c>
      <c r="U402" s="9" t="s">
        <v>90</v>
      </c>
      <c r="V402" s="9" t="s">
        <v>752</v>
      </c>
      <c r="W402">
        <v>4</v>
      </c>
      <c r="X402" s="9" t="s">
        <v>753</v>
      </c>
      <c r="Y402">
        <v>350</v>
      </c>
      <c r="Z402" s="9" t="s">
        <v>754</v>
      </c>
      <c r="AA402" s="9" t="s">
        <v>50</v>
      </c>
      <c r="AB402" s="9" t="s">
        <v>147</v>
      </c>
      <c r="AC402" s="9" t="s">
        <v>3</v>
      </c>
      <c r="AD402" s="9" t="s">
        <v>238</v>
      </c>
      <c r="AE402" s="9">
        <f>IF(Table5[[#This Row],[Team_Name]]=Table5[[#This Row],[Correct_Winner]],1,0)</f>
        <v>0</v>
      </c>
    </row>
    <row r="403" spans="1:31" x14ac:dyDescent="0.3">
      <c r="A403" s="9" t="s">
        <v>226</v>
      </c>
      <c r="B403">
        <v>2017</v>
      </c>
      <c r="C403" s="9" t="s">
        <v>334</v>
      </c>
      <c r="D403" s="9" t="s">
        <v>755</v>
      </c>
      <c r="E403" s="9" t="s">
        <v>447</v>
      </c>
      <c r="F403" s="3" t="s">
        <v>581</v>
      </c>
      <c r="G403">
        <v>173</v>
      </c>
      <c r="H403">
        <v>5</v>
      </c>
      <c r="I403" t="str">
        <f>Clean_Data!$I403</f>
        <v>Chattogram Challengers</v>
      </c>
      <c r="J403">
        <v>177</v>
      </c>
      <c r="K403">
        <v>6</v>
      </c>
      <c r="L403" s="9" t="s">
        <v>448</v>
      </c>
      <c r="M403" s="9" t="s">
        <v>113</v>
      </c>
      <c r="N403" s="9" t="s">
        <v>26</v>
      </c>
      <c r="O403" s="9" t="s">
        <v>189</v>
      </c>
      <c r="P403" s="9" t="s">
        <v>113</v>
      </c>
      <c r="Q403" s="9" t="s">
        <v>88</v>
      </c>
      <c r="R403" s="9" t="s">
        <v>89</v>
      </c>
      <c r="S403">
        <v>4</v>
      </c>
      <c r="T403">
        <v>0</v>
      </c>
      <c r="U403" s="9" t="s">
        <v>90</v>
      </c>
      <c r="V403" s="9" t="s">
        <v>752</v>
      </c>
      <c r="W403">
        <v>4</v>
      </c>
      <c r="X403" s="9" t="s">
        <v>753</v>
      </c>
      <c r="Y403">
        <v>350</v>
      </c>
      <c r="Z403" s="9" t="s">
        <v>754</v>
      </c>
      <c r="AA403" s="9" t="s">
        <v>50</v>
      </c>
      <c r="AB403" s="9" t="s">
        <v>147</v>
      </c>
      <c r="AC403" s="9" t="s">
        <v>6</v>
      </c>
      <c r="AD403" s="9" t="s">
        <v>113</v>
      </c>
      <c r="AE403" s="9">
        <f>IF(Table5[[#This Row],[Team_Name]]=Table5[[#This Row],[Correct_Winner]],1,0)</f>
        <v>1</v>
      </c>
    </row>
    <row r="404" spans="1:31" x14ac:dyDescent="0.3">
      <c r="A404" s="9" t="s">
        <v>226</v>
      </c>
      <c r="B404">
        <v>2017</v>
      </c>
      <c r="C404" s="9" t="s">
        <v>336</v>
      </c>
      <c r="D404" s="9" t="s">
        <v>755</v>
      </c>
      <c r="E404" s="9" t="s">
        <v>449</v>
      </c>
      <c r="F404" s="2" t="s">
        <v>636</v>
      </c>
      <c r="G404">
        <v>213</v>
      </c>
      <c r="H404">
        <v>5</v>
      </c>
      <c r="I404" t="str">
        <f>Clean_Data!$I404</f>
        <v>Khulna Tigers</v>
      </c>
      <c r="J404">
        <v>145</v>
      </c>
      <c r="K404">
        <v>10</v>
      </c>
      <c r="L404" s="9" t="s">
        <v>450</v>
      </c>
      <c r="M404" s="9" t="s">
        <v>199</v>
      </c>
      <c r="N404" s="9" t="s">
        <v>26</v>
      </c>
      <c r="O404" s="9" t="s">
        <v>215</v>
      </c>
      <c r="P404" s="9" t="s">
        <v>206</v>
      </c>
      <c r="Q404" s="9" t="s">
        <v>88</v>
      </c>
      <c r="R404" s="9" t="s">
        <v>89</v>
      </c>
      <c r="S404">
        <v>0</v>
      </c>
      <c r="T404">
        <v>68</v>
      </c>
      <c r="U404" s="9" t="s">
        <v>361</v>
      </c>
      <c r="V404" s="9" t="s">
        <v>756</v>
      </c>
      <c r="W404">
        <v>68</v>
      </c>
      <c r="X404" s="9" t="s">
        <v>757</v>
      </c>
      <c r="Y404">
        <v>358</v>
      </c>
      <c r="Z404" s="9" t="s">
        <v>754</v>
      </c>
      <c r="AA404" s="9" t="s">
        <v>56</v>
      </c>
      <c r="AB404" s="9" t="s">
        <v>50</v>
      </c>
      <c r="AC404" s="9" t="s">
        <v>3</v>
      </c>
      <c r="AD404" s="9" t="s">
        <v>206</v>
      </c>
      <c r="AE404" s="9">
        <f>IF(Table5[[#This Row],[Team_Name]]=Table5[[#This Row],[Correct_Winner]],1,0)</f>
        <v>1</v>
      </c>
    </row>
    <row r="405" spans="1:31" x14ac:dyDescent="0.3">
      <c r="A405" s="9" t="s">
        <v>226</v>
      </c>
      <c r="B405">
        <v>2017</v>
      </c>
      <c r="C405" s="9" t="s">
        <v>336</v>
      </c>
      <c r="D405" s="9" t="s">
        <v>755</v>
      </c>
      <c r="E405" s="9" t="s">
        <v>449</v>
      </c>
      <c r="F405" s="3" t="s">
        <v>113</v>
      </c>
      <c r="G405">
        <v>213</v>
      </c>
      <c r="H405">
        <v>5</v>
      </c>
      <c r="I405" t="str">
        <f>Clean_Data!$I405</f>
        <v>Comilla Victorians</v>
      </c>
      <c r="J405">
        <v>145</v>
      </c>
      <c r="K405">
        <v>10</v>
      </c>
      <c r="L405" s="9" t="s">
        <v>450</v>
      </c>
      <c r="M405" s="9" t="s">
        <v>199</v>
      </c>
      <c r="N405" s="9" t="s">
        <v>26</v>
      </c>
      <c r="O405" s="9" t="s">
        <v>215</v>
      </c>
      <c r="P405" s="9" t="s">
        <v>206</v>
      </c>
      <c r="Q405" s="9" t="s">
        <v>88</v>
      </c>
      <c r="R405" s="9" t="s">
        <v>89</v>
      </c>
      <c r="S405">
        <v>0</v>
      </c>
      <c r="T405">
        <v>68</v>
      </c>
      <c r="U405" s="9" t="s">
        <v>361</v>
      </c>
      <c r="V405" s="9" t="s">
        <v>756</v>
      </c>
      <c r="W405">
        <v>68</v>
      </c>
      <c r="X405" s="9" t="s">
        <v>757</v>
      </c>
      <c r="Y405">
        <v>358</v>
      </c>
      <c r="Z405" s="9" t="s">
        <v>754</v>
      </c>
      <c r="AA405" s="9" t="s">
        <v>56</v>
      </c>
      <c r="AB405" s="9" t="s">
        <v>50</v>
      </c>
      <c r="AC405" s="9" t="s">
        <v>6</v>
      </c>
      <c r="AD405" s="9" t="s">
        <v>199</v>
      </c>
      <c r="AE405" s="9">
        <f>IF(Table5[[#This Row],[Team_Name]]=Table5[[#This Row],[Correct_Winner]],1,0)</f>
        <v>0</v>
      </c>
    </row>
    <row r="406" spans="1:31" x14ac:dyDescent="0.3">
      <c r="A406" s="9" t="s">
        <v>226</v>
      </c>
      <c r="B406">
        <v>2017</v>
      </c>
      <c r="C406" s="9" t="s">
        <v>45</v>
      </c>
      <c r="D406" s="9" t="s">
        <v>755</v>
      </c>
      <c r="E406" s="9" t="s">
        <v>449</v>
      </c>
      <c r="F406" s="2" t="s">
        <v>641</v>
      </c>
      <c r="G406">
        <v>187</v>
      </c>
      <c r="H406">
        <v>5</v>
      </c>
      <c r="I406" t="str">
        <f>Clean_Data!$I406</f>
        <v>Sylhet Strikers</v>
      </c>
      <c r="J406">
        <v>191</v>
      </c>
      <c r="K406">
        <v>3</v>
      </c>
      <c r="L406" s="9" t="s">
        <v>259</v>
      </c>
      <c r="M406" s="9" t="s">
        <v>179</v>
      </c>
      <c r="N406" s="9" t="s">
        <v>37</v>
      </c>
      <c r="O406" s="9" t="s">
        <v>193</v>
      </c>
      <c r="P406" s="9" t="s">
        <v>160</v>
      </c>
      <c r="Q406" s="9" t="s">
        <v>88</v>
      </c>
      <c r="R406" s="9" t="s">
        <v>89</v>
      </c>
      <c r="S406">
        <v>7</v>
      </c>
      <c r="T406">
        <v>0</v>
      </c>
      <c r="U406" s="9" t="s">
        <v>118</v>
      </c>
      <c r="V406" s="9" t="s">
        <v>752</v>
      </c>
      <c r="W406">
        <v>7</v>
      </c>
      <c r="X406" s="9" t="s">
        <v>753</v>
      </c>
      <c r="Y406">
        <v>378</v>
      </c>
      <c r="Z406" s="9" t="s">
        <v>754</v>
      </c>
      <c r="AA406" s="9" t="s">
        <v>39</v>
      </c>
      <c r="AB406" s="9" t="s">
        <v>229</v>
      </c>
      <c r="AC406" s="9" t="s">
        <v>3</v>
      </c>
      <c r="AD406" s="9" t="s">
        <v>179</v>
      </c>
      <c r="AE406" s="9">
        <f>IF(Table5[[#This Row],[Team_Name]]=Table5[[#This Row],[Correct_Winner]],1,0)</f>
        <v>0</v>
      </c>
    </row>
    <row r="407" spans="1:31" x14ac:dyDescent="0.3">
      <c r="A407" s="9" t="s">
        <v>226</v>
      </c>
      <c r="B407">
        <v>2017</v>
      </c>
      <c r="C407" s="9" t="s">
        <v>45</v>
      </c>
      <c r="D407" s="9" t="s">
        <v>755</v>
      </c>
      <c r="E407" s="9" t="s">
        <v>449</v>
      </c>
      <c r="F407" s="3" t="s">
        <v>581</v>
      </c>
      <c r="G407">
        <v>187</v>
      </c>
      <c r="H407">
        <v>5</v>
      </c>
      <c r="I407" t="str">
        <f>Clean_Data!$I407</f>
        <v>Durdanto Dhaka</v>
      </c>
      <c r="J407">
        <v>191</v>
      </c>
      <c r="K407">
        <v>3</v>
      </c>
      <c r="L407" s="9" t="s">
        <v>259</v>
      </c>
      <c r="M407" s="9" t="s">
        <v>179</v>
      </c>
      <c r="N407" s="9" t="s">
        <v>37</v>
      </c>
      <c r="O407" s="9" t="s">
        <v>193</v>
      </c>
      <c r="P407" s="9" t="s">
        <v>160</v>
      </c>
      <c r="Q407" s="9" t="s">
        <v>88</v>
      </c>
      <c r="R407" s="9" t="s">
        <v>89</v>
      </c>
      <c r="S407">
        <v>7</v>
      </c>
      <c r="T407">
        <v>0</v>
      </c>
      <c r="U407" s="9" t="s">
        <v>118</v>
      </c>
      <c r="V407" s="9" t="s">
        <v>752</v>
      </c>
      <c r="W407">
        <v>7</v>
      </c>
      <c r="X407" s="9" t="s">
        <v>753</v>
      </c>
      <c r="Y407">
        <v>378</v>
      </c>
      <c r="Z407" s="9" t="s">
        <v>754</v>
      </c>
      <c r="AA407" s="9" t="s">
        <v>39</v>
      </c>
      <c r="AB407" s="9" t="s">
        <v>229</v>
      </c>
      <c r="AC407" s="9" t="s">
        <v>6</v>
      </c>
      <c r="AD407" s="9" t="s">
        <v>160</v>
      </c>
      <c r="AE407" s="9">
        <f>IF(Table5[[#This Row],[Team_Name]]=Table5[[#This Row],[Correct_Winner]],1,0)</f>
        <v>1</v>
      </c>
    </row>
    <row r="408" spans="1:31" x14ac:dyDescent="0.3">
      <c r="A408" s="9" t="s">
        <v>226</v>
      </c>
      <c r="B408">
        <v>2017</v>
      </c>
      <c r="C408" s="9" t="s">
        <v>51</v>
      </c>
      <c r="D408" s="9" t="s">
        <v>755</v>
      </c>
      <c r="E408" s="9" t="s">
        <v>451</v>
      </c>
      <c r="F408" s="2" t="s">
        <v>280</v>
      </c>
      <c r="G408">
        <v>176</v>
      </c>
      <c r="H408">
        <v>7</v>
      </c>
      <c r="I408" t="str">
        <f>Clean_Data!$I408</f>
        <v>Comilla Victorians</v>
      </c>
      <c r="J408">
        <v>180</v>
      </c>
      <c r="K408">
        <v>7</v>
      </c>
      <c r="L408" s="9" t="s">
        <v>397</v>
      </c>
      <c r="M408" s="9" t="s">
        <v>113</v>
      </c>
      <c r="N408" s="9" t="s">
        <v>26</v>
      </c>
      <c r="O408" s="9" t="s">
        <v>189</v>
      </c>
      <c r="P408" s="9" t="s">
        <v>113</v>
      </c>
      <c r="Q408" s="9" t="s">
        <v>88</v>
      </c>
      <c r="R408" s="9" t="s">
        <v>89</v>
      </c>
      <c r="S408">
        <v>3</v>
      </c>
      <c r="T408">
        <v>0</v>
      </c>
      <c r="U408" s="9" t="s">
        <v>49</v>
      </c>
      <c r="V408" s="9" t="s">
        <v>752</v>
      </c>
      <c r="W408">
        <v>3</v>
      </c>
      <c r="X408" s="9" t="s">
        <v>753</v>
      </c>
      <c r="Y408">
        <v>356</v>
      </c>
      <c r="Z408" s="9" t="s">
        <v>754</v>
      </c>
      <c r="AA408" s="9" t="s">
        <v>229</v>
      </c>
      <c r="AB408" s="9" t="s">
        <v>225</v>
      </c>
      <c r="AC408" s="9" t="s">
        <v>3</v>
      </c>
      <c r="AD408" s="9" t="s">
        <v>179</v>
      </c>
      <c r="AE408" s="9">
        <f>IF(Table5[[#This Row],[Team_Name]]=Table5[[#This Row],[Correct_Winner]],1,0)</f>
        <v>0</v>
      </c>
    </row>
    <row r="409" spans="1:31" x14ac:dyDescent="0.3">
      <c r="A409" s="9" t="s">
        <v>226</v>
      </c>
      <c r="B409">
        <v>2017</v>
      </c>
      <c r="C409" s="9" t="s">
        <v>51</v>
      </c>
      <c r="D409" s="9" t="s">
        <v>755</v>
      </c>
      <c r="E409" s="9" t="s">
        <v>451</v>
      </c>
      <c r="F409" s="3" t="s">
        <v>277</v>
      </c>
      <c r="G409">
        <v>176</v>
      </c>
      <c r="H409">
        <v>7</v>
      </c>
      <c r="I409" t="str">
        <f>Clean_Data!$I409</f>
        <v xml:space="preserve">Fortune Barishal </v>
      </c>
      <c r="J409">
        <v>180</v>
      </c>
      <c r="K409">
        <v>7</v>
      </c>
      <c r="L409" s="9" t="s">
        <v>397</v>
      </c>
      <c r="M409" s="9" t="s">
        <v>113</v>
      </c>
      <c r="N409" s="9" t="s">
        <v>26</v>
      </c>
      <c r="O409" s="9" t="s">
        <v>189</v>
      </c>
      <c r="P409" s="9" t="s">
        <v>113</v>
      </c>
      <c r="Q409" s="9" t="s">
        <v>88</v>
      </c>
      <c r="R409" s="9" t="s">
        <v>89</v>
      </c>
      <c r="S409">
        <v>3</v>
      </c>
      <c r="T409">
        <v>0</v>
      </c>
      <c r="U409" s="9" t="s">
        <v>49</v>
      </c>
      <c r="V409" s="9" t="s">
        <v>752</v>
      </c>
      <c r="W409">
        <v>3</v>
      </c>
      <c r="X409" s="9" t="s">
        <v>753</v>
      </c>
      <c r="Y409">
        <v>356</v>
      </c>
      <c r="Z409" s="9" t="s">
        <v>754</v>
      </c>
      <c r="AA409" s="9" t="s">
        <v>229</v>
      </c>
      <c r="AB409" s="9" t="s">
        <v>225</v>
      </c>
      <c r="AC409" s="9" t="s">
        <v>6</v>
      </c>
      <c r="AD409" s="9" t="s">
        <v>113</v>
      </c>
      <c r="AE409" s="9">
        <f>IF(Table5[[#This Row],[Team_Name]]=Table5[[#This Row],[Correct_Winner]],1,0)</f>
        <v>1</v>
      </c>
    </row>
    <row r="410" spans="1:31" x14ac:dyDescent="0.3">
      <c r="A410" s="9" t="s">
        <v>226</v>
      </c>
      <c r="B410">
        <v>2017</v>
      </c>
      <c r="C410" s="9" t="s">
        <v>58</v>
      </c>
      <c r="D410" s="9" t="s">
        <v>755</v>
      </c>
      <c r="E410" s="9" t="s">
        <v>451</v>
      </c>
      <c r="F410" s="2" t="s">
        <v>113</v>
      </c>
      <c r="G410">
        <v>185</v>
      </c>
      <c r="H410">
        <v>7</v>
      </c>
      <c r="I410" t="str">
        <f>Clean_Data!$I410</f>
        <v>Sylhet Strikers</v>
      </c>
      <c r="J410">
        <v>155</v>
      </c>
      <c r="K410">
        <v>10</v>
      </c>
      <c r="L410" s="9" t="s">
        <v>213</v>
      </c>
      <c r="M410" s="9" t="s">
        <v>199</v>
      </c>
      <c r="N410" s="9" t="s">
        <v>37</v>
      </c>
      <c r="O410" s="9" t="s">
        <v>208</v>
      </c>
      <c r="P410" s="9" t="s">
        <v>199</v>
      </c>
      <c r="Q410" s="9" t="s">
        <v>88</v>
      </c>
      <c r="R410" s="9" t="s">
        <v>89</v>
      </c>
      <c r="S410">
        <v>0</v>
      </c>
      <c r="T410">
        <v>30</v>
      </c>
      <c r="U410" s="9" t="s">
        <v>452</v>
      </c>
      <c r="V410" s="9" t="s">
        <v>756</v>
      </c>
      <c r="W410">
        <v>30</v>
      </c>
      <c r="X410" s="9" t="s">
        <v>757</v>
      </c>
      <c r="Y410">
        <v>340</v>
      </c>
      <c r="Z410" s="9" t="s">
        <v>754</v>
      </c>
      <c r="AA410" s="9" t="s">
        <v>72</v>
      </c>
      <c r="AB410" s="9" t="s">
        <v>216</v>
      </c>
      <c r="AC410" s="9" t="s">
        <v>3</v>
      </c>
      <c r="AD410" s="9" t="s">
        <v>199</v>
      </c>
      <c r="AE410" s="9">
        <f>IF(Table5[[#This Row],[Team_Name]]=Table5[[#This Row],[Correct_Winner]],1,0)</f>
        <v>1</v>
      </c>
    </row>
    <row r="411" spans="1:31" x14ac:dyDescent="0.3">
      <c r="A411" s="9" t="s">
        <v>226</v>
      </c>
      <c r="B411">
        <v>2017</v>
      </c>
      <c r="C411" s="9" t="s">
        <v>58</v>
      </c>
      <c r="D411" s="9" t="s">
        <v>755</v>
      </c>
      <c r="E411" s="9" t="s">
        <v>451</v>
      </c>
      <c r="F411" s="3" t="s">
        <v>113</v>
      </c>
      <c r="G411">
        <v>185</v>
      </c>
      <c r="H411">
        <v>7</v>
      </c>
      <c r="I411" t="str">
        <f>Clean_Data!$I411</f>
        <v>Durdanto Dhaka</v>
      </c>
      <c r="J411">
        <v>155</v>
      </c>
      <c r="K411">
        <v>10</v>
      </c>
      <c r="L411" s="9" t="s">
        <v>213</v>
      </c>
      <c r="M411" s="9" t="s">
        <v>199</v>
      </c>
      <c r="N411" s="9" t="s">
        <v>37</v>
      </c>
      <c r="O411" s="9" t="s">
        <v>208</v>
      </c>
      <c r="P411" s="9" t="s">
        <v>199</v>
      </c>
      <c r="Q411" s="9" t="s">
        <v>88</v>
      </c>
      <c r="R411" s="9" t="s">
        <v>89</v>
      </c>
      <c r="S411">
        <v>0</v>
      </c>
      <c r="T411">
        <v>30</v>
      </c>
      <c r="U411" s="9" t="s">
        <v>452</v>
      </c>
      <c r="V411" s="9" t="s">
        <v>756</v>
      </c>
      <c r="W411">
        <v>30</v>
      </c>
      <c r="X411" s="9" t="s">
        <v>757</v>
      </c>
      <c r="Y411">
        <v>340</v>
      </c>
      <c r="Z411" s="9" t="s">
        <v>754</v>
      </c>
      <c r="AA411" s="9" t="s">
        <v>72</v>
      </c>
      <c r="AB411" s="9" t="s">
        <v>216</v>
      </c>
      <c r="AC411" s="9" t="s">
        <v>6</v>
      </c>
      <c r="AD411" s="9" t="s">
        <v>143</v>
      </c>
      <c r="AE411" s="9">
        <f>IF(Table5[[#This Row],[Team_Name]]=Table5[[#This Row],[Correct_Winner]],1,0)</f>
        <v>0</v>
      </c>
    </row>
    <row r="412" spans="1:31" x14ac:dyDescent="0.3">
      <c r="A412" s="9" t="s">
        <v>226</v>
      </c>
      <c r="B412">
        <v>2017</v>
      </c>
      <c r="C412" s="9" t="s">
        <v>60</v>
      </c>
      <c r="D412" s="9" t="s">
        <v>755</v>
      </c>
      <c r="E412" s="9" t="s">
        <v>453</v>
      </c>
      <c r="F412" s="2" t="s">
        <v>280</v>
      </c>
      <c r="G412">
        <v>211</v>
      </c>
      <c r="H412">
        <v>5</v>
      </c>
      <c r="I412" t="str">
        <f>Clean_Data!$I412</f>
        <v xml:space="preserve">Fortune Barishal </v>
      </c>
      <c r="J412">
        <v>171</v>
      </c>
      <c r="K412">
        <v>8</v>
      </c>
      <c r="L412" s="9" t="s">
        <v>454</v>
      </c>
      <c r="M412" s="9" t="s">
        <v>238</v>
      </c>
      <c r="N412" s="9" t="s">
        <v>26</v>
      </c>
      <c r="O412" s="9" t="s">
        <v>245</v>
      </c>
      <c r="P412" s="9" t="s">
        <v>179</v>
      </c>
      <c r="Q412" s="9" t="s">
        <v>88</v>
      </c>
      <c r="R412" s="9" t="s">
        <v>89</v>
      </c>
      <c r="S412">
        <v>0</v>
      </c>
      <c r="T412">
        <v>40</v>
      </c>
      <c r="U412" s="9" t="s">
        <v>455</v>
      </c>
      <c r="V412" s="9" t="s">
        <v>756</v>
      </c>
      <c r="W412">
        <v>40</v>
      </c>
      <c r="X412" s="9" t="s">
        <v>757</v>
      </c>
      <c r="Y412">
        <v>382</v>
      </c>
      <c r="Z412" s="9" t="s">
        <v>754</v>
      </c>
      <c r="AA412" s="9" t="s">
        <v>72</v>
      </c>
      <c r="AB412" s="9" t="s">
        <v>225</v>
      </c>
      <c r="AC412" s="9" t="s">
        <v>3</v>
      </c>
      <c r="AD412" s="9" t="s">
        <v>179</v>
      </c>
      <c r="AE412" s="9">
        <f>IF(Table5[[#This Row],[Team_Name]]=Table5[[#This Row],[Correct_Winner]],1,0)</f>
        <v>1</v>
      </c>
    </row>
    <row r="413" spans="1:31" x14ac:dyDescent="0.3">
      <c r="A413" s="9" t="s">
        <v>226</v>
      </c>
      <c r="B413">
        <v>2017</v>
      </c>
      <c r="C413" s="9" t="s">
        <v>60</v>
      </c>
      <c r="D413" s="9" t="s">
        <v>755</v>
      </c>
      <c r="E413" s="9" t="s">
        <v>453</v>
      </c>
      <c r="F413" s="3" t="s">
        <v>635</v>
      </c>
      <c r="G413">
        <v>211</v>
      </c>
      <c r="H413">
        <v>5</v>
      </c>
      <c r="I413" t="str">
        <f>Clean_Data!$I413</f>
        <v>Khulna Tigers</v>
      </c>
      <c r="J413">
        <v>171</v>
      </c>
      <c r="K413">
        <v>8</v>
      </c>
      <c r="L413" s="9" t="s">
        <v>454</v>
      </c>
      <c r="M413" s="9" t="s">
        <v>238</v>
      </c>
      <c r="N413" s="9" t="s">
        <v>26</v>
      </c>
      <c r="O413" s="9" t="s">
        <v>245</v>
      </c>
      <c r="P413" s="9" t="s">
        <v>179</v>
      </c>
      <c r="Q413" s="9" t="s">
        <v>88</v>
      </c>
      <c r="R413" s="9" t="s">
        <v>89</v>
      </c>
      <c r="S413">
        <v>0</v>
      </c>
      <c r="T413">
        <v>40</v>
      </c>
      <c r="U413" s="9" t="s">
        <v>455</v>
      </c>
      <c r="V413" s="9" t="s">
        <v>756</v>
      </c>
      <c r="W413">
        <v>40</v>
      </c>
      <c r="X413" s="9" t="s">
        <v>757</v>
      </c>
      <c r="Y413">
        <v>382</v>
      </c>
      <c r="Z413" s="9" t="s">
        <v>754</v>
      </c>
      <c r="AA413" s="9" t="s">
        <v>72</v>
      </c>
      <c r="AB413" s="9" t="s">
        <v>225</v>
      </c>
      <c r="AC413" s="9" t="s">
        <v>6</v>
      </c>
      <c r="AD413" s="9" t="s">
        <v>238</v>
      </c>
      <c r="AE413" s="9">
        <f>IF(Table5[[#This Row],[Team_Name]]=Table5[[#This Row],[Correct_Winner]],1,0)</f>
        <v>0</v>
      </c>
    </row>
    <row r="414" spans="1:31" x14ac:dyDescent="0.3">
      <c r="A414" s="9" t="s">
        <v>226</v>
      </c>
      <c r="B414">
        <v>2017</v>
      </c>
      <c r="C414" s="9" t="s">
        <v>67</v>
      </c>
      <c r="D414" s="9" t="s">
        <v>755</v>
      </c>
      <c r="E414" s="9" t="s">
        <v>453</v>
      </c>
      <c r="F414" s="2" t="s">
        <v>636</v>
      </c>
      <c r="G414">
        <v>158</v>
      </c>
      <c r="H414">
        <v>8</v>
      </c>
      <c r="I414" t="str">
        <f>Clean_Data!$I414</f>
        <v>Sylhet Strikers</v>
      </c>
      <c r="J414">
        <v>149</v>
      </c>
      <c r="K414">
        <v>6</v>
      </c>
      <c r="L414" s="9" t="s">
        <v>157</v>
      </c>
      <c r="M414" s="9" t="s">
        <v>113</v>
      </c>
      <c r="N414" s="9" t="s">
        <v>26</v>
      </c>
      <c r="O414" s="9" t="s">
        <v>215</v>
      </c>
      <c r="P414" s="9" t="s">
        <v>206</v>
      </c>
      <c r="Q414" s="9" t="s">
        <v>88</v>
      </c>
      <c r="R414" s="9" t="s">
        <v>89</v>
      </c>
      <c r="S414">
        <v>0</v>
      </c>
      <c r="T414">
        <v>9</v>
      </c>
      <c r="U414" s="9" t="s">
        <v>38</v>
      </c>
      <c r="V414" s="9" t="s">
        <v>756</v>
      </c>
      <c r="W414">
        <v>9</v>
      </c>
      <c r="X414" s="9" t="s">
        <v>753</v>
      </c>
      <c r="Y414">
        <v>307</v>
      </c>
      <c r="Z414" s="9" t="s">
        <v>754</v>
      </c>
      <c r="AA414" s="9" t="s">
        <v>216</v>
      </c>
      <c r="AB414" s="9" t="s">
        <v>229</v>
      </c>
      <c r="AC414" s="9" t="s">
        <v>3</v>
      </c>
      <c r="AD414" s="9" t="s">
        <v>206</v>
      </c>
      <c r="AE414" s="9">
        <f>IF(Table5[[#This Row],[Team_Name]]=Table5[[#This Row],[Correct_Winner]],1,0)</f>
        <v>1</v>
      </c>
    </row>
    <row r="415" spans="1:31" x14ac:dyDescent="0.3">
      <c r="A415" s="9" t="s">
        <v>226</v>
      </c>
      <c r="B415">
        <v>2017</v>
      </c>
      <c r="C415" s="9" t="s">
        <v>67</v>
      </c>
      <c r="D415" s="9" t="s">
        <v>755</v>
      </c>
      <c r="E415" s="9" t="s">
        <v>453</v>
      </c>
      <c r="F415" s="3" t="s">
        <v>277</v>
      </c>
      <c r="G415">
        <v>158</v>
      </c>
      <c r="H415">
        <v>8</v>
      </c>
      <c r="I415" t="str">
        <f>Clean_Data!$I415</f>
        <v>Sylhet Strikers</v>
      </c>
      <c r="J415">
        <v>149</v>
      </c>
      <c r="K415">
        <v>6</v>
      </c>
      <c r="L415" s="9" t="s">
        <v>157</v>
      </c>
      <c r="M415" s="9" t="s">
        <v>113</v>
      </c>
      <c r="N415" s="9" t="s">
        <v>26</v>
      </c>
      <c r="O415" s="9" t="s">
        <v>215</v>
      </c>
      <c r="P415" s="9" t="s">
        <v>206</v>
      </c>
      <c r="Q415" s="9" t="s">
        <v>88</v>
      </c>
      <c r="R415" s="9" t="s">
        <v>89</v>
      </c>
      <c r="S415">
        <v>0</v>
      </c>
      <c r="T415">
        <v>9</v>
      </c>
      <c r="U415" s="9" t="s">
        <v>38</v>
      </c>
      <c r="V415" s="9" t="s">
        <v>756</v>
      </c>
      <c r="W415">
        <v>9</v>
      </c>
      <c r="X415" s="9" t="s">
        <v>753</v>
      </c>
      <c r="Y415">
        <v>307</v>
      </c>
      <c r="Z415" s="9" t="s">
        <v>754</v>
      </c>
      <c r="AA415" s="9" t="s">
        <v>216</v>
      </c>
      <c r="AB415" s="9" t="s">
        <v>229</v>
      </c>
      <c r="AC415" s="9" t="s">
        <v>6</v>
      </c>
      <c r="AD415" s="9" t="s">
        <v>113</v>
      </c>
      <c r="AE415" s="9">
        <f>IF(Table5[[#This Row],[Team_Name]]=Table5[[#This Row],[Correct_Winner]],1,0)</f>
        <v>0</v>
      </c>
    </row>
    <row r="416" spans="1:31" x14ac:dyDescent="0.3">
      <c r="A416" s="9" t="s">
        <v>226</v>
      </c>
      <c r="B416">
        <v>2017</v>
      </c>
      <c r="C416" s="9" t="s">
        <v>68</v>
      </c>
      <c r="D416" s="9" t="s">
        <v>755</v>
      </c>
      <c r="E416" s="9" t="s">
        <v>456</v>
      </c>
      <c r="F416" s="2" t="s">
        <v>636</v>
      </c>
      <c r="G416">
        <v>142</v>
      </c>
      <c r="H416">
        <v>10</v>
      </c>
      <c r="I416" t="str">
        <f>Clean_Data!$I416</f>
        <v>Comilla Victorians</v>
      </c>
      <c r="J416">
        <v>139</v>
      </c>
      <c r="K416">
        <v>10</v>
      </c>
      <c r="L416" s="9" t="s">
        <v>102</v>
      </c>
      <c r="M416" s="9" t="s">
        <v>160</v>
      </c>
      <c r="N416" s="9" t="s">
        <v>26</v>
      </c>
      <c r="O416" s="9" t="s">
        <v>189</v>
      </c>
      <c r="P416" s="9" t="s">
        <v>113</v>
      </c>
      <c r="Q416" s="9" t="s">
        <v>28</v>
      </c>
      <c r="R416" s="9" t="s">
        <v>29</v>
      </c>
      <c r="S416">
        <v>0</v>
      </c>
      <c r="T416">
        <v>3</v>
      </c>
      <c r="U416" s="9" t="s">
        <v>437</v>
      </c>
      <c r="V416" s="9" t="s">
        <v>756</v>
      </c>
      <c r="W416">
        <v>3</v>
      </c>
      <c r="X416" s="9" t="s">
        <v>753</v>
      </c>
      <c r="Y416">
        <v>281</v>
      </c>
      <c r="Z416" s="9" t="s">
        <v>754</v>
      </c>
      <c r="AA416" s="9" t="s">
        <v>72</v>
      </c>
      <c r="AB416" s="9" t="s">
        <v>229</v>
      </c>
      <c r="AC416" s="9" t="s">
        <v>3</v>
      </c>
      <c r="AD416" s="9" t="s">
        <v>113</v>
      </c>
      <c r="AE416" s="9">
        <f>IF(Table5[[#This Row],[Team_Name]]=Table5[[#This Row],[Correct_Winner]],1,0)</f>
        <v>1</v>
      </c>
    </row>
    <row r="417" spans="1:31" x14ac:dyDescent="0.3">
      <c r="A417" s="9" t="s">
        <v>226</v>
      </c>
      <c r="B417">
        <v>2017</v>
      </c>
      <c r="C417" s="9" t="s">
        <v>68</v>
      </c>
      <c r="D417" s="9" t="s">
        <v>755</v>
      </c>
      <c r="E417" s="9" t="s">
        <v>456</v>
      </c>
      <c r="F417" s="3" t="s">
        <v>113</v>
      </c>
      <c r="G417">
        <v>142</v>
      </c>
      <c r="H417">
        <v>10</v>
      </c>
      <c r="I417" t="str">
        <f>Clean_Data!$I417</f>
        <v>Chattogram Challengers</v>
      </c>
      <c r="J417">
        <v>139</v>
      </c>
      <c r="K417">
        <v>10</v>
      </c>
      <c r="L417" s="9" t="s">
        <v>102</v>
      </c>
      <c r="M417" s="9" t="s">
        <v>160</v>
      </c>
      <c r="N417" s="9" t="s">
        <v>26</v>
      </c>
      <c r="O417" s="9" t="s">
        <v>189</v>
      </c>
      <c r="P417" s="9" t="s">
        <v>113</v>
      </c>
      <c r="Q417" s="9" t="s">
        <v>28</v>
      </c>
      <c r="R417" s="9" t="s">
        <v>29</v>
      </c>
      <c r="S417">
        <v>0</v>
      </c>
      <c r="T417">
        <v>3</v>
      </c>
      <c r="U417" s="9" t="s">
        <v>437</v>
      </c>
      <c r="V417" s="9" t="s">
        <v>756</v>
      </c>
      <c r="W417">
        <v>3</v>
      </c>
      <c r="X417" s="9" t="s">
        <v>753</v>
      </c>
      <c r="Y417">
        <v>281</v>
      </c>
      <c r="Z417" s="9" t="s">
        <v>754</v>
      </c>
      <c r="AA417" s="9" t="s">
        <v>72</v>
      </c>
      <c r="AB417" s="9" t="s">
        <v>229</v>
      </c>
      <c r="AC417" s="9" t="s">
        <v>6</v>
      </c>
      <c r="AD417" s="9" t="s">
        <v>160</v>
      </c>
      <c r="AE417" s="9">
        <f>IF(Table5[[#This Row],[Team_Name]]=Table5[[#This Row],[Correct_Winner]],1,0)</f>
        <v>0</v>
      </c>
    </row>
    <row r="418" spans="1:31" x14ac:dyDescent="0.3">
      <c r="A418" s="9" t="s">
        <v>226</v>
      </c>
      <c r="B418">
        <v>2017</v>
      </c>
      <c r="C418" s="9" t="s">
        <v>78</v>
      </c>
      <c r="D418" s="9" t="s">
        <v>755</v>
      </c>
      <c r="E418" s="9" t="s">
        <v>456</v>
      </c>
      <c r="F418" s="2" t="s">
        <v>641</v>
      </c>
      <c r="G418">
        <v>166</v>
      </c>
      <c r="H418">
        <v>8</v>
      </c>
      <c r="I418" t="str">
        <f>Clean_Data!$I418</f>
        <v>Durdanto Dhaka</v>
      </c>
      <c r="J418">
        <v>168</v>
      </c>
      <c r="K418">
        <v>8</v>
      </c>
      <c r="L418" s="9" t="s">
        <v>247</v>
      </c>
      <c r="M418" s="9" t="s">
        <v>206</v>
      </c>
      <c r="N418" s="9" t="s">
        <v>26</v>
      </c>
      <c r="O418" s="9" t="s">
        <v>215</v>
      </c>
      <c r="P418" s="9" t="s">
        <v>206</v>
      </c>
      <c r="Q418" s="9" t="s">
        <v>28</v>
      </c>
      <c r="R418" s="9" t="s">
        <v>29</v>
      </c>
      <c r="S418">
        <v>2</v>
      </c>
      <c r="T418">
        <v>0</v>
      </c>
      <c r="U418" s="9" t="s">
        <v>281</v>
      </c>
      <c r="V418" s="9" t="s">
        <v>752</v>
      </c>
      <c r="W418">
        <v>2</v>
      </c>
      <c r="X418" s="9" t="s">
        <v>753</v>
      </c>
      <c r="Y418">
        <v>334</v>
      </c>
      <c r="Z418" s="9" t="s">
        <v>754</v>
      </c>
      <c r="AA418" s="9" t="s">
        <v>39</v>
      </c>
      <c r="AB418" s="9" t="s">
        <v>44</v>
      </c>
      <c r="AC418" s="9" t="s">
        <v>3</v>
      </c>
      <c r="AD418" s="9" t="s">
        <v>199</v>
      </c>
      <c r="AE418" s="9">
        <f>IF(Table5[[#This Row],[Team_Name]]=Table5[[#This Row],[Correct_Winner]],1,0)</f>
        <v>0</v>
      </c>
    </row>
    <row r="419" spans="1:31" x14ac:dyDescent="0.3">
      <c r="A419" s="9" t="s">
        <v>226</v>
      </c>
      <c r="B419">
        <v>2017</v>
      </c>
      <c r="C419" s="9" t="s">
        <v>78</v>
      </c>
      <c r="D419" s="9" t="s">
        <v>755</v>
      </c>
      <c r="E419" s="9" t="s">
        <v>456</v>
      </c>
      <c r="F419" s="3" t="s">
        <v>635</v>
      </c>
      <c r="G419">
        <v>166</v>
      </c>
      <c r="H419">
        <v>8</v>
      </c>
      <c r="I419" t="str">
        <f>Clean_Data!$I419</f>
        <v>Chattogram Challengers</v>
      </c>
      <c r="J419">
        <v>168</v>
      </c>
      <c r="K419">
        <v>8</v>
      </c>
      <c r="L419" s="9" t="s">
        <v>247</v>
      </c>
      <c r="M419" s="9" t="s">
        <v>206</v>
      </c>
      <c r="N419" s="9" t="s">
        <v>26</v>
      </c>
      <c r="O419" s="9" t="s">
        <v>215</v>
      </c>
      <c r="P419" s="9" t="s">
        <v>206</v>
      </c>
      <c r="Q419" s="9" t="s">
        <v>28</v>
      </c>
      <c r="R419" s="9" t="s">
        <v>29</v>
      </c>
      <c r="S419">
        <v>2</v>
      </c>
      <c r="T419">
        <v>0</v>
      </c>
      <c r="U419" s="9" t="s">
        <v>281</v>
      </c>
      <c r="V419" s="9" t="s">
        <v>752</v>
      </c>
      <c r="W419">
        <v>2</v>
      </c>
      <c r="X419" s="9" t="s">
        <v>753</v>
      </c>
      <c r="Y419">
        <v>334</v>
      </c>
      <c r="Z419" s="9" t="s">
        <v>754</v>
      </c>
      <c r="AA419" s="9" t="s">
        <v>39</v>
      </c>
      <c r="AB419" s="9" t="s">
        <v>44</v>
      </c>
      <c r="AC419" s="9" t="s">
        <v>6</v>
      </c>
      <c r="AD419" s="9" t="s">
        <v>206</v>
      </c>
      <c r="AE419" s="9">
        <f>IF(Table5[[#This Row],[Team_Name]]=Table5[[#This Row],[Correct_Winner]],1,0)</f>
        <v>1</v>
      </c>
    </row>
    <row r="420" spans="1:31" x14ac:dyDescent="0.3">
      <c r="A420" s="9" t="s">
        <v>226</v>
      </c>
      <c r="B420">
        <v>2017</v>
      </c>
      <c r="C420" s="9" t="s">
        <v>85</v>
      </c>
      <c r="D420" s="9" t="s">
        <v>755</v>
      </c>
      <c r="E420" s="9" t="s">
        <v>457</v>
      </c>
      <c r="F420" s="2" t="s">
        <v>113</v>
      </c>
      <c r="G420">
        <v>169</v>
      </c>
      <c r="H420">
        <v>7</v>
      </c>
      <c r="I420" t="str">
        <f>Clean_Data!$I420</f>
        <v>Khulna Tigers</v>
      </c>
      <c r="J420">
        <v>162</v>
      </c>
      <c r="K420">
        <v>4</v>
      </c>
      <c r="L420" s="9" t="s">
        <v>102</v>
      </c>
      <c r="M420" s="9" t="s">
        <v>238</v>
      </c>
      <c r="N420" s="9" t="s">
        <v>26</v>
      </c>
      <c r="O420" s="9" t="s">
        <v>189</v>
      </c>
      <c r="P420" s="9" t="s">
        <v>113</v>
      </c>
      <c r="Q420" s="9" t="s">
        <v>28</v>
      </c>
      <c r="R420" s="9" t="s">
        <v>29</v>
      </c>
      <c r="S420">
        <v>0</v>
      </c>
      <c r="T420">
        <v>7</v>
      </c>
      <c r="U420" s="9" t="s">
        <v>364</v>
      </c>
      <c r="V420" s="9" t="s">
        <v>756</v>
      </c>
      <c r="W420">
        <v>7</v>
      </c>
      <c r="X420" s="9" t="s">
        <v>753</v>
      </c>
      <c r="Y420">
        <v>331</v>
      </c>
      <c r="Z420" s="9" t="s">
        <v>754</v>
      </c>
      <c r="AA420" s="9" t="s">
        <v>72</v>
      </c>
      <c r="AB420" s="9" t="s">
        <v>229</v>
      </c>
      <c r="AC420" s="9" t="s">
        <v>3</v>
      </c>
      <c r="AD420" s="9" t="s">
        <v>113</v>
      </c>
      <c r="AE420" s="9">
        <f>IF(Table5[[#This Row],[Team_Name]]=Table5[[#This Row],[Correct_Winner]],1,0)</f>
        <v>1</v>
      </c>
    </row>
    <row r="421" spans="1:31" x14ac:dyDescent="0.3">
      <c r="A421" s="9" t="s">
        <v>226</v>
      </c>
      <c r="B421">
        <v>2017</v>
      </c>
      <c r="C421" s="9" t="s">
        <v>85</v>
      </c>
      <c r="D421" s="9" t="s">
        <v>755</v>
      </c>
      <c r="E421" s="9" t="s">
        <v>457</v>
      </c>
      <c r="F421" s="3" t="s">
        <v>641</v>
      </c>
      <c r="G421">
        <v>169</v>
      </c>
      <c r="H421">
        <v>7</v>
      </c>
      <c r="I421" t="str">
        <f>Clean_Data!$I421</f>
        <v>Durdanto Dhaka</v>
      </c>
      <c r="J421">
        <v>162</v>
      </c>
      <c r="K421">
        <v>4</v>
      </c>
      <c r="L421" s="9" t="s">
        <v>102</v>
      </c>
      <c r="M421" s="9" t="s">
        <v>238</v>
      </c>
      <c r="N421" s="9" t="s">
        <v>26</v>
      </c>
      <c r="O421" s="9" t="s">
        <v>189</v>
      </c>
      <c r="P421" s="9" t="s">
        <v>113</v>
      </c>
      <c r="Q421" s="9" t="s">
        <v>28</v>
      </c>
      <c r="R421" s="9" t="s">
        <v>29</v>
      </c>
      <c r="S421">
        <v>0</v>
      </c>
      <c r="T421">
        <v>7</v>
      </c>
      <c r="U421" s="9" t="s">
        <v>364</v>
      </c>
      <c r="V421" s="9" t="s">
        <v>756</v>
      </c>
      <c r="W421">
        <v>7</v>
      </c>
      <c r="X421" s="9" t="s">
        <v>753</v>
      </c>
      <c r="Y421">
        <v>331</v>
      </c>
      <c r="Z421" s="9" t="s">
        <v>754</v>
      </c>
      <c r="AA421" s="9" t="s">
        <v>72</v>
      </c>
      <c r="AB421" s="9" t="s">
        <v>229</v>
      </c>
      <c r="AC421" s="9" t="s">
        <v>6</v>
      </c>
      <c r="AD421" s="9" t="s">
        <v>238</v>
      </c>
      <c r="AE421" s="9">
        <f>IF(Table5[[#This Row],[Team_Name]]=Table5[[#This Row],[Correct_Winner]],1,0)</f>
        <v>0</v>
      </c>
    </row>
    <row r="422" spans="1:31" x14ac:dyDescent="0.3">
      <c r="A422" s="9" t="s">
        <v>226</v>
      </c>
      <c r="B422">
        <v>2017</v>
      </c>
      <c r="C422" s="9" t="s">
        <v>91</v>
      </c>
      <c r="D422" s="9" t="s">
        <v>755</v>
      </c>
      <c r="E422" s="9" t="s">
        <v>457</v>
      </c>
      <c r="F422" s="2" t="s">
        <v>277</v>
      </c>
      <c r="G422">
        <v>128</v>
      </c>
      <c r="H422">
        <v>10</v>
      </c>
      <c r="I422" t="str">
        <f>Clean_Data!$I422</f>
        <v xml:space="preserve">Comilla Victorians </v>
      </c>
      <c r="J422">
        <v>129</v>
      </c>
      <c r="K422">
        <v>6</v>
      </c>
      <c r="L422" s="9" t="s">
        <v>458</v>
      </c>
      <c r="M422" s="9" t="s">
        <v>160</v>
      </c>
      <c r="N422" s="9" t="s">
        <v>37</v>
      </c>
      <c r="O422" s="9" t="s">
        <v>145</v>
      </c>
      <c r="P422" s="9" t="s">
        <v>143</v>
      </c>
      <c r="Q422" s="9" t="s">
        <v>28</v>
      </c>
      <c r="R422" s="9" t="s">
        <v>29</v>
      </c>
      <c r="S422">
        <v>4</v>
      </c>
      <c r="T422">
        <v>0</v>
      </c>
      <c r="U422" s="9" t="s">
        <v>90</v>
      </c>
      <c r="V422" s="9" t="s">
        <v>752</v>
      </c>
      <c r="W422">
        <v>4</v>
      </c>
      <c r="X422" s="9" t="s">
        <v>753</v>
      </c>
      <c r="Y422">
        <v>257</v>
      </c>
      <c r="Z422" s="9" t="s">
        <v>754</v>
      </c>
      <c r="AA422" s="9" t="s">
        <v>66</v>
      </c>
      <c r="AB422" s="9" t="s">
        <v>147</v>
      </c>
      <c r="AC422" s="9" t="s">
        <v>3</v>
      </c>
      <c r="AD422" s="9" t="s">
        <v>160</v>
      </c>
      <c r="AE422" s="9">
        <f>IF(Table5[[#This Row],[Team_Name]]=Table5[[#This Row],[Correct_Winner]],1,0)</f>
        <v>0</v>
      </c>
    </row>
    <row r="423" spans="1:31" x14ac:dyDescent="0.3">
      <c r="A423" s="9" t="s">
        <v>226</v>
      </c>
      <c r="B423">
        <v>2017</v>
      </c>
      <c r="C423" s="9" t="s">
        <v>91</v>
      </c>
      <c r="D423" s="9" t="s">
        <v>755</v>
      </c>
      <c r="E423" s="9" t="s">
        <v>457</v>
      </c>
      <c r="F423" s="3" t="s">
        <v>636</v>
      </c>
      <c r="G423">
        <v>128</v>
      </c>
      <c r="H423">
        <v>10</v>
      </c>
      <c r="I423" t="str">
        <f>Clean_Data!$I423</f>
        <v>Khulna Tigers</v>
      </c>
      <c r="J423">
        <v>129</v>
      </c>
      <c r="K423">
        <v>6</v>
      </c>
      <c r="L423" s="9" t="s">
        <v>458</v>
      </c>
      <c r="M423" s="9" t="s">
        <v>160</v>
      </c>
      <c r="N423" s="9" t="s">
        <v>37</v>
      </c>
      <c r="O423" s="9" t="s">
        <v>145</v>
      </c>
      <c r="P423" s="9" t="s">
        <v>143</v>
      </c>
      <c r="Q423" s="9" t="s">
        <v>28</v>
      </c>
      <c r="R423" s="9" t="s">
        <v>29</v>
      </c>
      <c r="S423">
        <v>4</v>
      </c>
      <c r="T423">
        <v>0</v>
      </c>
      <c r="U423" s="9" t="s">
        <v>90</v>
      </c>
      <c r="V423" s="9" t="s">
        <v>752</v>
      </c>
      <c r="W423">
        <v>4</v>
      </c>
      <c r="X423" s="9" t="s">
        <v>753</v>
      </c>
      <c r="Y423">
        <v>257</v>
      </c>
      <c r="Z423" s="9" t="s">
        <v>754</v>
      </c>
      <c r="AA423" s="9" t="s">
        <v>66</v>
      </c>
      <c r="AB423" s="9" t="s">
        <v>147</v>
      </c>
      <c r="AC423" s="9" t="s">
        <v>6</v>
      </c>
      <c r="AD423" s="9" t="s">
        <v>143</v>
      </c>
      <c r="AE423" s="9">
        <f>IF(Table5[[#This Row],[Team_Name]]=Table5[[#This Row],[Correct_Winner]],1,0)</f>
        <v>1</v>
      </c>
    </row>
    <row r="424" spans="1:31" x14ac:dyDescent="0.3">
      <c r="A424" s="9" t="s">
        <v>226</v>
      </c>
      <c r="B424">
        <v>2017</v>
      </c>
      <c r="C424" s="9" t="s">
        <v>95</v>
      </c>
      <c r="D424" s="9" t="s">
        <v>755</v>
      </c>
      <c r="E424" s="9" t="s">
        <v>459</v>
      </c>
      <c r="F424" s="2" t="s">
        <v>113</v>
      </c>
      <c r="G424">
        <v>153</v>
      </c>
      <c r="H424">
        <v>6</v>
      </c>
      <c r="I424" t="str">
        <f>Clean_Data!$I424</f>
        <v>Chattogram Challengers</v>
      </c>
      <c r="J424">
        <v>139</v>
      </c>
      <c r="K424">
        <v>7</v>
      </c>
      <c r="L424" s="9" t="s">
        <v>443</v>
      </c>
      <c r="M424" s="9" t="s">
        <v>113</v>
      </c>
      <c r="N424" s="9" t="s">
        <v>26</v>
      </c>
      <c r="O424" s="9" t="s">
        <v>145</v>
      </c>
      <c r="P424" s="9" t="s">
        <v>143</v>
      </c>
      <c r="Q424" s="9" t="s">
        <v>28</v>
      </c>
      <c r="R424" s="9" t="s">
        <v>29</v>
      </c>
      <c r="S424">
        <v>0</v>
      </c>
      <c r="T424">
        <v>14</v>
      </c>
      <c r="U424" s="9" t="s">
        <v>135</v>
      </c>
      <c r="V424" s="9" t="s">
        <v>756</v>
      </c>
      <c r="W424">
        <v>14</v>
      </c>
      <c r="X424" s="9" t="s">
        <v>757</v>
      </c>
      <c r="Y424">
        <v>292</v>
      </c>
      <c r="Z424" s="9" t="s">
        <v>754</v>
      </c>
      <c r="AA424" s="9" t="s">
        <v>50</v>
      </c>
      <c r="AB424" s="9" t="s">
        <v>147</v>
      </c>
      <c r="AC424" s="9" t="s">
        <v>3</v>
      </c>
      <c r="AD424" s="9" t="s">
        <v>143</v>
      </c>
      <c r="AE424" s="9">
        <f>IF(Table5[[#This Row],[Team_Name]]=Table5[[#This Row],[Correct_Winner]],1,0)</f>
        <v>1</v>
      </c>
    </row>
    <row r="425" spans="1:31" x14ac:dyDescent="0.3">
      <c r="A425" s="9" t="s">
        <v>226</v>
      </c>
      <c r="B425">
        <v>2017</v>
      </c>
      <c r="C425" s="9" t="s">
        <v>95</v>
      </c>
      <c r="D425" s="9" t="s">
        <v>755</v>
      </c>
      <c r="E425" s="9" t="s">
        <v>459</v>
      </c>
      <c r="F425" s="3" t="s">
        <v>310</v>
      </c>
      <c r="G425">
        <v>153</v>
      </c>
      <c r="H425">
        <v>6</v>
      </c>
      <c r="I425" t="str">
        <f>Clean_Data!$I425</f>
        <v>Sylhet Strikers</v>
      </c>
      <c r="J425">
        <v>139</v>
      </c>
      <c r="K425">
        <v>7</v>
      </c>
      <c r="L425" s="9" t="s">
        <v>443</v>
      </c>
      <c r="M425" s="9" t="s">
        <v>113</v>
      </c>
      <c r="N425" s="9" t="s">
        <v>26</v>
      </c>
      <c r="O425" s="9" t="s">
        <v>145</v>
      </c>
      <c r="P425" s="9" t="s">
        <v>143</v>
      </c>
      <c r="Q425" s="9" t="s">
        <v>28</v>
      </c>
      <c r="R425" s="9" t="s">
        <v>29</v>
      </c>
      <c r="S425">
        <v>0</v>
      </c>
      <c r="T425">
        <v>14</v>
      </c>
      <c r="U425" s="9" t="s">
        <v>135</v>
      </c>
      <c r="V425" s="9" t="s">
        <v>756</v>
      </c>
      <c r="W425">
        <v>14</v>
      </c>
      <c r="X425" s="9" t="s">
        <v>757</v>
      </c>
      <c r="Y425">
        <v>292</v>
      </c>
      <c r="Z425" s="9" t="s">
        <v>754</v>
      </c>
      <c r="AA425" s="9" t="s">
        <v>50</v>
      </c>
      <c r="AB425" s="9" t="s">
        <v>147</v>
      </c>
      <c r="AC425" s="9" t="s">
        <v>6</v>
      </c>
      <c r="AD425" s="9" t="s">
        <v>113</v>
      </c>
      <c r="AE425" s="9">
        <f>IF(Table5[[#This Row],[Team_Name]]=Table5[[#This Row],[Correct_Winner]],1,0)</f>
        <v>0</v>
      </c>
    </row>
    <row r="426" spans="1:31" x14ac:dyDescent="0.3">
      <c r="A426" s="9" t="s">
        <v>226</v>
      </c>
      <c r="B426">
        <v>2017</v>
      </c>
      <c r="C426" s="9" t="s">
        <v>104</v>
      </c>
      <c r="D426" s="9" t="s">
        <v>755</v>
      </c>
      <c r="E426" s="9" t="s">
        <v>459</v>
      </c>
      <c r="F426" s="2" t="s">
        <v>280</v>
      </c>
      <c r="G426">
        <v>201</v>
      </c>
      <c r="H426">
        <v>7</v>
      </c>
      <c r="I426" t="str">
        <f>Clean_Data!$I426</f>
        <v>Durdanto Dhaka</v>
      </c>
      <c r="J426">
        <v>133</v>
      </c>
      <c r="K426">
        <v>10</v>
      </c>
      <c r="L426" s="9" t="s">
        <v>259</v>
      </c>
      <c r="M426" s="9" t="s">
        <v>199</v>
      </c>
      <c r="N426" s="9" t="s">
        <v>26</v>
      </c>
      <c r="O426" s="9" t="s">
        <v>193</v>
      </c>
      <c r="P426" s="9" t="s">
        <v>160</v>
      </c>
      <c r="Q426" s="9" t="s">
        <v>28</v>
      </c>
      <c r="R426" s="9" t="s">
        <v>29</v>
      </c>
      <c r="S426">
        <v>0</v>
      </c>
      <c r="T426">
        <v>68</v>
      </c>
      <c r="U426" s="9" t="s">
        <v>361</v>
      </c>
      <c r="V426" s="9" t="s">
        <v>756</v>
      </c>
      <c r="W426">
        <v>68</v>
      </c>
      <c r="X426" s="9" t="s">
        <v>757</v>
      </c>
      <c r="Y426">
        <v>334</v>
      </c>
      <c r="Z426" s="9" t="s">
        <v>754</v>
      </c>
      <c r="AA426" s="9" t="s">
        <v>39</v>
      </c>
      <c r="AB426" s="9" t="s">
        <v>229</v>
      </c>
      <c r="AC426" s="9" t="s">
        <v>3</v>
      </c>
      <c r="AD426" s="9" t="s">
        <v>160</v>
      </c>
      <c r="AE426" s="9">
        <f>IF(Table5[[#This Row],[Team_Name]]=Table5[[#This Row],[Correct_Winner]],1,0)</f>
        <v>1</v>
      </c>
    </row>
    <row r="427" spans="1:31" x14ac:dyDescent="0.3">
      <c r="A427" s="9" t="s">
        <v>226</v>
      </c>
      <c r="B427">
        <v>2017</v>
      </c>
      <c r="C427" s="9" t="s">
        <v>104</v>
      </c>
      <c r="D427" s="9" t="s">
        <v>755</v>
      </c>
      <c r="E427" s="9" t="s">
        <v>459</v>
      </c>
      <c r="F427" s="3" t="s">
        <v>581</v>
      </c>
      <c r="G427">
        <v>201</v>
      </c>
      <c r="H427">
        <v>7</v>
      </c>
      <c r="I427" t="str">
        <f>Clean_Data!$I427</f>
        <v xml:space="preserve">Comilla Victorians </v>
      </c>
      <c r="J427">
        <v>133</v>
      </c>
      <c r="K427">
        <v>10</v>
      </c>
      <c r="L427" s="9" t="s">
        <v>259</v>
      </c>
      <c r="M427" s="9" t="s">
        <v>199</v>
      </c>
      <c r="N427" s="9" t="s">
        <v>26</v>
      </c>
      <c r="O427" s="9" t="s">
        <v>193</v>
      </c>
      <c r="P427" s="9" t="s">
        <v>160</v>
      </c>
      <c r="Q427" s="9" t="s">
        <v>28</v>
      </c>
      <c r="R427" s="9" t="s">
        <v>29</v>
      </c>
      <c r="S427">
        <v>0</v>
      </c>
      <c r="T427">
        <v>68</v>
      </c>
      <c r="U427" s="9" t="s">
        <v>361</v>
      </c>
      <c r="V427" s="9" t="s">
        <v>756</v>
      </c>
      <c r="W427">
        <v>68</v>
      </c>
      <c r="X427" s="9" t="s">
        <v>757</v>
      </c>
      <c r="Y427">
        <v>334</v>
      </c>
      <c r="Z427" s="9" t="s">
        <v>754</v>
      </c>
      <c r="AA427" s="9" t="s">
        <v>39</v>
      </c>
      <c r="AB427" s="9" t="s">
        <v>229</v>
      </c>
      <c r="AC427" s="9" t="s">
        <v>6</v>
      </c>
      <c r="AD427" s="9" t="s">
        <v>199</v>
      </c>
      <c r="AE427" s="9">
        <f>IF(Table5[[#This Row],[Team_Name]]=Table5[[#This Row],[Correct_Winner]],1,0)</f>
        <v>0</v>
      </c>
    </row>
    <row r="428" spans="1:31" x14ac:dyDescent="0.3">
      <c r="A428" s="9" t="s">
        <v>226</v>
      </c>
      <c r="B428">
        <v>2017</v>
      </c>
      <c r="C428" s="9" t="s">
        <v>110</v>
      </c>
      <c r="D428" s="9" t="s">
        <v>755</v>
      </c>
      <c r="E428" s="9" t="s">
        <v>460</v>
      </c>
      <c r="F428" s="2" t="s">
        <v>641</v>
      </c>
      <c r="G428">
        <v>160</v>
      </c>
      <c r="H428">
        <v>5</v>
      </c>
      <c r="I428" t="str">
        <f>Clean_Data!$I428</f>
        <v>Rangpur Riders</v>
      </c>
      <c r="J428">
        <v>164</v>
      </c>
      <c r="K428">
        <v>5</v>
      </c>
      <c r="L428" s="9" t="s">
        <v>461</v>
      </c>
      <c r="M428" s="9" t="s">
        <v>206</v>
      </c>
      <c r="N428" s="9" t="s">
        <v>26</v>
      </c>
      <c r="O428" s="9" t="s">
        <v>215</v>
      </c>
      <c r="P428" s="9" t="s">
        <v>206</v>
      </c>
      <c r="Q428" s="9" t="s">
        <v>28</v>
      </c>
      <c r="R428" s="9" t="s">
        <v>29</v>
      </c>
      <c r="S428">
        <v>5</v>
      </c>
      <c r="T428">
        <v>0</v>
      </c>
      <c r="U428" s="9" t="s">
        <v>55</v>
      </c>
      <c r="V428" s="9" t="s">
        <v>752</v>
      </c>
      <c r="W428">
        <v>5</v>
      </c>
      <c r="X428" s="9" t="s">
        <v>753</v>
      </c>
      <c r="Y428">
        <v>324</v>
      </c>
      <c r="Z428" s="9" t="s">
        <v>754</v>
      </c>
      <c r="AA428" s="9" t="s">
        <v>39</v>
      </c>
      <c r="AB428" s="9" t="s">
        <v>229</v>
      </c>
      <c r="AC428" s="9" t="s">
        <v>3</v>
      </c>
      <c r="AD428" s="9" t="s">
        <v>179</v>
      </c>
      <c r="AE428" s="9">
        <f>IF(Table5[[#This Row],[Team_Name]]=Table5[[#This Row],[Correct_Winner]],1,0)</f>
        <v>0</v>
      </c>
    </row>
    <row r="429" spans="1:31" x14ac:dyDescent="0.3">
      <c r="A429" s="9" t="s">
        <v>226</v>
      </c>
      <c r="B429">
        <v>2017</v>
      </c>
      <c r="C429" s="9" t="s">
        <v>110</v>
      </c>
      <c r="D429" s="9" t="s">
        <v>755</v>
      </c>
      <c r="E429" s="9" t="s">
        <v>460</v>
      </c>
      <c r="F429" s="3" t="s">
        <v>280</v>
      </c>
      <c r="G429">
        <v>160</v>
      </c>
      <c r="H429">
        <v>5</v>
      </c>
      <c r="I429" t="str">
        <f>Clean_Data!$I429</f>
        <v>Khulna Tigers</v>
      </c>
      <c r="J429">
        <v>164</v>
      </c>
      <c r="K429">
        <v>5</v>
      </c>
      <c r="L429" s="9" t="s">
        <v>461</v>
      </c>
      <c r="M429" s="9" t="s">
        <v>206</v>
      </c>
      <c r="N429" s="9" t="s">
        <v>26</v>
      </c>
      <c r="O429" s="9" t="s">
        <v>215</v>
      </c>
      <c r="P429" s="9" t="s">
        <v>206</v>
      </c>
      <c r="Q429" s="9" t="s">
        <v>28</v>
      </c>
      <c r="R429" s="9" t="s">
        <v>29</v>
      </c>
      <c r="S429">
        <v>5</v>
      </c>
      <c r="T429">
        <v>0</v>
      </c>
      <c r="U429" s="9" t="s">
        <v>55</v>
      </c>
      <c r="V429" s="9" t="s">
        <v>752</v>
      </c>
      <c r="W429">
        <v>5</v>
      </c>
      <c r="X429" s="9" t="s">
        <v>753</v>
      </c>
      <c r="Y429">
        <v>324</v>
      </c>
      <c r="Z429" s="9" t="s">
        <v>754</v>
      </c>
      <c r="AA429" s="9" t="s">
        <v>39</v>
      </c>
      <c r="AB429" s="9" t="s">
        <v>229</v>
      </c>
      <c r="AC429" s="9" t="s">
        <v>6</v>
      </c>
      <c r="AD429" s="9" t="s">
        <v>206</v>
      </c>
      <c r="AE429" s="9">
        <f>IF(Table5[[#This Row],[Team_Name]]=Table5[[#This Row],[Correct_Winner]],1,0)</f>
        <v>1</v>
      </c>
    </row>
    <row r="430" spans="1:31" x14ac:dyDescent="0.3">
      <c r="A430" s="9" t="s">
        <v>226</v>
      </c>
      <c r="B430">
        <v>2017</v>
      </c>
      <c r="C430" s="9" t="s">
        <v>116</v>
      </c>
      <c r="D430" s="9" t="s">
        <v>755</v>
      </c>
      <c r="E430" s="9" t="s">
        <v>460</v>
      </c>
      <c r="F430" s="2" t="s">
        <v>113</v>
      </c>
      <c r="G430">
        <v>146</v>
      </c>
      <c r="H430">
        <v>6</v>
      </c>
      <c r="I430" t="str">
        <f>Clean_Data!$I430</f>
        <v xml:space="preserve">Comilla Victorians </v>
      </c>
      <c r="J430">
        <v>150</v>
      </c>
      <c r="K430">
        <v>3</v>
      </c>
      <c r="L430" s="9" t="s">
        <v>462</v>
      </c>
      <c r="M430" s="9" t="s">
        <v>199</v>
      </c>
      <c r="N430" s="9" t="s">
        <v>26</v>
      </c>
      <c r="O430" s="9" t="s">
        <v>208</v>
      </c>
      <c r="P430" s="9" t="s">
        <v>199</v>
      </c>
      <c r="Q430" s="9" t="s">
        <v>28</v>
      </c>
      <c r="R430" s="9" t="s">
        <v>29</v>
      </c>
      <c r="S430">
        <v>7</v>
      </c>
      <c r="T430">
        <v>0</v>
      </c>
      <c r="U430" s="9" t="s">
        <v>118</v>
      </c>
      <c r="V430" s="9" t="s">
        <v>752</v>
      </c>
      <c r="W430">
        <v>7</v>
      </c>
      <c r="X430" s="9" t="s">
        <v>753</v>
      </c>
      <c r="Y430">
        <v>296</v>
      </c>
      <c r="Z430" s="9" t="s">
        <v>754</v>
      </c>
      <c r="AA430" s="9" t="s">
        <v>50</v>
      </c>
      <c r="AB430" s="9" t="s">
        <v>147</v>
      </c>
      <c r="AC430" s="9" t="s">
        <v>3</v>
      </c>
      <c r="AD430" s="9" t="s">
        <v>238</v>
      </c>
      <c r="AE430" s="9">
        <f>IF(Table5[[#This Row],[Team_Name]]=Table5[[#This Row],[Correct_Winner]],1,0)</f>
        <v>0</v>
      </c>
    </row>
    <row r="431" spans="1:31" x14ac:dyDescent="0.3">
      <c r="A431" s="9" t="s">
        <v>226</v>
      </c>
      <c r="B431">
        <v>2017</v>
      </c>
      <c r="C431" s="9" t="s">
        <v>116</v>
      </c>
      <c r="D431" s="9" t="s">
        <v>755</v>
      </c>
      <c r="E431" s="9" t="s">
        <v>460</v>
      </c>
      <c r="F431" s="3" t="s">
        <v>143</v>
      </c>
      <c r="G431">
        <v>146</v>
      </c>
      <c r="H431">
        <v>6</v>
      </c>
      <c r="I431" t="str">
        <f>Clean_Data!$I431</f>
        <v xml:space="preserve">Fortune Barishal </v>
      </c>
      <c r="J431">
        <v>150</v>
      </c>
      <c r="K431">
        <v>3</v>
      </c>
      <c r="L431" s="9" t="s">
        <v>462</v>
      </c>
      <c r="M431" s="9" t="s">
        <v>199</v>
      </c>
      <c r="N431" s="9" t="s">
        <v>26</v>
      </c>
      <c r="O431" s="9" t="s">
        <v>208</v>
      </c>
      <c r="P431" s="9" t="s">
        <v>199</v>
      </c>
      <c r="Q431" s="9" t="s">
        <v>28</v>
      </c>
      <c r="R431" s="9" t="s">
        <v>29</v>
      </c>
      <c r="S431">
        <v>7</v>
      </c>
      <c r="T431">
        <v>0</v>
      </c>
      <c r="U431" s="9" t="s">
        <v>118</v>
      </c>
      <c r="V431" s="9" t="s">
        <v>752</v>
      </c>
      <c r="W431">
        <v>7</v>
      </c>
      <c r="X431" s="9" t="s">
        <v>753</v>
      </c>
      <c r="Y431">
        <v>296</v>
      </c>
      <c r="Z431" s="9" t="s">
        <v>754</v>
      </c>
      <c r="AA431" s="9" t="s">
        <v>50</v>
      </c>
      <c r="AB431" s="9" t="s">
        <v>147</v>
      </c>
      <c r="AC431" s="9" t="s">
        <v>6</v>
      </c>
      <c r="AD431" s="9" t="s">
        <v>199</v>
      </c>
      <c r="AE431" s="9">
        <f>IF(Table5[[#This Row],[Team_Name]]=Table5[[#This Row],[Correct_Winner]],1,0)</f>
        <v>1</v>
      </c>
    </row>
    <row r="432" spans="1:31" x14ac:dyDescent="0.3">
      <c r="A432" s="9" t="s">
        <v>226</v>
      </c>
      <c r="B432">
        <v>2017</v>
      </c>
      <c r="C432" s="9" t="s">
        <v>132</v>
      </c>
      <c r="D432" s="9" t="s">
        <v>755</v>
      </c>
      <c r="E432" s="9" t="s">
        <v>463</v>
      </c>
      <c r="F432" s="2" t="s">
        <v>277</v>
      </c>
      <c r="G432">
        <v>139</v>
      </c>
      <c r="H432">
        <v>4</v>
      </c>
      <c r="I432" t="str">
        <f>Clean_Data!$I432</f>
        <v>Sylhet Strikers</v>
      </c>
      <c r="J432">
        <v>140</v>
      </c>
      <c r="K432">
        <v>4</v>
      </c>
      <c r="L432" s="9" t="s">
        <v>464</v>
      </c>
      <c r="M432" s="9" t="s">
        <v>143</v>
      </c>
      <c r="N432" s="9" t="s">
        <v>26</v>
      </c>
      <c r="O432" s="9" t="s">
        <v>145</v>
      </c>
      <c r="P432" s="9" t="s">
        <v>143</v>
      </c>
      <c r="Q432" s="9" t="s">
        <v>28</v>
      </c>
      <c r="R432" s="9" t="s">
        <v>29</v>
      </c>
      <c r="S432">
        <v>6</v>
      </c>
      <c r="T432">
        <v>0</v>
      </c>
      <c r="U432" s="9" t="s">
        <v>151</v>
      </c>
      <c r="V432" s="9" t="s">
        <v>752</v>
      </c>
      <c r="W432">
        <v>6</v>
      </c>
      <c r="X432" s="9" t="s">
        <v>753</v>
      </c>
      <c r="Y432">
        <v>279</v>
      </c>
      <c r="Z432" s="9" t="s">
        <v>754</v>
      </c>
      <c r="AA432" s="9" t="s">
        <v>229</v>
      </c>
      <c r="AB432" s="9" t="s">
        <v>44</v>
      </c>
      <c r="AC432" s="9" t="s">
        <v>3</v>
      </c>
      <c r="AD432" s="9" t="s">
        <v>179</v>
      </c>
      <c r="AE432" s="9">
        <f>IF(Table5[[#This Row],[Team_Name]]=Table5[[#This Row],[Correct_Winner]],1,0)</f>
        <v>0</v>
      </c>
    </row>
    <row r="433" spans="1:31" x14ac:dyDescent="0.3">
      <c r="A433" s="9" t="s">
        <v>226</v>
      </c>
      <c r="B433">
        <v>2017</v>
      </c>
      <c r="C433" s="9" t="s">
        <v>132</v>
      </c>
      <c r="D433" s="9" t="s">
        <v>755</v>
      </c>
      <c r="E433" s="9" t="s">
        <v>463</v>
      </c>
      <c r="F433" s="3" t="s">
        <v>280</v>
      </c>
      <c r="G433">
        <v>139</v>
      </c>
      <c r="H433">
        <v>4</v>
      </c>
      <c r="I433" t="str">
        <f>Clean_Data!$I433</f>
        <v xml:space="preserve">Fortune Barishal </v>
      </c>
      <c r="J433">
        <v>140</v>
      </c>
      <c r="K433">
        <v>4</v>
      </c>
      <c r="L433" s="9" t="s">
        <v>464</v>
      </c>
      <c r="M433" s="9" t="s">
        <v>143</v>
      </c>
      <c r="N433" s="9" t="s">
        <v>26</v>
      </c>
      <c r="O433" s="9" t="s">
        <v>145</v>
      </c>
      <c r="P433" s="9" t="s">
        <v>143</v>
      </c>
      <c r="Q433" s="9" t="s">
        <v>28</v>
      </c>
      <c r="R433" s="9" t="s">
        <v>29</v>
      </c>
      <c r="S433">
        <v>6</v>
      </c>
      <c r="T433">
        <v>0</v>
      </c>
      <c r="U433" s="9" t="s">
        <v>151</v>
      </c>
      <c r="V433" s="9" t="s">
        <v>752</v>
      </c>
      <c r="W433">
        <v>6</v>
      </c>
      <c r="X433" s="9" t="s">
        <v>753</v>
      </c>
      <c r="Y433">
        <v>279</v>
      </c>
      <c r="Z433" s="9" t="s">
        <v>754</v>
      </c>
      <c r="AA433" s="9" t="s">
        <v>229</v>
      </c>
      <c r="AB433" s="9" t="s">
        <v>44</v>
      </c>
      <c r="AC433" s="9" t="s">
        <v>6</v>
      </c>
      <c r="AD433" s="9" t="s">
        <v>143</v>
      </c>
      <c r="AE433" s="9">
        <f>IF(Table5[[#This Row],[Team_Name]]=Table5[[#This Row],[Correct_Winner]],1,0)</f>
        <v>1</v>
      </c>
    </row>
    <row r="434" spans="1:31" x14ac:dyDescent="0.3">
      <c r="A434" s="9" t="s">
        <v>226</v>
      </c>
      <c r="B434">
        <v>2017</v>
      </c>
      <c r="C434" s="9" t="s">
        <v>138</v>
      </c>
      <c r="D434" s="9" t="s">
        <v>755</v>
      </c>
      <c r="E434" s="9" t="s">
        <v>463</v>
      </c>
      <c r="F434" s="2" t="s">
        <v>113</v>
      </c>
      <c r="G434">
        <v>156</v>
      </c>
      <c r="H434">
        <v>5</v>
      </c>
      <c r="I434" t="str">
        <f>Clean_Data!$I434</f>
        <v>Comilla Victorians</v>
      </c>
      <c r="J434">
        <v>157</v>
      </c>
      <c r="K434">
        <v>6</v>
      </c>
      <c r="L434" s="9" t="s">
        <v>188</v>
      </c>
      <c r="M434" s="9" t="s">
        <v>160</v>
      </c>
      <c r="N434" s="9" t="s">
        <v>26</v>
      </c>
      <c r="O434" s="9" t="s">
        <v>193</v>
      </c>
      <c r="P434" s="9" t="s">
        <v>160</v>
      </c>
      <c r="Q434" s="9" t="s">
        <v>28</v>
      </c>
      <c r="R434" s="9" t="s">
        <v>29</v>
      </c>
      <c r="S434">
        <v>4</v>
      </c>
      <c r="T434">
        <v>0</v>
      </c>
      <c r="U434" s="9" t="s">
        <v>90</v>
      </c>
      <c r="V434" s="9" t="s">
        <v>752</v>
      </c>
      <c r="W434">
        <v>4</v>
      </c>
      <c r="X434" s="9" t="s">
        <v>753</v>
      </c>
      <c r="Y434">
        <v>313</v>
      </c>
      <c r="Z434" s="9" t="s">
        <v>754</v>
      </c>
      <c r="AA434" s="9" t="s">
        <v>50</v>
      </c>
      <c r="AB434" s="9" t="s">
        <v>147</v>
      </c>
      <c r="AC434" s="9" t="s">
        <v>3</v>
      </c>
      <c r="AD434" s="9" t="s">
        <v>206</v>
      </c>
      <c r="AE434" s="9">
        <f>IF(Table5[[#This Row],[Team_Name]]=Table5[[#This Row],[Correct_Winner]],1,0)</f>
        <v>0</v>
      </c>
    </row>
    <row r="435" spans="1:31" x14ac:dyDescent="0.3">
      <c r="A435" s="9" t="s">
        <v>226</v>
      </c>
      <c r="B435">
        <v>2017</v>
      </c>
      <c r="C435" s="9" t="s">
        <v>138</v>
      </c>
      <c r="D435" s="9" t="s">
        <v>755</v>
      </c>
      <c r="E435" s="9" t="s">
        <v>463</v>
      </c>
      <c r="F435" s="3" t="s">
        <v>113</v>
      </c>
      <c r="G435">
        <v>156</v>
      </c>
      <c r="H435">
        <v>5</v>
      </c>
      <c r="I435" t="str">
        <f>Clean_Data!$I435</f>
        <v xml:space="preserve">Fortune Barishal </v>
      </c>
      <c r="J435">
        <v>157</v>
      </c>
      <c r="K435">
        <v>6</v>
      </c>
      <c r="L435" s="9" t="s">
        <v>188</v>
      </c>
      <c r="M435" s="9" t="s">
        <v>160</v>
      </c>
      <c r="N435" s="9" t="s">
        <v>26</v>
      </c>
      <c r="O435" s="9" t="s">
        <v>193</v>
      </c>
      <c r="P435" s="9" t="s">
        <v>160</v>
      </c>
      <c r="Q435" s="9" t="s">
        <v>28</v>
      </c>
      <c r="R435" s="9" t="s">
        <v>29</v>
      </c>
      <c r="S435">
        <v>4</v>
      </c>
      <c r="T435">
        <v>0</v>
      </c>
      <c r="U435" s="9" t="s">
        <v>90</v>
      </c>
      <c r="V435" s="9" t="s">
        <v>752</v>
      </c>
      <c r="W435">
        <v>4</v>
      </c>
      <c r="X435" s="9" t="s">
        <v>753</v>
      </c>
      <c r="Y435">
        <v>313</v>
      </c>
      <c r="Z435" s="9" t="s">
        <v>754</v>
      </c>
      <c r="AA435" s="9" t="s">
        <v>50</v>
      </c>
      <c r="AB435" s="9" t="s">
        <v>147</v>
      </c>
      <c r="AC435" s="9" t="s">
        <v>6</v>
      </c>
      <c r="AD435" s="9" t="s">
        <v>160</v>
      </c>
      <c r="AE435" s="9">
        <f>IF(Table5[[#This Row],[Team_Name]]=Table5[[#This Row],[Correct_Winner]],1,0)</f>
        <v>1</v>
      </c>
    </row>
    <row r="436" spans="1:31" x14ac:dyDescent="0.3">
      <c r="A436" s="9" t="s">
        <v>226</v>
      </c>
      <c r="B436">
        <v>2017</v>
      </c>
      <c r="C436" s="9" t="s">
        <v>148</v>
      </c>
      <c r="D436" s="9" t="s">
        <v>755</v>
      </c>
      <c r="E436" s="9" t="s">
        <v>465</v>
      </c>
      <c r="F436" s="2" t="s">
        <v>635</v>
      </c>
      <c r="G436">
        <v>115</v>
      </c>
      <c r="H436">
        <v>7</v>
      </c>
      <c r="I436" t="str">
        <f>Clean_Data!$I436</f>
        <v xml:space="preserve">Fortune Barishal </v>
      </c>
      <c r="J436">
        <v>120</v>
      </c>
      <c r="K436">
        <v>1</v>
      </c>
      <c r="L436" s="9" t="s">
        <v>217</v>
      </c>
      <c r="M436" s="9" t="s">
        <v>143</v>
      </c>
      <c r="N436" s="9" t="s">
        <v>26</v>
      </c>
      <c r="O436" s="9" t="s">
        <v>145</v>
      </c>
      <c r="P436" s="9" t="s">
        <v>143</v>
      </c>
      <c r="Q436" s="9" t="s">
        <v>28</v>
      </c>
      <c r="R436" s="9" t="s">
        <v>29</v>
      </c>
      <c r="S436">
        <v>9</v>
      </c>
      <c r="T436">
        <v>0</v>
      </c>
      <c r="U436" s="9" t="s">
        <v>71</v>
      </c>
      <c r="V436" s="9" t="s">
        <v>752</v>
      </c>
      <c r="W436">
        <v>9</v>
      </c>
      <c r="X436" s="9" t="s">
        <v>753</v>
      </c>
      <c r="Y436">
        <v>235</v>
      </c>
      <c r="Z436" s="9" t="s">
        <v>754</v>
      </c>
      <c r="AA436" s="9" t="s">
        <v>66</v>
      </c>
      <c r="AB436" s="9" t="s">
        <v>229</v>
      </c>
      <c r="AC436" s="9" t="s">
        <v>3</v>
      </c>
      <c r="AD436" s="9" t="s">
        <v>199</v>
      </c>
      <c r="AE436" s="9">
        <f>IF(Table5[[#This Row],[Team_Name]]=Table5[[#This Row],[Correct_Winner]],1,0)</f>
        <v>0</v>
      </c>
    </row>
    <row r="437" spans="1:31" x14ac:dyDescent="0.3">
      <c r="A437" s="9" t="s">
        <v>226</v>
      </c>
      <c r="B437">
        <v>2017</v>
      </c>
      <c r="C437" s="9" t="s">
        <v>148</v>
      </c>
      <c r="D437" s="9" t="s">
        <v>755</v>
      </c>
      <c r="E437" s="9" t="s">
        <v>465</v>
      </c>
      <c r="F437" s="3" t="s">
        <v>693</v>
      </c>
      <c r="G437">
        <v>115</v>
      </c>
      <c r="H437">
        <v>7</v>
      </c>
      <c r="I437" t="str">
        <f>Clean_Data!$I437</f>
        <v>Fortune Barishal</v>
      </c>
      <c r="J437">
        <v>120</v>
      </c>
      <c r="K437">
        <v>1</v>
      </c>
      <c r="L437" s="9" t="s">
        <v>217</v>
      </c>
      <c r="M437" s="9" t="s">
        <v>143</v>
      </c>
      <c r="N437" s="9" t="s">
        <v>26</v>
      </c>
      <c r="O437" s="9" t="s">
        <v>145</v>
      </c>
      <c r="P437" s="9" t="s">
        <v>143</v>
      </c>
      <c r="Q437" s="9" t="s">
        <v>28</v>
      </c>
      <c r="R437" s="9" t="s">
        <v>29</v>
      </c>
      <c r="S437">
        <v>9</v>
      </c>
      <c r="T437">
        <v>0</v>
      </c>
      <c r="U437" s="9" t="s">
        <v>71</v>
      </c>
      <c r="V437" s="9" t="s">
        <v>752</v>
      </c>
      <c r="W437">
        <v>9</v>
      </c>
      <c r="X437" s="9" t="s">
        <v>753</v>
      </c>
      <c r="Y437">
        <v>235</v>
      </c>
      <c r="Z437" s="9" t="s">
        <v>754</v>
      </c>
      <c r="AA437" s="9" t="s">
        <v>66</v>
      </c>
      <c r="AB437" s="9" t="s">
        <v>229</v>
      </c>
      <c r="AC437" s="9" t="s">
        <v>6</v>
      </c>
      <c r="AD437" s="9" t="s">
        <v>143</v>
      </c>
      <c r="AE437" s="9">
        <f>IF(Table5[[#This Row],[Team_Name]]=Table5[[#This Row],[Correct_Winner]],1,0)</f>
        <v>1</v>
      </c>
    </row>
    <row r="438" spans="1:31" x14ac:dyDescent="0.3">
      <c r="A438" s="9" t="s">
        <v>226</v>
      </c>
      <c r="B438">
        <v>2017</v>
      </c>
      <c r="C438" s="9" t="s">
        <v>156</v>
      </c>
      <c r="D438" s="9" t="s">
        <v>755</v>
      </c>
      <c r="E438" s="9" t="s">
        <v>465</v>
      </c>
      <c r="F438" s="2" t="s">
        <v>113</v>
      </c>
      <c r="G438">
        <v>170</v>
      </c>
      <c r="H438">
        <v>7</v>
      </c>
      <c r="I438" t="str">
        <f>Clean_Data!$I438</f>
        <v>Dhaka Capital</v>
      </c>
      <c r="J438">
        <v>152</v>
      </c>
      <c r="K438">
        <v>7</v>
      </c>
      <c r="L438" s="9" t="s">
        <v>466</v>
      </c>
      <c r="M438" s="9" t="s">
        <v>179</v>
      </c>
      <c r="N438" s="9" t="s">
        <v>26</v>
      </c>
      <c r="O438" s="9" t="s">
        <v>215</v>
      </c>
      <c r="P438" s="9" t="s">
        <v>206</v>
      </c>
      <c r="Q438" s="9" t="s">
        <v>28</v>
      </c>
      <c r="R438" s="9" t="s">
        <v>29</v>
      </c>
      <c r="S438">
        <v>0</v>
      </c>
      <c r="T438">
        <v>18</v>
      </c>
      <c r="U438" s="9" t="s">
        <v>162</v>
      </c>
      <c r="V438" s="9" t="s">
        <v>756</v>
      </c>
      <c r="W438">
        <v>18</v>
      </c>
      <c r="X438" s="9" t="s">
        <v>757</v>
      </c>
      <c r="Y438">
        <v>322</v>
      </c>
      <c r="Z438" s="9" t="s">
        <v>754</v>
      </c>
      <c r="AA438" s="9" t="s">
        <v>50</v>
      </c>
      <c r="AB438" s="9" t="s">
        <v>147</v>
      </c>
      <c r="AC438" s="9" t="s">
        <v>3</v>
      </c>
      <c r="AD438" s="9" t="s">
        <v>206</v>
      </c>
      <c r="AE438" s="9">
        <f>IF(Table5[[#This Row],[Team_Name]]=Table5[[#This Row],[Correct_Winner]],1,0)</f>
        <v>1</v>
      </c>
    </row>
    <row r="439" spans="1:31" x14ac:dyDescent="0.3">
      <c r="A439" s="9" t="s">
        <v>226</v>
      </c>
      <c r="B439">
        <v>2017</v>
      </c>
      <c r="C439" s="9" t="s">
        <v>156</v>
      </c>
      <c r="D439" s="9" t="s">
        <v>755</v>
      </c>
      <c r="E439" s="9" t="s">
        <v>465</v>
      </c>
      <c r="F439" s="3" t="s">
        <v>277</v>
      </c>
      <c r="G439">
        <v>170</v>
      </c>
      <c r="H439">
        <v>7</v>
      </c>
      <c r="I439" t="str">
        <f>Clean_Data!$I439</f>
        <v>Chittagong Kings</v>
      </c>
      <c r="J439">
        <v>152</v>
      </c>
      <c r="K439">
        <v>7</v>
      </c>
      <c r="L439" s="9" t="s">
        <v>466</v>
      </c>
      <c r="M439" s="9" t="s">
        <v>179</v>
      </c>
      <c r="N439" s="9" t="s">
        <v>26</v>
      </c>
      <c r="O439" s="9" t="s">
        <v>215</v>
      </c>
      <c r="P439" s="9" t="s">
        <v>206</v>
      </c>
      <c r="Q439" s="9" t="s">
        <v>28</v>
      </c>
      <c r="R439" s="9" t="s">
        <v>29</v>
      </c>
      <c r="S439">
        <v>0</v>
      </c>
      <c r="T439">
        <v>18</v>
      </c>
      <c r="U439" s="9" t="s">
        <v>162</v>
      </c>
      <c r="V439" s="9" t="s">
        <v>756</v>
      </c>
      <c r="W439">
        <v>18</v>
      </c>
      <c r="X439" s="9" t="s">
        <v>757</v>
      </c>
      <c r="Y439">
        <v>322</v>
      </c>
      <c r="Z439" s="9" t="s">
        <v>754</v>
      </c>
      <c r="AA439" s="9" t="s">
        <v>50</v>
      </c>
      <c r="AB439" s="9" t="s">
        <v>147</v>
      </c>
      <c r="AC439" s="9" t="s">
        <v>6</v>
      </c>
      <c r="AD439" s="9" t="s">
        <v>179</v>
      </c>
      <c r="AE439" s="9">
        <f>IF(Table5[[#This Row],[Team_Name]]=Table5[[#This Row],[Correct_Winner]],1,0)</f>
        <v>0</v>
      </c>
    </row>
    <row r="440" spans="1:31" x14ac:dyDescent="0.3">
      <c r="A440" s="9" t="s">
        <v>226</v>
      </c>
      <c r="B440">
        <v>2017</v>
      </c>
      <c r="C440" s="9" t="s">
        <v>163</v>
      </c>
      <c r="D440" s="9" t="s">
        <v>755</v>
      </c>
      <c r="E440" s="9" t="s">
        <v>467</v>
      </c>
      <c r="F440" s="2" t="s">
        <v>113</v>
      </c>
      <c r="G440">
        <v>101</v>
      </c>
      <c r="H440">
        <v>9</v>
      </c>
      <c r="I440" t="str">
        <f>Clean_Data!$I440</f>
        <v>Sylhet Strikers</v>
      </c>
      <c r="J440">
        <v>106</v>
      </c>
      <c r="K440">
        <v>2</v>
      </c>
      <c r="L440" s="9" t="s">
        <v>235</v>
      </c>
      <c r="M440" s="9" t="s">
        <v>160</v>
      </c>
      <c r="N440" s="9" t="s">
        <v>26</v>
      </c>
      <c r="O440" s="9" t="s">
        <v>193</v>
      </c>
      <c r="P440" s="9" t="s">
        <v>160</v>
      </c>
      <c r="Q440" s="9" t="s">
        <v>28</v>
      </c>
      <c r="R440" s="9" t="s">
        <v>29</v>
      </c>
      <c r="S440">
        <v>8</v>
      </c>
      <c r="T440">
        <v>0</v>
      </c>
      <c r="U440" s="9" t="s">
        <v>30</v>
      </c>
      <c r="V440" s="9" t="s">
        <v>752</v>
      </c>
      <c r="W440">
        <v>8</v>
      </c>
      <c r="X440" s="9" t="s">
        <v>753</v>
      </c>
      <c r="Y440">
        <v>207</v>
      </c>
      <c r="Z440" s="9" t="s">
        <v>754</v>
      </c>
      <c r="AA440" s="9" t="s">
        <v>39</v>
      </c>
      <c r="AB440" s="9" t="s">
        <v>147</v>
      </c>
      <c r="AC440" s="9" t="s">
        <v>3</v>
      </c>
      <c r="AD440" s="9" t="s">
        <v>238</v>
      </c>
      <c r="AE440" s="9">
        <f>IF(Table5[[#This Row],[Team_Name]]=Table5[[#This Row],[Correct_Winner]],1,0)</f>
        <v>0</v>
      </c>
    </row>
    <row r="441" spans="1:31" x14ac:dyDescent="0.3">
      <c r="A441" s="9" t="s">
        <v>226</v>
      </c>
      <c r="B441">
        <v>2017</v>
      </c>
      <c r="C441" s="9" t="s">
        <v>163</v>
      </c>
      <c r="D441" s="9" t="s">
        <v>755</v>
      </c>
      <c r="E441" s="9" t="s">
        <v>467</v>
      </c>
      <c r="F441" s="3" t="s">
        <v>694</v>
      </c>
      <c r="G441">
        <v>101</v>
      </c>
      <c r="H441">
        <v>9</v>
      </c>
      <c r="I441" t="str">
        <f>Clean_Data!$I441</f>
        <v>Durbar Rajshahi</v>
      </c>
      <c r="J441">
        <v>106</v>
      </c>
      <c r="K441">
        <v>2</v>
      </c>
      <c r="L441" s="9" t="s">
        <v>235</v>
      </c>
      <c r="M441" s="9" t="s">
        <v>160</v>
      </c>
      <c r="N441" s="9" t="s">
        <v>26</v>
      </c>
      <c r="O441" s="9" t="s">
        <v>193</v>
      </c>
      <c r="P441" s="9" t="s">
        <v>160</v>
      </c>
      <c r="Q441" s="9" t="s">
        <v>28</v>
      </c>
      <c r="R441" s="9" t="s">
        <v>29</v>
      </c>
      <c r="S441">
        <v>8</v>
      </c>
      <c r="T441">
        <v>0</v>
      </c>
      <c r="U441" s="9" t="s">
        <v>30</v>
      </c>
      <c r="V441" s="9" t="s">
        <v>752</v>
      </c>
      <c r="W441">
        <v>8</v>
      </c>
      <c r="X441" s="9" t="s">
        <v>753</v>
      </c>
      <c r="Y441">
        <v>207</v>
      </c>
      <c r="Z441" s="9" t="s">
        <v>754</v>
      </c>
      <c r="AA441" s="9" t="s">
        <v>39</v>
      </c>
      <c r="AB441" s="9" t="s">
        <v>147</v>
      </c>
      <c r="AC441" s="9" t="s">
        <v>6</v>
      </c>
      <c r="AD441" s="9" t="s">
        <v>160</v>
      </c>
      <c r="AE441" s="9">
        <f>IF(Table5[[#This Row],[Team_Name]]=Table5[[#This Row],[Correct_Winner]],1,0)</f>
        <v>1</v>
      </c>
    </row>
    <row r="442" spans="1:31" x14ac:dyDescent="0.3">
      <c r="A442" s="9" t="s">
        <v>226</v>
      </c>
      <c r="B442">
        <v>2017</v>
      </c>
      <c r="C442" s="9" t="s">
        <v>168</v>
      </c>
      <c r="D442" s="9" t="s">
        <v>755</v>
      </c>
      <c r="E442" s="9" t="s">
        <v>467</v>
      </c>
      <c r="F442" s="2" t="s">
        <v>310</v>
      </c>
      <c r="G442">
        <v>134</v>
      </c>
      <c r="H442">
        <v>5</v>
      </c>
      <c r="I442" t="str">
        <f>Clean_Data!$I442</f>
        <v>Rangpur Riders</v>
      </c>
      <c r="J442">
        <v>138</v>
      </c>
      <c r="K442">
        <v>2</v>
      </c>
      <c r="L442" s="9" t="s">
        <v>87</v>
      </c>
      <c r="M442" s="9" t="s">
        <v>113</v>
      </c>
      <c r="N442" s="9" t="s">
        <v>37</v>
      </c>
      <c r="O442" s="9" t="s">
        <v>208</v>
      </c>
      <c r="P442" s="9" t="s">
        <v>199</v>
      </c>
      <c r="Q442" s="9" t="s">
        <v>28</v>
      </c>
      <c r="R442" s="9" t="s">
        <v>29</v>
      </c>
      <c r="S442">
        <v>8</v>
      </c>
      <c r="T442">
        <v>0</v>
      </c>
      <c r="U442" s="9" t="s">
        <v>30</v>
      </c>
      <c r="V442" s="9" t="s">
        <v>752</v>
      </c>
      <c r="W442">
        <v>8</v>
      </c>
      <c r="X442" s="9" t="s">
        <v>753</v>
      </c>
      <c r="Y442">
        <v>272</v>
      </c>
      <c r="Z442" s="9" t="s">
        <v>754</v>
      </c>
      <c r="AA442" s="9" t="s">
        <v>72</v>
      </c>
      <c r="AB442" s="9" t="s">
        <v>229</v>
      </c>
      <c r="AC442" s="9" t="s">
        <v>3</v>
      </c>
      <c r="AD442" s="9" t="s">
        <v>113</v>
      </c>
      <c r="AE442" s="9">
        <f>IF(Table5[[#This Row],[Team_Name]]=Table5[[#This Row],[Correct_Winner]],1,0)</f>
        <v>0</v>
      </c>
    </row>
    <row r="443" spans="1:31" x14ac:dyDescent="0.3">
      <c r="A443" s="9" t="s">
        <v>226</v>
      </c>
      <c r="B443">
        <v>2017</v>
      </c>
      <c r="C443" s="9" t="s">
        <v>168</v>
      </c>
      <c r="D443" s="9" t="s">
        <v>755</v>
      </c>
      <c r="E443" s="9" t="s">
        <v>467</v>
      </c>
      <c r="F443" s="3" t="s">
        <v>53</v>
      </c>
      <c r="G443">
        <v>134</v>
      </c>
      <c r="H443">
        <v>5</v>
      </c>
      <c r="I443" t="str">
        <f>Clean_Data!$I443</f>
        <v>Durbar Rajshahi</v>
      </c>
      <c r="J443">
        <v>138</v>
      </c>
      <c r="K443">
        <v>2</v>
      </c>
      <c r="L443" s="9" t="s">
        <v>87</v>
      </c>
      <c r="M443" s="9" t="s">
        <v>113</v>
      </c>
      <c r="N443" s="9" t="s">
        <v>37</v>
      </c>
      <c r="O443" s="9" t="s">
        <v>208</v>
      </c>
      <c r="P443" s="9" t="s">
        <v>199</v>
      </c>
      <c r="Q443" s="9" t="s">
        <v>28</v>
      </c>
      <c r="R443" s="9" t="s">
        <v>29</v>
      </c>
      <c r="S443">
        <v>8</v>
      </c>
      <c r="T443">
        <v>0</v>
      </c>
      <c r="U443" s="9" t="s">
        <v>30</v>
      </c>
      <c r="V443" s="9" t="s">
        <v>752</v>
      </c>
      <c r="W443">
        <v>8</v>
      </c>
      <c r="X443" s="9" t="s">
        <v>753</v>
      </c>
      <c r="Y443">
        <v>272</v>
      </c>
      <c r="Z443" s="9" t="s">
        <v>754</v>
      </c>
      <c r="AA443" s="9" t="s">
        <v>72</v>
      </c>
      <c r="AB443" s="9" t="s">
        <v>229</v>
      </c>
      <c r="AC443" s="9" t="s">
        <v>6</v>
      </c>
      <c r="AD443" s="9" t="s">
        <v>199</v>
      </c>
      <c r="AE443" s="9">
        <f>IF(Table5[[#This Row],[Team_Name]]=Table5[[#This Row],[Correct_Winner]],1,0)</f>
        <v>1</v>
      </c>
    </row>
    <row r="444" spans="1:31" x14ac:dyDescent="0.3">
      <c r="A444" s="9" t="s">
        <v>226</v>
      </c>
      <c r="B444">
        <v>2017</v>
      </c>
      <c r="C444" s="9" t="s">
        <v>170</v>
      </c>
      <c r="D444" s="9" t="s">
        <v>755</v>
      </c>
      <c r="E444" s="9" t="s">
        <v>468</v>
      </c>
      <c r="F444" s="2" t="s">
        <v>277</v>
      </c>
      <c r="G444">
        <v>135</v>
      </c>
      <c r="H444">
        <v>5</v>
      </c>
      <c r="I444" t="str">
        <f>Clean_Data!$I444</f>
        <v>Dhaka Capital</v>
      </c>
      <c r="J444">
        <v>138</v>
      </c>
      <c r="K444">
        <v>4</v>
      </c>
      <c r="L444" s="9" t="s">
        <v>157</v>
      </c>
      <c r="M444" s="9" t="s">
        <v>206</v>
      </c>
      <c r="N444" s="9" t="s">
        <v>26</v>
      </c>
      <c r="O444" s="9" t="s">
        <v>215</v>
      </c>
      <c r="P444" s="9" t="s">
        <v>206</v>
      </c>
      <c r="Q444" s="9" t="s">
        <v>469</v>
      </c>
      <c r="R444" s="9" t="s">
        <v>470</v>
      </c>
      <c r="S444">
        <v>6</v>
      </c>
      <c r="T444">
        <v>0</v>
      </c>
      <c r="U444" s="9" t="s">
        <v>151</v>
      </c>
      <c r="V444" s="9" t="s">
        <v>752</v>
      </c>
      <c r="W444">
        <v>6</v>
      </c>
      <c r="X444" s="9" t="s">
        <v>753</v>
      </c>
      <c r="Y444">
        <v>273</v>
      </c>
      <c r="Z444" s="9" t="s">
        <v>754</v>
      </c>
      <c r="AA444" s="9" t="s">
        <v>72</v>
      </c>
      <c r="AB444" s="9" t="s">
        <v>66</v>
      </c>
      <c r="AC444" s="9" t="s">
        <v>3</v>
      </c>
      <c r="AD444" s="9" t="s">
        <v>238</v>
      </c>
      <c r="AE444" s="9">
        <f>IF(Table5[[#This Row],[Team_Name]]=Table5[[#This Row],[Correct_Winner]],1,0)</f>
        <v>0</v>
      </c>
    </row>
    <row r="445" spans="1:31" x14ac:dyDescent="0.3">
      <c r="A445" s="9" t="s">
        <v>226</v>
      </c>
      <c r="B445">
        <v>2017</v>
      </c>
      <c r="C445" s="9" t="s">
        <v>170</v>
      </c>
      <c r="D445" s="9" t="s">
        <v>755</v>
      </c>
      <c r="E445" s="9" t="s">
        <v>468</v>
      </c>
      <c r="F445" s="3" t="s">
        <v>581</v>
      </c>
      <c r="G445">
        <v>135</v>
      </c>
      <c r="H445">
        <v>5</v>
      </c>
      <c r="I445" t="str">
        <f>Clean_Data!$I445</f>
        <v>Rangpur Riders</v>
      </c>
      <c r="J445">
        <v>138</v>
      </c>
      <c r="K445">
        <v>4</v>
      </c>
      <c r="L445" s="9" t="s">
        <v>157</v>
      </c>
      <c r="M445" s="9" t="s">
        <v>206</v>
      </c>
      <c r="N445" s="9" t="s">
        <v>26</v>
      </c>
      <c r="O445" s="9" t="s">
        <v>215</v>
      </c>
      <c r="P445" s="9" t="s">
        <v>206</v>
      </c>
      <c r="Q445" s="9" t="s">
        <v>469</v>
      </c>
      <c r="R445" s="9" t="s">
        <v>470</v>
      </c>
      <c r="S445">
        <v>6</v>
      </c>
      <c r="T445">
        <v>0</v>
      </c>
      <c r="U445" s="9" t="s">
        <v>151</v>
      </c>
      <c r="V445" s="9" t="s">
        <v>752</v>
      </c>
      <c r="W445">
        <v>6</v>
      </c>
      <c r="X445" s="9" t="s">
        <v>753</v>
      </c>
      <c r="Y445">
        <v>273</v>
      </c>
      <c r="Z445" s="9" t="s">
        <v>754</v>
      </c>
      <c r="AA445" s="9" t="s">
        <v>72</v>
      </c>
      <c r="AB445" s="9" t="s">
        <v>66</v>
      </c>
      <c r="AC445" s="9" t="s">
        <v>6</v>
      </c>
      <c r="AD445" s="9" t="s">
        <v>206</v>
      </c>
      <c r="AE445" s="9">
        <f>IF(Table5[[#This Row],[Team_Name]]=Table5[[#This Row],[Correct_Winner]],1,0)</f>
        <v>1</v>
      </c>
    </row>
    <row r="446" spans="1:31" x14ac:dyDescent="0.3">
      <c r="A446" s="9" t="s">
        <v>226</v>
      </c>
      <c r="B446">
        <v>2017</v>
      </c>
      <c r="C446" s="9" t="s">
        <v>176</v>
      </c>
      <c r="D446" s="9" t="s">
        <v>755</v>
      </c>
      <c r="E446" s="9" t="s">
        <v>468</v>
      </c>
      <c r="F446" s="2" t="s">
        <v>693</v>
      </c>
      <c r="G446">
        <v>166</v>
      </c>
      <c r="H446">
        <v>4</v>
      </c>
      <c r="I446" t="str">
        <f>Clean_Data!$I446</f>
        <v>Fortune Barishal</v>
      </c>
      <c r="J446">
        <v>155</v>
      </c>
      <c r="K446">
        <v>8</v>
      </c>
      <c r="L446" s="9" t="s">
        <v>94</v>
      </c>
      <c r="M446" s="9" t="s">
        <v>113</v>
      </c>
      <c r="N446" s="9" t="s">
        <v>26</v>
      </c>
      <c r="O446" s="9" t="s">
        <v>245</v>
      </c>
      <c r="P446" s="9" t="s">
        <v>179</v>
      </c>
      <c r="Q446" s="9" t="s">
        <v>469</v>
      </c>
      <c r="R446" s="9" t="s">
        <v>470</v>
      </c>
      <c r="S446">
        <v>0</v>
      </c>
      <c r="T446">
        <v>11</v>
      </c>
      <c r="U446" s="9" t="s">
        <v>273</v>
      </c>
      <c r="V446" s="9" t="s">
        <v>756</v>
      </c>
      <c r="W446">
        <v>11</v>
      </c>
      <c r="X446" s="9" t="s">
        <v>757</v>
      </c>
      <c r="Y446">
        <v>321</v>
      </c>
      <c r="Z446" s="9" t="s">
        <v>754</v>
      </c>
      <c r="AA446" s="9" t="s">
        <v>229</v>
      </c>
      <c r="AB446" s="9" t="s">
        <v>44</v>
      </c>
      <c r="AC446" s="9" t="s">
        <v>3</v>
      </c>
      <c r="AD446" s="9" t="s">
        <v>179</v>
      </c>
      <c r="AE446" s="9">
        <f>IF(Table5[[#This Row],[Team_Name]]=Table5[[#This Row],[Correct_Winner]],1,0)</f>
        <v>1</v>
      </c>
    </row>
    <row r="447" spans="1:31" x14ac:dyDescent="0.3">
      <c r="A447" s="9" t="s">
        <v>226</v>
      </c>
      <c r="B447">
        <v>2017</v>
      </c>
      <c r="C447" s="9" t="s">
        <v>176</v>
      </c>
      <c r="D447" s="9" t="s">
        <v>755</v>
      </c>
      <c r="E447" s="9" t="s">
        <v>468</v>
      </c>
      <c r="F447" s="3" t="s">
        <v>694</v>
      </c>
      <c r="G447">
        <v>166</v>
      </c>
      <c r="H447">
        <v>4</v>
      </c>
      <c r="I447" t="str">
        <f>Clean_Data!$I447</f>
        <v>Rangpur Riders</v>
      </c>
      <c r="J447">
        <v>155</v>
      </c>
      <c r="K447">
        <v>8</v>
      </c>
      <c r="L447" s="9" t="s">
        <v>94</v>
      </c>
      <c r="M447" s="9" t="s">
        <v>113</v>
      </c>
      <c r="N447" s="9" t="s">
        <v>26</v>
      </c>
      <c r="O447" s="9" t="s">
        <v>245</v>
      </c>
      <c r="P447" s="9" t="s">
        <v>179</v>
      </c>
      <c r="Q447" s="9" t="s">
        <v>469</v>
      </c>
      <c r="R447" s="9" t="s">
        <v>470</v>
      </c>
      <c r="S447">
        <v>0</v>
      </c>
      <c r="T447">
        <v>11</v>
      </c>
      <c r="U447" s="9" t="s">
        <v>273</v>
      </c>
      <c r="V447" s="9" t="s">
        <v>756</v>
      </c>
      <c r="W447">
        <v>11</v>
      </c>
      <c r="X447" s="9" t="s">
        <v>757</v>
      </c>
      <c r="Y447">
        <v>321</v>
      </c>
      <c r="Z447" s="9" t="s">
        <v>754</v>
      </c>
      <c r="AA447" s="9" t="s">
        <v>229</v>
      </c>
      <c r="AB447" s="9" t="s">
        <v>44</v>
      </c>
      <c r="AC447" s="9" t="s">
        <v>6</v>
      </c>
      <c r="AD447" s="9" t="s">
        <v>113</v>
      </c>
      <c r="AE447" s="9">
        <f>IF(Table5[[#This Row],[Team_Name]]=Table5[[#This Row],[Correct_Winner]],1,0)</f>
        <v>0</v>
      </c>
    </row>
    <row r="448" spans="1:31" x14ac:dyDescent="0.3">
      <c r="A448" s="9" t="s">
        <v>226</v>
      </c>
      <c r="B448">
        <v>2017</v>
      </c>
      <c r="C448" s="9" t="s">
        <v>180</v>
      </c>
      <c r="D448" s="9" t="s">
        <v>755</v>
      </c>
      <c r="E448" s="9" t="s">
        <v>471</v>
      </c>
      <c r="F448" s="2" t="s">
        <v>581</v>
      </c>
      <c r="G448">
        <v>205</v>
      </c>
      <c r="H448">
        <v>6</v>
      </c>
      <c r="I448" t="str">
        <f>Clean_Data!$I448</f>
        <v>Fortune Barishal</v>
      </c>
      <c r="J448">
        <v>172</v>
      </c>
      <c r="K448">
        <v>8</v>
      </c>
      <c r="L448" s="9" t="s">
        <v>472</v>
      </c>
      <c r="M448" s="9" t="s">
        <v>199</v>
      </c>
      <c r="N448" s="9" t="s">
        <v>26</v>
      </c>
      <c r="O448" s="9" t="s">
        <v>250</v>
      </c>
      <c r="P448" s="9" t="s">
        <v>238</v>
      </c>
      <c r="Q448" s="9" t="s">
        <v>469</v>
      </c>
      <c r="R448" s="9" t="s">
        <v>470</v>
      </c>
      <c r="S448">
        <v>0</v>
      </c>
      <c r="T448">
        <v>33</v>
      </c>
      <c r="U448" s="9" t="s">
        <v>131</v>
      </c>
      <c r="V448" s="9" t="s">
        <v>756</v>
      </c>
      <c r="W448">
        <v>33</v>
      </c>
      <c r="X448" s="9" t="s">
        <v>757</v>
      </c>
      <c r="Y448">
        <v>377</v>
      </c>
      <c r="Z448" s="9" t="s">
        <v>754</v>
      </c>
      <c r="AA448" s="9" t="s">
        <v>72</v>
      </c>
      <c r="AB448" s="9" t="s">
        <v>229</v>
      </c>
      <c r="AC448" s="9" t="s">
        <v>3</v>
      </c>
      <c r="AD448" s="9" t="s">
        <v>238</v>
      </c>
      <c r="AE448" s="9">
        <f>IF(Table5[[#This Row],[Team_Name]]=Table5[[#This Row],[Correct_Winner]],1,0)</f>
        <v>1</v>
      </c>
    </row>
    <row r="449" spans="1:31" x14ac:dyDescent="0.3">
      <c r="A449" s="9" t="s">
        <v>226</v>
      </c>
      <c r="B449">
        <v>2017</v>
      </c>
      <c r="C449" s="9" t="s">
        <v>180</v>
      </c>
      <c r="D449" s="9" t="s">
        <v>755</v>
      </c>
      <c r="E449" s="9" t="s">
        <v>471</v>
      </c>
      <c r="F449" s="3" t="s">
        <v>310</v>
      </c>
      <c r="G449">
        <v>205</v>
      </c>
      <c r="H449">
        <v>6</v>
      </c>
      <c r="I449" t="str">
        <f>Clean_Data!$I449</f>
        <v>Rangpur Riders</v>
      </c>
      <c r="J449">
        <v>172</v>
      </c>
      <c r="K449">
        <v>8</v>
      </c>
      <c r="L449" s="9" t="s">
        <v>472</v>
      </c>
      <c r="M449" s="9" t="s">
        <v>199</v>
      </c>
      <c r="N449" s="9" t="s">
        <v>26</v>
      </c>
      <c r="O449" s="9" t="s">
        <v>250</v>
      </c>
      <c r="P449" s="9" t="s">
        <v>238</v>
      </c>
      <c r="Q449" s="9" t="s">
        <v>469</v>
      </c>
      <c r="R449" s="9" t="s">
        <v>470</v>
      </c>
      <c r="S449">
        <v>0</v>
      </c>
      <c r="T449">
        <v>33</v>
      </c>
      <c r="U449" s="9" t="s">
        <v>131</v>
      </c>
      <c r="V449" s="9" t="s">
        <v>756</v>
      </c>
      <c r="W449">
        <v>33</v>
      </c>
      <c r="X449" s="9" t="s">
        <v>757</v>
      </c>
      <c r="Y449">
        <v>377</v>
      </c>
      <c r="Z449" s="9" t="s">
        <v>754</v>
      </c>
      <c r="AA449" s="9" t="s">
        <v>72</v>
      </c>
      <c r="AB449" s="9" t="s">
        <v>229</v>
      </c>
      <c r="AC449" s="9" t="s">
        <v>6</v>
      </c>
      <c r="AD449" s="9" t="s">
        <v>199</v>
      </c>
      <c r="AE449" s="9">
        <f>IF(Table5[[#This Row],[Team_Name]]=Table5[[#This Row],[Correct_Winner]],1,0)</f>
        <v>0</v>
      </c>
    </row>
    <row r="450" spans="1:31" x14ac:dyDescent="0.3">
      <c r="A450" s="9" t="s">
        <v>226</v>
      </c>
      <c r="B450">
        <v>2017</v>
      </c>
      <c r="C450" s="9" t="s">
        <v>186</v>
      </c>
      <c r="D450" s="9" t="s">
        <v>755</v>
      </c>
      <c r="E450" s="9" t="s">
        <v>471</v>
      </c>
      <c r="F450" s="2" t="s">
        <v>694</v>
      </c>
      <c r="G450">
        <v>143</v>
      </c>
      <c r="H450">
        <v>7</v>
      </c>
      <c r="I450" t="str">
        <f>Clean_Data!$I450</f>
        <v>Chittagong Kings</v>
      </c>
      <c r="J450">
        <v>144</v>
      </c>
      <c r="K450">
        <v>2</v>
      </c>
      <c r="L450" s="9" t="s">
        <v>268</v>
      </c>
      <c r="M450" s="9" t="s">
        <v>143</v>
      </c>
      <c r="N450" s="9" t="s">
        <v>26</v>
      </c>
      <c r="O450" s="9" t="s">
        <v>145</v>
      </c>
      <c r="P450" s="9" t="s">
        <v>143</v>
      </c>
      <c r="Q450" s="9" t="s">
        <v>469</v>
      </c>
      <c r="R450" s="9" t="s">
        <v>470</v>
      </c>
      <c r="S450">
        <v>8</v>
      </c>
      <c r="T450">
        <v>0</v>
      </c>
      <c r="U450" s="9" t="s">
        <v>30</v>
      </c>
      <c r="V450" s="9" t="s">
        <v>752</v>
      </c>
      <c r="W450">
        <v>8</v>
      </c>
      <c r="X450" s="9" t="s">
        <v>753</v>
      </c>
      <c r="Y450">
        <v>287</v>
      </c>
      <c r="Z450" s="9" t="s">
        <v>754</v>
      </c>
      <c r="AA450" s="9" t="s">
        <v>66</v>
      </c>
      <c r="AB450" s="9" t="s">
        <v>44</v>
      </c>
      <c r="AC450" s="9" t="s">
        <v>3</v>
      </c>
      <c r="AD450" s="9" t="s">
        <v>179</v>
      </c>
      <c r="AE450" s="9">
        <f>IF(Table5[[#This Row],[Team_Name]]=Table5[[#This Row],[Correct_Winner]],1,0)</f>
        <v>0</v>
      </c>
    </row>
    <row r="451" spans="1:31" x14ac:dyDescent="0.3">
      <c r="A451" s="9" t="s">
        <v>226</v>
      </c>
      <c r="B451">
        <v>2017</v>
      </c>
      <c r="C451" s="9" t="s">
        <v>186</v>
      </c>
      <c r="D451" s="9" t="s">
        <v>755</v>
      </c>
      <c r="E451" s="9" t="s">
        <v>471</v>
      </c>
      <c r="F451" s="3" t="s">
        <v>693</v>
      </c>
      <c r="G451">
        <v>143</v>
      </c>
      <c r="H451">
        <v>7</v>
      </c>
      <c r="I451" t="str">
        <f>Clean_Data!$I451</f>
        <v>Khulna Tigers</v>
      </c>
      <c r="J451">
        <v>144</v>
      </c>
      <c r="K451">
        <v>2</v>
      </c>
      <c r="L451" s="9" t="s">
        <v>268</v>
      </c>
      <c r="M451" s="9" t="s">
        <v>143</v>
      </c>
      <c r="N451" s="9" t="s">
        <v>26</v>
      </c>
      <c r="O451" s="9" t="s">
        <v>145</v>
      </c>
      <c r="P451" s="9" t="s">
        <v>143</v>
      </c>
      <c r="Q451" s="9" t="s">
        <v>469</v>
      </c>
      <c r="R451" s="9" t="s">
        <v>470</v>
      </c>
      <c r="S451">
        <v>8</v>
      </c>
      <c r="T451">
        <v>0</v>
      </c>
      <c r="U451" s="9" t="s">
        <v>30</v>
      </c>
      <c r="V451" s="9" t="s">
        <v>752</v>
      </c>
      <c r="W451">
        <v>8</v>
      </c>
      <c r="X451" s="9" t="s">
        <v>753</v>
      </c>
      <c r="Y451">
        <v>287</v>
      </c>
      <c r="Z451" s="9" t="s">
        <v>754</v>
      </c>
      <c r="AA451" s="9" t="s">
        <v>66</v>
      </c>
      <c r="AB451" s="9" t="s">
        <v>44</v>
      </c>
      <c r="AC451" s="9" t="s">
        <v>6</v>
      </c>
      <c r="AD451" s="9" t="s">
        <v>143</v>
      </c>
      <c r="AE451" s="9">
        <f>IF(Table5[[#This Row],[Team_Name]]=Table5[[#This Row],[Correct_Winner]],1,0)</f>
        <v>1</v>
      </c>
    </row>
    <row r="452" spans="1:31" x14ac:dyDescent="0.3">
      <c r="A452" s="9" t="s">
        <v>226</v>
      </c>
      <c r="B452">
        <v>2017</v>
      </c>
      <c r="C452" s="9" t="s">
        <v>190</v>
      </c>
      <c r="D452" s="9" t="s">
        <v>755</v>
      </c>
      <c r="E452" s="9" t="s">
        <v>473</v>
      </c>
      <c r="F452" s="2" t="s">
        <v>694</v>
      </c>
      <c r="G452">
        <v>202</v>
      </c>
      <c r="H452">
        <v>7</v>
      </c>
      <c r="I452" t="str">
        <f>Clean_Data!$I452</f>
        <v>Sylhet Strikers</v>
      </c>
      <c r="J452">
        <v>137</v>
      </c>
      <c r="K452">
        <v>10</v>
      </c>
      <c r="L452" s="9" t="s">
        <v>272</v>
      </c>
      <c r="M452" s="9" t="s">
        <v>206</v>
      </c>
      <c r="N452" s="9" t="s">
        <v>26</v>
      </c>
      <c r="O452" s="9" t="s">
        <v>193</v>
      </c>
      <c r="P452" s="9" t="s">
        <v>160</v>
      </c>
      <c r="Q452" s="9" t="s">
        <v>469</v>
      </c>
      <c r="R452" s="9" t="s">
        <v>470</v>
      </c>
      <c r="S452">
        <v>0</v>
      </c>
      <c r="T452">
        <v>65</v>
      </c>
      <c r="U452" s="9" t="s">
        <v>474</v>
      </c>
      <c r="V452" s="9" t="s">
        <v>756</v>
      </c>
      <c r="W452">
        <v>65</v>
      </c>
      <c r="X452" s="9" t="s">
        <v>757</v>
      </c>
      <c r="Y452">
        <v>339</v>
      </c>
      <c r="Z452" s="9" t="s">
        <v>754</v>
      </c>
      <c r="AA452" s="9" t="s">
        <v>241</v>
      </c>
      <c r="AB452" s="9" t="s">
        <v>229</v>
      </c>
      <c r="AC452" s="9" t="s">
        <v>3</v>
      </c>
      <c r="AD452" s="9" t="s">
        <v>160</v>
      </c>
      <c r="AE452" s="9">
        <f>IF(Table5[[#This Row],[Team_Name]]=Table5[[#This Row],[Correct_Winner]],1,0)</f>
        <v>1</v>
      </c>
    </row>
    <row r="453" spans="1:31" x14ac:dyDescent="0.3">
      <c r="A453" s="9" t="s">
        <v>226</v>
      </c>
      <c r="B453">
        <v>2017</v>
      </c>
      <c r="C453" s="9" t="s">
        <v>190</v>
      </c>
      <c r="D453" s="9" t="s">
        <v>755</v>
      </c>
      <c r="E453" s="9" t="s">
        <v>473</v>
      </c>
      <c r="F453" s="3" t="s">
        <v>581</v>
      </c>
      <c r="G453">
        <v>202</v>
      </c>
      <c r="H453">
        <v>7</v>
      </c>
      <c r="I453" t="str">
        <f>Clean_Data!$I453</f>
        <v>Khulna Tigers</v>
      </c>
      <c r="J453">
        <v>137</v>
      </c>
      <c r="K453">
        <v>10</v>
      </c>
      <c r="L453" s="9" t="s">
        <v>272</v>
      </c>
      <c r="M453" s="9" t="s">
        <v>206</v>
      </c>
      <c r="N453" s="9" t="s">
        <v>26</v>
      </c>
      <c r="O453" s="9" t="s">
        <v>193</v>
      </c>
      <c r="P453" s="9" t="s">
        <v>160</v>
      </c>
      <c r="Q453" s="9" t="s">
        <v>469</v>
      </c>
      <c r="R453" s="9" t="s">
        <v>470</v>
      </c>
      <c r="S453">
        <v>0</v>
      </c>
      <c r="T453">
        <v>65</v>
      </c>
      <c r="U453" s="9" t="s">
        <v>474</v>
      </c>
      <c r="V453" s="9" t="s">
        <v>756</v>
      </c>
      <c r="W453">
        <v>65</v>
      </c>
      <c r="X453" s="9" t="s">
        <v>757</v>
      </c>
      <c r="Y453">
        <v>339</v>
      </c>
      <c r="Z453" s="9" t="s">
        <v>754</v>
      </c>
      <c r="AA453" s="9" t="s">
        <v>241</v>
      </c>
      <c r="AB453" s="9" t="s">
        <v>229</v>
      </c>
      <c r="AC453" s="9" t="s">
        <v>6</v>
      </c>
      <c r="AD453" s="9" t="s">
        <v>206</v>
      </c>
      <c r="AE453" s="9">
        <f>IF(Table5[[#This Row],[Team_Name]]=Table5[[#This Row],[Correct_Winner]],1,0)</f>
        <v>0</v>
      </c>
    </row>
    <row r="454" spans="1:31" x14ac:dyDescent="0.3">
      <c r="A454" s="9" t="s">
        <v>226</v>
      </c>
      <c r="B454">
        <v>2017</v>
      </c>
      <c r="C454" s="9" t="s">
        <v>195</v>
      </c>
      <c r="D454" s="9" t="s">
        <v>755</v>
      </c>
      <c r="E454" s="9" t="s">
        <v>473</v>
      </c>
      <c r="F454" s="2" t="s">
        <v>694</v>
      </c>
      <c r="G454">
        <v>145</v>
      </c>
      <c r="H454">
        <v>6</v>
      </c>
      <c r="I454" t="str">
        <f>Clean_Data!$I454</f>
        <v>Durbar Rajshahi</v>
      </c>
      <c r="J454">
        <v>148</v>
      </c>
      <c r="K454">
        <v>6</v>
      </c>
      <c r="L454" s="9" t="s">
        <v>262</v>
      </c>
      <c r="M454" s="9" t="s">
        <v>238</v>
      </c>
      <c r="N454" s="9" t="s">
        <v>26</v>
      </c>
      <c r="O454" s="9" t="s">
        <v>250</v>
      </c>
      <c r="P454" s="9" t="s">
        <v>238</v>
      </c>
      <c r="Q454" s="9" t="s">
        <v>469</v>
      </c>
      <c r="R454" s="9" t="s">
        <v>470</v>
      </c>
      <c r="S454">
        <v>4</v>
      </c>
      <c r="T454">
        <v>0</v>
      </c>
      <c r="U454" s="9" t="s">
        <v>90</v>
      </c>
      <c r="V454" s="9" t="s">
        <v>752</v>
      </c>
      <c r="W454">
        <v>4</v>
      </c>
      <c r="X454" s="9" t="s">
        <v>753</v>
      </c>
      <c r="Y454">
        <v>293</v>
      </c>
      <c r="Z454" s="9" t="s">
        <v>754</v>
      </c>
      <c r="AA454" s="9" t="s">
        <v>50</v>
      </c>
      <c r="AB454" s="9" t="s">
        <v>66</v>
      </c>
      <c r="AC454" s="9" t="s">
        <v>3</v>
      </c>
      <c r="AD454" s="9" t="s">
        <v>143</v>
      </c>
      <c r="AE454" s="9">
        <f>IF(Table5[[#This Row],[Team_Name]]=Table5[[#This Row],[Correct_Winner]],1,0)</f>
        <v>0</v>
      </c>
    </row>
    <row r="455" spans="1:31" x14ac:dyDescent="0.3">
      <c r="A455" s="9" t="s">
        <v>226</v>
      </c>
      <c r="B455">
        <v>2017</v>
      </c>
      <c r="C455" s="9" t="s">
        <v>195</v>
      </c>
      <c r="D455" s="9" t="s">
        <v>755</v>
      </c>
      <c r="E455" s="9" t="s">
        <v>473</v>
      </c>
      <c r="F455" s="3" t="s">
        <v>53</v>
      </c>
      <c r="G455">
        <v>145</v>
      </c>
      <c r="H455">
        <v>6</v>
      </c>
      <c r="I455" t="str">
        <f>Clean_Data!$I455</f>
        <v>Sylhet Strikers</v>
      </c>
      <c r="J455">
        <v>148</v>
      </c>
      <c r="K455">
        <v>6</v>
      </c>
      <c r="L455" s="9" t="s">
        <v>262</v>
      </c>
      <c r="M455" s="9" t="s">
        <v>238</v>
      </c>
      <c r="N455" s="9" t="s">
        <v>26</v>
      </c>
      <c r="O455" s="9" t="s">
        <v>250</v>
      </c>
      <c r="P455" s="9" t="s">
        <v>238</v>
      </c>
      <c r="Q455" s="9" t="s">
        <v>469</v>
      </c>
      <c r="R455" s="9" t="s">
        <v>470</v>
      </c>
      <c r="S455">
        <v>4</v>
      </c>
      <c r="T455">
        <v>0</v>
      </c>
      <c r="U455" s="9" t="s">
        <v>90</v>
      </c>
      <c r="V455" s="9" t="s">
        <v>752</v>
      </c>
      <c r="W455">
        <v>4</v>
      </c>
      <c r="X455" s="9" t="s">
        <v>753</v>
      </c>
      <c r="Y455">
        <v>293</v>
      </c>
      <c r="Z455" s="9" t="s">
        <v>754</v>
      </c>
      <c r="AA455" s="9" t="s">
        <v>50</v>
      </c>
      <c r="AB455" s="9" t="s">
        <v>66</v>
      </c>
      <c r="AC455" s="9" t="s">
        <v>6</v>
      </c>
      <c r="AD455" s="9" t="s">
        <v>238</v>
      </c>
      <c r="AE455" s="9">
        <f>IF(Table5[[#This Row],[Team_Name]]=Table5[[#This Row],[Correct_Winner]],1,0)</f>
        <v>1</v>
      </c>
    </row>
    <row r="456" spans="1:31" x14ac:dyDescent="0.3">
      <c r="A456" s="9" t="s">
        <v>226</v>
      </c>
      <c r="B456">
        <v>2017</v>
      </c>
      <c r="C456" s="9" t="s">
        <v>33</v>
      </c>
      <c r="D456" s="9" t="s">
        <v>755</v>
      </c>
      <c r="E456" s="9" t="s">
        <v>475</v>
      </c>
      <c r="F456" s="2" t="s">
        <v>113</v>
      </c>
      <c r="G456">
        <v>154</v>
      </c>
      <c r="H456">
        <v>8</v>
      </c>
      <c r="I456" t="str">
        <f>Clean_Data!$I456</f>
        <v>Khulna Tigers</v>
      </c>
      <c r="J456">
        <v>155</v>
      </c>
      <c r="K456">
        <v>4</v>
      </c>
      <c r="L456" s="9" t="s">
        <v>183</v>
      </c>
      <c r="M456" s="9" t="s">
        <v>113</v>
      </c>
      <c r="N456" s="9" t="s">
        <v>26</v>
      </c>
      <c r="O456" s="9" t="s">
        <v>189</v>
      </c>
      <c r="P456" s="9" t="s">
        <v>113</v>
      </c>
      <c r="Q456" s="9" t="s">
        <v>469</v>
      </c>
      <c r="R456" s="9" t="s">
        <v>470</v>
      </c>
      <c r="S456">
        <v>6</v>
      </c>
      <c r="T456">
        <v>0</v>
      </c>
      <c r="U456" s="9" t="s">
        <v>151</v>
      </c>
      <c r="V456" s="9" t="s">
        <v>752</v>
      </c>
      <c r="W456">
        <v>6</v>
      </c>
      <c r="X456" s="9" t="s">
        <v>753</v>
      </c>
      <c r="Y456">
        <v>309</v>
      </c>
      <c r="Z456" s="9" t="s">
        <v>754</v>
      </c>
      <c r="AA456" s="9" t="s">
        <v>50</v>
      </c>
      <c r="AB456" s="9" t="s">
        <v>225</v>
      </c>
      <c r="AC456" s="9" t="s">
        <v>3</v>
      </c>
      <c r="AD456" s="9" t="s">
        <v>199</v>
      </c>
      <c r="AE456" s="9">
        <f>IF(Table5[[#This Row],[Team_Name]]=Table5[[#This Row],[Correct_Winner]],1,0)</f>
        <v>0</v>
      </c>
    </row>
    <row r="457" spans="1:31" x14ac:dyDescent="0.3">
      <c r="A457" s="9" t="s">
        <v>226</v>
      </c>
      <c r="B457">
        <v>2017</v>
      </c>
      <c r="C457" s="9" t="s">
        <v>33</v>
      </c>
      <c r="D457" s="9" t="s">
        <v>755</v>
      </c>
      <c r="E457" s="9" t="s">
        <v>475</v>
      </c>
      <c r="F457" s="3" t="s">
        <v>694</v>
      </c>
      <c r="G457">
        <v>154</v>
      </c>
      <c r="H457">
        <v>8</v>
      </c>
      <c r="I457" t="str">
        <f>Clean_Data!$I457</f>
        <v>Fortune Barishal</v>
      </c>
      <c r="J457">
        <v>155</v>
      </c>
      <c r="K457">
        <v>4</v>
      </c>
      <c r="L457" s="9" t="s">
        <v>183</v>
      </c>
      <c r="M457" s="9" t="s">
        <v>113</v>
      </c>
      <c r="N457" s="9" t="s">
        <v>26</v>
      </c>
      <c r="O457" s="9" t="s">
        <v>189</v>
      </c>
      <c r="P457" s="9" t="s">
        <v>113</v>
      </c>
      <c r="Q457" s="9" t="s">
        <v>469</v>
      </c>
      <c r="R457" s="9" t="s">
        <v>470</v>
      </c>
      <c r="S457">
        <v>6</v>
      </c>
      <c r="T457">
        <v>0</v>
      </c>
      <c r="U457" s="9" t="s">
        <v>151</v>
      </c>
      <c r="V457" s="9" t="s">
        <v>752</v>
      </c>
      <c r="W457">
        <v>6</v>
      </c>
      <c r="X457" s="9" t="s">
        <v>753</v>
      </c>
      <c r="Y457">
        <v>309</v>
      </c>
      <c r="Z457" s="9" t="s">
        <v>754</v>
      </c>
      <c r="AA457" s="9" t="s">
        <v>50</v>
      </c>
      <c r="AB457" s="9" t="s">
        <v>225</v>
      </c>
      <c r="AC457" s="9" t="s">
        <v>6</v>
      </c>
      <c r="AD457" s="9" t="s">
        <v>113</v>
      </c>
      <c r="AE457" s="9">
        <f>IF(Table5[[#This Row],[Team_Name]]=Table5[[#This Row],[Correct_Winner]],1,0)</f>
        <v>1</v>
      </c>
    </row>
    <row r="458" spans="1:31" x14ac:dyDescent="0.3">
      <c r="A458" s="9" t="s">
        <v>226</v>
      </c>
      <c r="B458">
        <v>2017</v>
      </c>
      <c r="C458" s="9" t="s">
        <v>40</v>
      </c>
      <c r="D458" s="9" t="s">
        <v>755</v>
      </c>
      <c r="E458" s="9" t="s">
        <v>475</v>
      </c>
      <c r="F458" s="2" t="s">
        <v>53</v>
      </c>
      <c r="G458">
        <v>136</v>
      </c>
      <c r="H458">
        <v>7</v>
      </c>
      <c r="I458" t="str">
        <f>Clean_Data!$I458</f>
        <v>Khulna Tigers</v>
      </c>
      <c r="J458">
        <v>137</v>
      </c>
      <c r="K458">
        <v>1</v>
      </c>
      <c r="L458" s="9" t="s">
        <v>262</v>
      </c>
      <c r="M458" s="9" t="s">
        <v>238</v>
      </c>
      <c r="N458" s="9" t="s">
        <v>26</v>
      </c>
      <c r="O458" s="9" t="s">
        <v>250</v>
      </c>
      <c r="P458" s="9" t="s">
        <v>238</v>
      </c>
      <c r="Q458" s="9" t="s">
        <v>469</v>
      </c>
      <c r="R458" s="9" t="s">
        <v>470</v>
      </c>
      <c r="S458">
        <v>9</v>
      </c>
      <c r="T458">
        <v>0</v>
      </c>
      <c r="U458" s="9" t="s">
        <v>71</v>
      </c>
      <c r="V458" s="9" t="s">
        <v>752</v>
      </c>
      <c r="W458">
        <v>9</v>
      </c>
      <c r="X458" s="9" t="s">
        <v>753</v>
      </c>
      <c r="Y458">
        <v>273</v>
      </c>
      <c r="Z458" s="9" t="s">
        <v>754</v>
      </c>
      <c r="AA458" s="9" t="s">
        <v>66</v>
      </c>
      <c r="AB458" s="9" t="s">
        <v>229</v>
      </c>
      <c r="AC458" s="9" t="s">
        <v>3</v>
      </c>
      <c r="AD458" s="9" t="s">
        <v>160</v>
      </c>
      <c r="AE458" s="9">
        <f>IF(Table5[[#This Row],[Team_Name]]=Table5[[#This Row],[Correct_Winner]],1,0)</f>
        <v>0</v>
      </c>
    </row>
    <row r="459" spans="1:31" x14ac:dyDescent="0.3">
      <c r="A459" s="9" t="s">
        <v>226</v>
      </c>
      <c r="B459">
        <v>2017</v>
      </c>
      <c r="C459" s="9" t="s">
        <v>40</v>
      </c>
      <c r="D459" s="9" t="s">
        <v>755</v>
      </c>
      <c r="E459" s="9" t="s">
        <v>475</v>
      </c>
      <c r="F459" s="3" t="s">
        <v>693</v>
      </c>
      <c r="G459">
        <v>136</v>
      </c>
      <c r="H459">
        <v>7</v>
      </c>
      <c r="I459" t="str">
        <f>Clean_Data!$I459</f>
        <v>Sylhet Strikers</v>
      </c>
      <c r="J459">
        <v>137</v>
      </c>
      <c r="K459">
        <v>1</v>
      </c>
      <c r="L459" s="9" t="s">
        <v>262</v>
      </c>
      <c r="M459" s="9" t="s">
        <v>238</v>
      </c>
      <c r="N459" s="9" t="s">
        <v>26</v>
      </c>
      <c r="O459" s="9" t="s">
        <v>250</v>
      </c>
      <c r="P459" s="9" t="s">
        <v>238</v>
      </c>
      <c r="Q459" s="9" t="s">
        <v>469</v>
      </c>
      <c r="R459" s="9" t="s">
        <v>470</v>
      </c>
      <c r="S459">
        <v>9</v>
      </c>
      <c r="T459">
        <v>0</v>
      </c>
      <c r="U459" s="9" t="s">
        <v>71</v>
      </c>
      <c r="V459" s="9" t="s">
        <v>752</v>
      </c>
      <c r="W459">
        <v>9</v>
      </c>
      <c r="X459" s="9" t="s">
        <v>753</v>
      </c>
      <c r="Y459">
        <v>273</v>
      </c>
      <c r="Z459" s="9" t="s">
        <v>754</v>
      </c>
      <c r="AA459" s="9" t="s">
        <v>66</v>
      </c>
      <c r="AB459" s="9" t="s">
        <v>229</v>
      </c>
      <c r="AC459" s="9" t="s">
        <v>6</v>
      </c>
      <c r="AD459" s="9" t="s">
        <v>238</v>
      </c>
      <c r="AE459" s="9">
        <f>IF(Table5[[#This Row],[Team_Name]]=Table5[[#This Row],[Correct_Winner]],1,0)</f>
        <v>1</v>
      </c>
    </row>
    <row r="460" spans="1:31" x14ac:dyDescent="0.3">
      <c r="A460" s="9" t="s">
        <v>251</v>
      </c>
      <c r="B460">
        <v>2018</v>
      </c>
      <c r="C460" s="9" t="s">
        <v>321</v>
      </c>
      <c r="D460" s="9" t="s">
        <v>755</v>
      </c>
      <c r="E460" s="9" t="s">
        <v>476</v>
      </c>
      <c r="F460" s="2" t="s">
        <v>113</v>
      </c>
      <c r="G460">
        <v>141</v>
      </c>
      <c r="H460">
        <v>8</v>
      </c>
      <c r="I460" t="str">
        <f>Clean_Data!$I460</f>
        <v>Chittagong Kings</v>
      </c>
      <c r="J460">
        <v>145</v>
      </c>
      <c r="K460">
        <v>4</v>
      </c>
      <c r="L460" s="9" t="s">
        <v>477</v>
      </c>
      <c r="M460" s="9" t="s">
        <v>199</v>
      </c>
      <c r="N460" s="9" t="s">
        <v>37</v>
      </c>
      <c r="O460" s="9" t="s">
        <v>189</v>
      </c>
      <c r="P460" s="9" t="s">
        <v>113</v>
      </c>
      <c r="Q460" s="9" t="s">
        <v>88</v>
      </c>
      <c r="R460" s="9" t="s">
        <v>89</v>
      </c>
      <c r="S460">
        <v>6</v>
      </c>
      <c r="T460">
        <v>0</v>
      </c>
      <c r="U460" s="9" t="s">
        <v>151</v>
      </c>
      <c r="V460" s="9" t="s">
        <v>752</v>
      </c>
      <c r="W460">
        <v>6</v>
      </c>
      <c r="X460" s="9" t="s">
        <v>753</v>
      </c>
      <c r="Y460">
        <v>286</v>
      </c>
      <c r="Z460" s="9" t="s">
        <v>754</v>
      </c>
      <c r="AA460" s="9" t="s">
        <v>255</v>
      </c>
      <c r="AB460" s="9" t="s">
        <v>66</v>
      </c>
      <c r="AC460" s="9" t="s">
        <v>3</v>
      </c>
      <c r="AD460" s="9" t="s">
        <v>199</v>
      </c>
      <c r="AE460" s="9">
        <f>IF(Table5[[#This Row],[Team_Name]]=Table5[[#This Row],[Correct_Winner]],1,0)</f>
        <v>0</v>
      </c>
    </row>
    <row r="461" spans="1:31" x14ac:dyDescent="0.3">
      <c r="A461" s="9" t="s">
        <v>251</v>
      </c>
      <c r="B461">
        <v>2018</v>
      </c>
      <c r="C461" s="9" t="s">
        <v>321</v>
      </c>
      <c r="D461" s="9" t="s">
        <v>755</v>
      </c>
      <c r="E461" s="9" t="s">
        <v>476</v>
      </c>
      <c r="F461" s="3" t="s">
        <v>53</v>
      </c>
      <c r="G461">
        <v>141</v>
      </c>
      <c r="H461">
        <v>8</v>
      </c>
      <c r="I461" t="str">
        <f>Clean_Data!$I461</f>
        <v>Fortune Barishal</v>
      </c>
      <c r="J461">
        <v>145</v>
      </c>
      <c r="K461">
        <v>4</v>
      </c>
      <c r="L461" s="9" t="s">
        <v>477</v>
      </c>
      <c r="M461" s="9" t="s">
        <v>199</v>
      </c>
      <c r="N461" s="9" t="s">
        <v>37</v>
      </c>
      <c r="O461" s="9" t="s">
        <v>189</v>
      </c>
      <c r="P461" s="9" t="s">
        <v>113</v>
      </c>
      <c r="Q461" s="9" t="s">
        <v>88</v>
      </c>
      <c r="R461" s="9" t="s">
        <v>89</v>
      </c>
      <c r="S461">
        <v>6</v>
      </c>
      <c r="T461">
        <v>0</v>
      </c>
      <c r="U461" s="9" t="s">
        <v>151</v>
      </c>
      <c r="V461" s="9" t="s">
        <v>752</v>
      </c>
      <c r="W461">
        <v>6</v>
      </c>
      <c r="X461" s="9" t="s">
        <v>753</v>
      </c>
      <c r="Y461">
        <v>286</v>
      </c>
      <c r="Z461" s="9" t="s">
        <v>754</v>
      </c>
      <c r="AA461" s="9" t="s">
        <v>255</v>
      </c>
      <c r="AB461" s="9" t="s">
        <v>66</v>
      </c>
      <c r="AC461" s="9" t="s">
        <v>6</v>
      </c>
      <c r="AD461" s="9" t="s">
        <v>113</v>
      </c>
      <c r="AE461" s="9">
        <f>IF(Table5[[#This Row],[Team_Name]]=Table5[[#This Row],[Correct_Winner]],1,0)</f>
        <v>1</v>
      </c>
    </row>
    <row r="462" spans="1:31" x14ac:dyDescent="0.3">
      <c r="A462" s="9" t="s">
        <v>251</v>
      </c>
      <c r="B462">
        <v>2018</v>
      </c>
      <c r="C462" s="9" t="s">
        <v>324</v>
      </c>
      <c r="D462" s="9" t="s">
        <v>755</v>
      </c>
      <c r="E462" s="9" t="s">
        <v>476</v>
      </c>
      <c r="F462" s="2" t="s">
        <v>277</v>
      </c>
      <c r="G462">
        <v>116</v>
      </c>
      <c r="H462">
        <v>8</v>
      </c>
      <c r="I462" t="str">
        <f>Clean_Data!$I462</f>
        <v>Durbar Rajshahi</v>
      </c>
      <c r="J462">
        <v>117</v>
      </c>
      <c r="K462">
        <v>3</v>
      </c>
      <c r="L462" s="9" t="s">
        <v>235</v>
      </c>
      <c r="M462" s="9" t="s">
        <v>179</v>
      </c>
      <c r="N462" s="9" t="s">
        <v>37</v>
      </c>
      <c r="O462" s="9" t="s">
        <v>145</v>
      </c>
      <c r="P462" s="9" t="s">
        <v>143</v>
      </c>
      <c r="Q462" s="9" t="s">
        <v>88</v>
      </c>
      <c r="R462" s="9" t="s">
        <v>89</v>
      </c>
      <c r="S462">
        <v>7</v>
      </c>
      <c r="T462">
        <v>0</v>
      </c>
      <c r="U462" s="9" t="s">
        <v>118</v>
      </c>
      <c r="V462" s="9" t="s">
        <v>752</v>
      </c>
      <c r="W462">
        <v>7</v>
      </c>
      <c r="X462" s="9" t="s">
        <v>753</v>
      </c>
      <c r="Y462">
        <v>233</v>
      </c>
      <c r="Z462" s="9" t="s">
        <v>754</v>
      </c>
      <c r="AA462" s="9" t="s">
        <v>50</v>
      </c>
      <c r="AB462" s="9" t="s">
        <v>147</v>
      </c>
      <c r="AC462" s="9" t="s">
        <v>3</v>
      </c>
      <c r="AD462" s="9" t="s">
        <v>179</v>
      </c>
      <c r="AE462" s="9">
        <f>IF(Table5[[#This Row],[Team_Name]]=Table5[[#This Row],[Correct_Winner]],1,0)</f>
        <v>0</v>
      </c>
    </row>
    <row r="463" spans="1:31" x14ac:dyDescent="0.3">
      <c r="A463" s="9" t="s">
        <v>251</v>
      </c>
      <c r="B463">
        <v>2018</v>
      </c>
      <c r="C463" s="9" t="s">
        <v>324</v>
      </c>
      <c r="D463" s="9" t="s">
        <v>755</v>
      </c>
      <c r="E463" s="9" t="s">
        <v>476</v>
      </c>
      <c r="F463" s="3" t="s">
        <v>694</v>
      </c>
      <c r="G463">
        <v>116</v>
      </c>
      <c r="H463">
        <v>8</v>
      </c>
      <c r="I463" t="str">
        <f>Clean_Data!$I463</f>
        <v>Sylhet Strikers</v>
      </c>
      <c r="J463">
        <v>117</v>
      </c>
      <c r="K463">
        <v>3</v>
      </c>
      <c r="L463" s="9" t="s">
        <v>235</v>
      </c>
      <c r="M463" s="9" t="s">
        <v>179</v>
      </c>
      <c r="N463" s="9" t="s">
        <v>37</v>
      </c>
      <c r="O463" s="9" t="s">
        <v>145</v>
      </c>
      <c r="P463" s="9" t="s">
        <v>143</v>
      </c>
      <c r="Q463" s="9" t="s">
        <v>88</v>
      </c>
      <c r="R463" s="9" t="s">
        <v>89</v>
      </c>
      <c r="S463">
        <v>7</v>
      </c>
      <c r="T463">
        <v>0</v>
      </c>
      <c r="U463" s="9" t="s">
        <v>118</v>
      </c>
      <c r="V463" s="9" t="s">
        <v>752</v>
      </c>
      <c r="W463">
        <v>7</v>
      </c>
      <c r="X463" s="9" t="s">
        <v>753</v>
      </c>
      <c r="Y463">
        <v>233</v>
      </c>
      <c r="Z463" s="9" t="s">
        <v>754</v>
      </c>
      <c r="AA463" s="9" t="s">
        <v>50</v>
      </c>
      <c r="AB463" s="9" t="s">
        <v>147</v>
      </c>
      <c r="AC463" s="9" t="s">
        <v>6</v>
      </c>
      <c r="AD463" s="9" t="s">
        <v>143</v>
      </c>
      <c r="AE463" s="9">
        <f>IF(Table5[[#This Row],[Team_Name]]=Table5[[#This Row],[Correct_Winner]],1,0)</f>
        <v>1</v>
      </c>
    </row>
    <row r="464" spans="1:31" x14ac:dyDescent="0.3">
      <c r="A464" s="9" t="s">
        <v>251</v>
      </c>
      <c r="B464">
        <v>2018</v>
      </c>
      <c r="C464" s="9" t="s">
        <v>326</v>
      </c>
      <c r="D464" s="9" t="s">
        <v>755</v>
      </c>
      <c r="E464" s="9" t="s">
        <v>478</v>
      </c>
      <c r="F464" s="2" t="s">
        <v>53</v>
      </c>
      <c r="G464">
        <v>186</v>
      </c>
      <c r="H464">
        <v>6</v>
      </c>
      <c r="I464" t="str">
        <f>Clean_Data!$I464</f>
        <v>Durbar Rajshahi</v>
      </c>
      <c r="J464">
        <v>189</v>
      </c>
      <c r="K464">
        <v>2</v>
      </c>
      <c r="L464" s="9" t="s">
        <v>479</v>
      </c>
      <c r="M464" s="9" t="s">
        <v>160</v>
      </c>
      <c r="N464" s="9" t="s">
        <v>37</v>
      </c>
      <c r="O464" s="9" t="s">
        <v>189</v>
      </c>
      <c r="P464" s="9" t="s">
        <v>113</v>
      </c>
      <c r="Q464" s="9" t="s">
        <v>88</v>
      </c>
      <c r="R464" s="9" t="s">
        <v>89</v>
      </c>
      <c r="S464">
        <v>8</v>
      </c>
      <c r="T464">
        <v>0</v>
      </c>
      <c r="U464" s="9" t="s">
        <v>30</v>
      </c>
      <c r="V464" s="9" t="s">
        <v>752</v>
      </c>
      <c r="W464">
        <v>8</v>
      </c>
      <c r="X464" s="9" t="s">
        <v>753</v>
      </c>
      <c r="Y464">
        <v>375</v>
      </c>
      <c r="Z464" s="9" t="s">
        <v>754</v>
      </c>
      <c r="AA464" s="9" t="s">
        <v>66</v>
      </c>
      <c r="AB464" s="9" t="s">
        <v>147</v>
      </c>
      <c r="AC464" s="9" t="s">
        <v>3</v>
      </c>
      <c r="AD464" s="9" t="s">
        <v>160</v>
      </c>
      <c r="AE464" s="9">
        <f>IF(Table5[[#This Row],[Team_Name]]=Table5[[#This Row],[Correct_Winner]],1,0)</f>
        <v>0</v>
      </c>
    </row>
    <row r="465" spans="1:31" x14ac:dyDescent="0.3">
      <c r="A465" s="9" t="s">
        <v>251</v>
      </c>
      <c r="B465">
        <v>2018</v>
      </c>
      <c r="C465" s="9" t="s">
        <v>326</v>
      </c>
      <c r="D465" s="9" t="s">
        <v>755</v>
      </c>
      <c r="E465" s="9" t="s">
        <v>478</v>
      </c>
      <c r="F465" s="3" t="s">
        <v>53</v>
      </c>
      <c r="G465">
        <v>186</v>
      </c>
      <c r="H465">
        <v>6</v>
      </c>
      <c r="I465" t="str">
        <f>Clean_Data!$I465</f>
        <v>Dhaka Capital</v>
      </c>
      <c r="J465">
        <v>189</v>
      </c>
      <c r="K465">
        <v>2</v>
      </c>
      <c r="L465" s="9" t="s">
        <v>479</v>
      </c>
      <c r="M465" s="9" t="s">
        <v>160</v>
      </c>
      <c r="N465" s="9" t="s">
        <v>37</v>
      </c>
      <c r="O465" s="9" t="s">
        <v>189</v>
      </c>
      <c r="P465" s="9" t="s">
        <v>113</v>
      </c>
      <c r="Q465" s="9" t="s">
        <v>88</v>
      </c>
      <c r="R465" s="9" t="s">
        <v>89</v>
      </c>
      <c r="S465">
        <v>8</v>
      </c>
      <c r="T465">
        <v>0</v>
      </c>
      <c r="U465" s="9" t="s">
        <v>30</v>
      </c>
      <c r="V465" s="9" t="s">
        <v>752</v>
      </c>
      <c r="W465">
        <v>8</v>
      </c>
      <c r="X465" s="9" t="s">
        <v>753</v>
      </c>
      <c r="Y465">
        <v>375</v>
      </c>
      <c r="Z465" s="9" t="s">
        <v>754</v>
      </c>
      <c r="AA465" s="9" t="s">
        <v>66</v>
      </c>
      <c r="AB465" s="9" t="s">
        <v>147</v>
      </c>
      <c r="AC465" s="9" t="s">
        <v>6</v>
      </c>
      <c r="AD465" s="9" t="s">
        <v>113</v>
      </c>
      <c r="AE465" s="9">
        <f>IF(Table5[[#This Row],[Team_Name]]=Table5[[#This Row],[Correct_Winner]],1,0)</f>
        <v>1</v>
      </c>
    </row>
    <row r="466" spans="1:31" x14ac:dyDescent="0.3">
      <c r="A466" s="9" t="s">
        <v>251</v>
      </c>
      <c r="B466">
        <v>2018</v>
      </c>
      <c r="C466" s="9" t="s">
        <v>328</v>
      </c>
      <c r="D466" s="9" t="s">
        <v>755</v>
      </c>
      <c r="E466" s="9" t="s">
        <v>478</v>
      </c>
      <c r="F466" s="2" t="s">
        <v>310</v>
      </c>
      <c r="G466">
        <v>237</v>
      </c>
      <c r="H466">
        <v>5</v>
      </c>
      <c r="I466" t="str">
        <f>Clean_Data!$I466</f>
        <v>Khulna Tigers</v>
      </c>
      <c r="J466">
        <v>157</v>
      </c>
      <c r="K466">
        <v>10</v>
      </c>
      <c r="L466" s="9" t="s">
        <v>259</v>
      </c>
      <c r="M466" s="9" t="s">
        <v>206</v>
      </c>
      <c r="N466" s="9" t="s">
        <v>26</v>
      </c>
      <c r="O466" s="9" t="s">
        <v>145</v>
      </c>
      <c r="P466" s="9" t="s">
        <v>143</v>
      </c>
      <c r="Q466" s="9" t="s">
        <v>88</v>
      </c>
      <c r="R466" s="9" t="s">
        <v>89</v>
      </c>
      <c r="S466">
        <v>0</v>
      </c>
      <c r="T466">
        <v>80</v>
      </c>
      <c r="U466" s="9" t="s">
        <v>480</v>
      </c>
      <c r="V466" s="9" t="s">
        <v>756</v>
      </c>
      <c r="W466">
        <v>80</v>
      </c>
      <c r="X466" s="9" t="s">
        <v>757</v>
      </c>
      <c r="Y466">
        <v>394</v>
      </c>
      <c r="Z466" s="9" t="s">
        <v>754</v>
      </c>
      <c r="AA466" s="9" t="s">
        <v>267</v>
      </c>
      <c r="AB466" s="9" t="s">
        <v>225</v>
      </c>
      <c r="AC466" s="9" t="s">
        <v>3</v>
      </c>
      <c r="AD466" s="9" t="s">
        <v>143</v>
      </c>
      <c r="AE466" s="9">
        <f>IF(Table5[[#This Row],[Team_Name]]=Table5[[#This Row],[Correct_Winner]],1,0)</f>
        <v>1</v>
      </c>
    </row>
    <row r="467" spans="1:31" x14ac:dyDescent="0.3">
      <c r="A467" s="9" t="s">
        <v>251</v>
      </c>
      <c r="B467">
        <v>2018</v>
      </c>
      <c r="C467" s="9" t="s">
        <v>328</v>
      </c>
      <c r="D467" s="9" t="s">
        <v>755</v>
      </c>
      <c r="E467" s="9" t="s">
        <v>478</v>
      </c>
      <c r="F467" s="3" t="s">
        <v>693</v>
      </c>
      <c r="G467">
        <v>237</v>
      </c>
      <c r="H467">
        <v>5</v>
      </c>
      <c r="I467" t="str">
        <f>Clean_Data!$I467</f>
        <v>Rangpur Riders</v>
      </c>
      <c r="J467">
        <v>157</v>
      </c>
      <c r="K467">
        <v>10</v>
      </c>
      <c r="L467" s="9" t="s">
        <v>259</v>
      </c>
      <c r="M467" s="9" t="s">
        <v>206</v>
      </c>
      <c r="N467" s="9" t="s">
        <v>26</v>
      </c>
      <c r="O467" s="9" t="s">
        <v>145</v>
      </c>
      <c r="P467" s="9" t="s">
        <v>143</v>
      </c>
      <c r="Q467" s="9" t="s">
        <v>88</v>
      </c>
      <c r="R467" s="9" t="s">
        <v>89</v>
      </c>
      <c r="S467">
        <v>0</v>
      </c>
      <c r="T467">
        <v>80</v>
      </c>
      <c r="U467" s="9" t="s">
        <v>480</v>
      </c>
      <c r="V467" s="9" t="s">
        <v>756</v>
      </c>
      <c r="W467">
        <v>80</v>
      </c>
      <c r="X467" s="9" t="s">
        <v>757</v>
      </c>
      <c r="Y467">
        <v>394</v>
      </c>
      <c r="Z467" s="9" t="s">
        <v>754</v>
      </c>
      <c r="AA467" s="9" t="s">
        <v>267</v>
      </c>
      <c r="AB467" s="9" t="s">
        <v>225</v>
      </c>
      <c r="AC467" s="9" t="s">
        <v>6</v>
      </c>
      <c r="AD467" s="9" t="s">
        <v>206</v>
      </c>
      <c r="AE467" s="9">
        <f>IF(Table5[[#This Row],[Team_Name]]=Table5[[#This Row],[Correct_Winner]],1,0)</f>
        <v>0</v>
      </c>
    </row>
    <row r="468" spans="1:31" x14ac:dyDescent="0.3">
      <c r="A468" s="9" t="s">
        <v>251</v>
      </c>
      <c r="B468">
        <v>2018</v>
      </c>
      <c r="C468" s="9" t="s">
        <v>330</v>
      </c>
      <c r="D468" s="9" t="s">
        <v>755</v>
      </c>
      <c r="E468" s="9" t="s">
        <v>481</v>
      </c>
      <c r="F468" s="2" t="s">
        <v>581</v>
      </c>
      <c r="G468">
        <v>198</v>
      </c>
      <c r="H468">
        <v>5</v>
      </c>
      <c r="I468" t="str">
        <f>Clean_Data!$I468</f>
        <v>Khulna Tigers</v>
      </c>
      <c r="J468">
        <v>191</v>
      </c>
      <c r="K468">
        <v>8</v>
      </c>
      <c r="L468" s="9" t="s">
        <v>306</v>
      </c>
      <c r="M468" s="9" t="s">
        <v>179</v>
      </c>
      <c r="N468" s="9" t="s">
        <v>26</v>
      </c>
      <c r="O468" s="9" t="s">
        <v>208</v>
      </c>
      <c r="P468" s="9" t="s">
        <v>199</v>
      </c>
      <c r="Q468" s="9" t="s">
        <v>88</v>
      </c>
      <c r="R468" s="9" t="s">
        <v>89</v>
      </c>
      <c r="S468">
        <v>0</v>
      </c>
      <c r="T468">
        <v>7</v>
      </c>
      <c r="U468" s="9" t="s">
        <v>364</v>
      </c>
      <c r="V468" s="9" t="s">
        <v>756</v>
      </c>
      <c r="W468">
        <v>7</v>
      </c>
      <c r="X468" s="9" t="s">
        <v>753</v>
      </c>
      <c r="Y468">
        <v>389</v>
      </c>
      <c r="Z468" s="9" t="s">
        <v>754</v>
      </c>
      <c r="AA468" s="9" t="s">
        <v>44</v>
      </c>
      <c r="AB468" s="9" t="s">
        <v>267</v>
      </c>
      <c r="AC468" s="9" t="s">
        <v>3</v>
      </c>
      <c r="AD468" s="9" t="s">
        <v>199</v>
      </c>
      <c r="AE468" s="9">
        <f>IF(Table5[[#This Row],[Team_Name]]=Table5[[#This Row],[Correct_Winner]],1,0)</f>
        <v>1</v>
      </c>
    </row>
    <row r="469" spans="1:31" x14ac:dyDescent="0.3">
      <c r="A469" s="9" t="s">
        <v>251</v>
      </c>
      <c r="B469">
        <v>2018</v>
      </c>
      <c r="C469" s="9" t="s">
        <v>330</v>
      </c>
      <c r="D469" s="9" t="s">
        <v>755</v>
      </c>
      <c r="E469" s="9" t="s">
        <v>481</v>
      </c>
      <c r="F469" s="3" t="s">
        <v>581</v>
      </c>
      <c r="G469">
        <v>198</v>
      </c>
      <c r="H469">
        <v>5</v>
      </c>
      <c r="I469" t="str">
        <f>Clean_Data!$I469</f>
        <v>Fortune Barishal</v>
      </c>
      <c r="J469">
        <v>191</v>
      </c>
      <c r="K469">
        <v>8</v>
      </c>
      <c r="L469" s="9" t="s">
        <v>306</v>
      </c>
      <c r="M469" s="9" t="s">
        <v>179</v>
      </c>
      <c r="N469" s="9" t="s">
        <v>26</v>
      </c>
      <c r="O469" s="9" t="s">
        <v>208</v>
      </c>
      <c r="P469" s="9" t="s">
        <v>199</v>
      </c>
      <c r="Q469" s="9" t="s">
        <v>88</v>
      </c>
      <c r="R469" s="9" t="s">
        <v>89</v>
      </c>
      <c r="S469">
        <v>0</v>
      </c>
      <c r="T469">
        <v>7</v>
      </c>
      <c r="U469" s="9" t="s">
        <v>364</v>
      </c>
      <c r="V469" s="9" t="s">
        <v>756</v>
      </c>
      <c r="W469">
        <v>7</v>
      </c>
      <c r="X469" s="9" t="s">
        <v>753</v>
      </c>
      <c r="Y469">
        <v>389</v>
      </c>
      <c r="Z469" s="9" t="s">
        <v>754</v>
      </c>
      <c r="AA469" s="9" t="s">
        <v>44</v>
      </c>
      <c r="AB469" s="9" t="s">
        <v>267</v>
      </c>
      <c r="AC469" s="9" t="s">
        <v>6</v>
      </c>
      <c r="AD469" s="9" t="s">
        <v>179</v>
      </c>
      <c r="AE469" s="9">
        <f>IF(Table5[[#This Row],[Team_Name]]=Table5[[#This Row],[Correct_Winner]],1,0)</f>
        <v>0</v>
      </c>
    </row>
    <row r="470" spans="1:31" x14ac:dyDescent="0.3">
      <c r="A470" s="9" t="s">
        <v>251</v>
      </c>
      <c r="B470">
        <v>2018</v>
      </c>
      <c r="C470" s="9" t="s">
        <v>334</v>
      </c>
      <c r="D470" s="9" t="s">
        <v>755</v>
      </c>
      <c r="E470" s="9" t="s">
        <v>481</v>
      </c>
      <c r="F470" s="2" t="s">
        <v>693</v>
      </c>
      <c r="G470">
        <v>195</v>
      </c>
      <c r="H470">
        <v>4</v>
      </c>
      <c r="I470" t="str">
        <f>Clean_Data!$I470</f>
        <v>Rangpur Riders</v>
      </c>
      <c r="J470">
        <v>137</v>
      </c>
      <c r="K470">
        <v>10</v>
      </c>
      <c r="L470" s="9" t="s">
        <v>482</v>
      </c>
      <c r="M470" s="9" t="s">
        <v>238</v>
      </c>
      <c r="N470" s="9" t="s">
        <v>37</v>
      </c>
      <c r="O470" s="9" t="s">
        <v>250</v>
      </c>
      <c r="P470" s="9" t="s">
        <v>238</v>
      </c>
      <c r="Q470" s="9" t="s">
        <v>88</v>
      </c>
      <c r="R470" s="9" t="s">
        <v>89</v>
      </c>
      <c r="S470">
        <v>0</v>
      </c>
      <c r="T470">
        <v>58</v>
      </c>
      <c r="U470" s="9" t="s">
        <v>483</v>
      </c>
      <c r="V470" s="9" t="s">
        <v>756</v>
      </c>
      <c r="W470">
        <v>58</v>
      </c>
      <c r="X470" s="9" t="s">
        <v>757</v>
      </c>
      <c r="Y470">
        <v>332</v>
      </c>
      <c r="Z470" s="9" t="s">
        <v>754</v>
      </c>
      <c r="AA470" s="9" t="s">
        <v>255</v>
      </c>
      <c r="AB470" s="9" t="s">
        <v>56</v>
      </c>
      <c r="AC470" s="9" t="s">
        <v>3</v>
      </c>
      <c r="AD470" s="9" t="s">
        <v>238</v>
      </c>
      <c r="AE470" s="9">
        <f>IF(Table5[[#This Row],[Team_Name]]=Table5[[#This Row],[Correct_Winner]],1,0)</f>
        <v>1</v>
      </c>
    </row>
    <row r="471" spans="1:31" x14ac:dyDescent="0.3">
      <c r="A471" s="9" t="s">
        <v>251</v>
      </c>
      <c r="B471">
        <v>2018</v>
      </c>
      <c r="C471" s="9" t="s">
        <v>334</v>
      </c>
      <c r="D471" s="9" t="s">
        <v>755</v>
      </c>
      <c r="E471" s="9" t="s">
        <v>481</v>
      </c>
      <c r="F471" s="3" t="s">
        <v>277</v>
      </c>
      <c r="G471">
        <v>195</v>
      </c>
      <c r="H471">
        <v>4</v>
      </c>
      <c r="I471" t="str">
        <f>Clean_Data!$I471</f>
        <v>Fortune Barishal</v>
      </c>
      <c r="J471">
        <v>137</v>
      </c>
      <c r="K471">
        <v>10</v>
      </c>
      <c r="L471" s="9" t="s">
        <v>482</v>
      </c>
      <c r="M471" s="9" t="s">
        <v>238</v>
      </c>
      <c r="N471" s="9" t="s">
        <v>37</v>
      </c>
      <c r="O471" s="9" t="s">
        <v>250</v>
      </c>
      <c r="P471" s="9" t="s">
        <v>238</v>
      </c>
      <c r="Q471" s="9" t="s">
        <v>88</v>
      </c>
      <c r="R471" s="9" t="s">
        <v>89</v>
      </c>
      <c r="S471">
        <v>0</v>
      </c>
      <c r="T471">
        <v>58</v>
      </c>
      <c r="U471" s="9" t="s">
        <v>483</v>
      </c>
      <c r="V471" s="9" t="s">
        <v>756</v>
      </c>
      <c r="W471">
        <v>58</v>
      </c>
      <c r="X471" s="9" t="s">
        <v>757</v>
      </c>
      <c r="Y471">
        <v>332</v>
      </c>
      <c r="Z471" s="9" t="s">
        <v>754</v>
      </c>
      <c r="AA471" s="9" t="s">
        <v>255</v>
      </c>
      <c r="AB471" s="9" t="s">
        <v>56</v>
      </c>
      <c r="AC471" s="9" t="s">
        <v>6</v>
      </c>
      <c r="AD471" s="9" t="s">
        <v>206</v>
      </c>
      <c r="AE471" s="9">
        <f>IF(Table5[[#This Row],[Team_Name]]=Table5[[#This Row],[Correct_Winner]],1,0)</f>
        <v>0</v>
      </c>
    </row>
    <row r="472" spans="1:31" x14ac:dyDescent="0.3">
      <c r="A472" s="9" t="s">
        <v>251</v>
      </c>
      <c r="B472">
        <v>2018</v>
      </c>
      <c r="C472" s="9" t="s">
        <v>336</v>
      </c>
      <c r="D472" s="9" t="s">
        <v>755</v>
      </c>
      <c r="E472" s="9" t="s">
        <v>484</v>
      </c>
      <c r="F472" s="2" t="s">
        <v>581</v>
      </c>
      <c r="G472">
        <v>239</v>
      </c>
      <c r="H472">
        <v>4</v>
      </c>
      <c r="I472" t="str">
        <f>Clean_Data!$I472</f>
        <v>Rangpur Riders</v>
      </c>
      <c r="J472">
        <v>167</v>
      </c>
      <c r="K472">
        <v>8</v>
      </c>
      <c r="L472" s="9" t="s">
        <v>485</v>
      </c>
      <c r="M472" s="9" t="s">
        <v>179</v>
      </c>
      <c r="N472" s="9" t="s">
        <v>26</v>
      </c>
      <c r="O472" s="9" t="s">
        <v>189</v>
      </c>
      <c r="P472" s="9" t="s">
        <v>113</v>
      </c>
      <c r="Q472" s="9" t="s">
        <v>88</v>
      </c>
      <c r="R472" s="9" t="s">
        <v>89</v>
      </c>
      <c r="S472">
        <v>0</v>
      </c>
      <c r="T472">
        <v>72</v>
      </c>
      <c r="U472" s="9" t="s">
        <v>167</v>
      </c>
      <c r="V472" s="9" t="s">
        <v>756</v>
      </c>
      <c r="W472">
        <v>72</v>
      </c>
      <c r="X472" s="9" t="s">
        <v>757</v>
      </c>
      <c r="Y472">
        <v>406</v>
      </c>
      <c r="Z472" s="9" t="s">
        <v>754</v>
      </c>
      <c r="AA472" s="9" t="s">
        <v>255</v>
      </c>
      <c r="AB472" s="9" t="s">
        <v>44</v>
      </c>
      <c r="AC472" s="9" t="s">
        <v>3</v>
      </c>
      <c r="AD472" s="9" t="s">
        <v>113</v>
      </c>
      <c r="AE472" s="9">
        <f>IF(Table5[[#This Row],[Team_Name]]=Table5[[#This Row],[Correct_Winner]],1,0)</f>
        <v>1</v>
      </c>
    </row>
    <row r="473" spans="1:31" x14ac:dyDescent="0.3">
      <c r="A473" s="9" t="s">
        <v>251</v>
      </c>
      <c r="B473">
        <v>2018</v>
      </c>
      <c r="C473" s="9" t="s">
        <v>336</v>
      </c>
      <c r="D473" s="9" t="s">
        <v>755</v>
      </c>
      <c r="E473" s="9" t="s">
        <v>484</v>
      </c>
      <c r="F473" s="3" t="s">
        <v>113</v>
      </c>
      <c r="G473">
        <v>239</v>
      </c>
      <c r="H473">
        <v>4</v>
      </c>
      <c r="I473" t="str">
        <f>Clean_Data!$I473</f>
        <v>Chittagong Kings</v>
      </c>
      <c r="J473">
        <v>167</v>
      </c>
      <c r="K473">
        <v>8</v>
      </c>
      <c r="L473" s="9" t="s">
        <v>485</v>
      </c>
      <c r="M473" s="9" t="s">
        <v>179</v>
      </c>
      <c r="N473" s="9" t="s">
        <v>26</v>
      </c>
      <c r="O473" s="9" t="s">
        <v>189</v>
      </c>
      <c r="P473" s="9" t="s">
        <v>113</v>
      </c>
      <c r="Q473" s="9" t="s">
        <v>88</v>
      </c>
      <c r="R473" s="9" t="s">
        <v>89</v>
      </c>
      <c r="S473">
        <v>0</v>
      </c>
      <c r="T473">
        <v>72</v>
      </c>
      <c r="U473" s="9" t="s">
        <v>167</v>
      </c>
      <c r="V473" s="9" t="s">
        <v>756</v>
      </c>
      <c r="W473">
        <v>72</v>
      </c>
      <c r="X473" s="9" t="s">
        <v>757</v>
      </c>
      <c r="Y473">
        <v>406</v>
      </c>
      <c r="Z473" s="9" t="s">
        <v>754</v>
      </c>
      <c r="AA473" s="9" t="s">
        <v>255</v>
      </c>
      <c r="AB473" s="9" t="s">
        <v>44</v>
      </c>
      <c r="AC473" s="9" t="s">
        <v>6</v>
      </c>
      <c r="AD473" s="9" t="s">
        <v>179</v>
      </c>
      <c r="AE473" s="9">
        <f>IF(Table5[[#This Row],[Team_Name]]=Table5[[#This Row],[Correct_Winner]],1,0)</f>
        <v>0</v>
      </c>
    </row>
    <row r="474" spans="1:31" x14ac:dyDescent="0.3">
      <c r="A474" s="9" t="s">
        <v>251</v>
      </c>
      <c r="B474">
        <v>2018</v>
      </c>
      <c r="C474" s="9" t="s">
        <v>45</v>
      </c>
      <c r="D474" s="9" t="s">
        <v>755</v>
      </c>
      <c r="E474" s="9" t="s">
        <v>484</v>
      </c>
      <c r="F474" s="2" t="s">
        <v>694</v>
      </c>
      <c r="G474">
        <v>180</v>
      </c>
      <c r="H474">
        <v>6</v>
      </c>
      <c r="I474" t="str">
        <f>Clean_Data!$I474</f>
        <v>Fortune Barishal</v>
      </c>
      <c r="J474">
        <v>104</v>
      </c>
      <c r="K474">
        <v>10</v>
      </c>
      <c r="L474" s="9" t="s">
        <v>70</v>
      </c>
      <c r="M474" s="9" t="s">
        <v>199</v>
      </c>
      <c r="N474" s="9" t="s">
        <v>26</v>
      </c>
      <c r="O474" s="9" t="s">
        <v>250</v>
      </c>
      <c r="P474" s="9" t="s">
        <v>238</v>
      </c>
      <c r="Q474" s="9" t="s">
        <v>88</v>
      </c>
      <c r="R474" s="9" t="s">
        <v>89</v>
      </c>
      <c r="S474">
        <v>0</v>
      </c>
      <c r="T474">
        <v>76</v>
      </c>
      <c r="U474" s="9" t="s">
        <v>486</v>
      </c>
      <c r="V474" s="9" t="s">
        <v>756</v>
      </c>
      <c r="W474">
        <v>76</v>
      </c>
      <c r="X474" s="9" t="s">
        <v>757</v>
      </c>
      <c r="Y474">
        <v>284</v>
      </c>
      <c r="Z474" s="9" t="s">
        <v>754</v>
      </c>
      <c r="AA474" s="9" t="s">
        <v>216</v>
      </c>
      <c r="AB474" s="9" t="s">
        <v>267</v>
      </c>
      <c r="AC474" s="9" t="s">
        <v>3</v>
      </c>
      <c r="AD474" s="9" t="s">
        <v>238</v>
      </c>
      <c r="AE474" s="9">
        <f>IF(Table5[[#This Row],[Team_Name]]=Table5[[#This Row],[Correct_Winner]],1,0)</f>
        <v>1</v>
      </c>
    </row>
    <row r="475" spans="1:31" x14ac:dyDescent="0.3">
      <c r="A475" s="9" t="s">
        <v>251</v>
      </c>
      <c r="B475">
        <v>2018</v>
      </c>
      <c r="C475" s="9" t="s">
        <v>45</v>
      </c>
      <c r="D475" s="9" t="s">
        <v>755</v>
      </c>
      <c r="E475" s="9" t="s">
        <v>484</v>
      </c>
      <c r="F475" s="3" t="s">
        <v>277</v>
      </c>
      <c r="G475">
        <v>180</v>
      </c>
      <c r="H475">
        <v>6</v>
      </c>
      <c r="I475" t="str">
        <f>Clean_Data!$I475</f>
        <v>Rangpur Riders</v>
      </c>
      <c r="J475">
        <v>104</v>
      </c>
      <c r="K475">
        <v>10</v>
      </c>
      <c r="L475" s="9" t="s">
        <v>70</v>
      </c>
      <c r="M475" s="9" t="s">
        <v>199</v>
      </c>
      <c r="N475" s="9" t="s">
        <v>26</v>
      </c>
      <c r="O475" s="9" t="s">
        <v>250</v>
      </c>
      <c r="P475" s="9" t="s">
        <v>238</v>
      </c>
      <c r="Q475" s="9" t="s">
        <v>88</v>
      </c>
      <c r="R475" s="9" t="s">
        <v>89</v>
      </c>
      <c r="S475">
        <v>0</v>
      </c>
      <c r="T475">
        <v>76</v>
      </c>
      <c r="U475" s="9" t="s">
        <v>486</v>
      </c>
      <c r="V475" s="9" t="s">
        <v>756</v>
      </c>
      <c r="W475">
        <v>76</v>
      </c>
      <c r="X475" s="9" t="s">
        <v>757</v>
      </c>
      <c r="Y475">
        <v>284</v>
      </c>
      <c r="Z475" s="9" t="s">
        <v>754</v>
      </c>
      <c r="AA475" s="9" t="s">
        <v>216</v>
      </c>
      <c r="AB475" s="9" t="s">
        <v>267</v>
      </c>
      <c r="AC475" s="9" t="s">
        <v>6</v>
      </c>
      <c r="AD475" s="9" t="s">
        <v>199</v>
      </c>
      <c r="AE475" s="9">
        <f>IF(Table5[[#This Row],[Team_Name]]=Table5[[#This Row],[Correct_Winner]],1,0)</f>
        <v>0</v>
      </c>
    </row>
    <row r="476" spans="1:31" x14ac:dyDescent="0.3">
      <c r="A476" s="9" t="s">
        <v>251</v>
      </c>
      <c r="B476">
        <v>2018</v>
      </c>
      <c r="C476" s="9" t="s">
        <v>51</v>
      </c>
      <c r="D476" s="9" t="s">
        <v>755</v>
      </c>
      <c r="E476" s="9" t="s">
        <v>487</v>
      </c>
      <c r="F476" s="2" t="s">
        <v>53</v>
      </c>
      <c r="G476">
        <v>170</v>
      </c>
      <c r="H476">
        <v>9</v>
      </c>
      <c r="I476" t="str">
        <f>Clean_Data!$I476</f>
        <v>Sylhet Strikers</v>
      </c>
      <c r="J476">
        <v>149</v>
      </c>
      <c r="K476">
        <v>7</v>
      </c>
      <c r="L476" s="9" t="s">
        <v>488</v>
      </c>
      <c r="M476" s="9" t="s">
        <v>238</v>
      </c>
      <c r="N476" s="9" t="s">
        <v>26</v>
      </c>
      <c r="O476" s="9" t="s">
        <v>215</v>
      </c>
      <c r="P476" s="9" t="s">
        <v>206</v>
      </c>
      <c r="Q476" s="9" t="s">
        <v>28</v>
      </c>
      <c r="R476" s="9" t="s">
        <v>29</v>
      </c>
      <c r="S476">
        <v>0</v>
      </c>
      <c r="T476">
        <v>21</v>
      </c>
      <c r="U476" s="9" t="s">
        <v>165</v>
      </c>
      <c r="V476" s="9" t="s">
        <v>756</v>
      </c>
      <c r="W476">
        <v>21</v>
      </c>
      <c r="X476" s="9" t="s">
        <v>757</v>
      </c>
      <c r="Y476">
        <v>319</v>
      </c>
      <c r="Z476" s="9" t="s">
        <v>754</v>
      </c>
      <c r="AA476" s="9" t="s">
        <v>255</v>
      </c>
      <c r="AB476" s="9" t="s">
        <v>216</v>
      </c>
      <c r="AC476" s="9" t="s">
        <v>3</v>
      </c>
      <c r="AD476" s="9" t="s">
        <v>206</v>
      </c>
      <c r="AE476" s="9">
        <f>IF(Table5[[#This Row],[Team_Name]]=Table5[[#This Row],[Correct_Winner]],1,0)</f>
        <v>1</v>
      </c>
    </row>
    <row r="477" spans="1:31" x14ac:dyDescent="0.3">
      <c r="A477" s="9" t="s">
        <v>251</v>
      </c>
      <c r="B477">
        <v>2018</v>
      </c>
      <c r="C477" s="9" t="s">
        <v>51</v>
      </c>
      <c r="D477" s="9" t="s">
        <v>755</v>
      </c>
      <c r="E477" s="9" t="s">
        <v>487</v>
      </c>
      <c r="F477" s="3" t="s">
        <v>694</v>
      </c>
      <c r="G477">
        <v>170</v>
      </c>
      <c r="H477">
        <v>9</v>
      </c>
      <c r="I477" t="str">
        <f>Clean_Data!$I477</f>
        <v>Khulna Tigers</v>
      </c>
      <c r="J477">
        <v>149</v>
      </c>
      <c r="K477">
        <v>7</v>
      </c>
      <c r="L477" s="9" t="s">
        <v>488</v>
      </c>
      <c r="M477" s="9" t="s">
        <v>238</v>
      </c>
      <c r="N477" s="9" t="s">
        <v>26</v>
      </c>
      <c r="O477" s="9" t="s">
        <v>215</v>
      </c>
      <c r="P477" s="9" t="s">
        <v>206</v>
      </c>
      <c r="Q477" s="9" t="s">
        <v>28</v>
      </c>
      <c r="R477" s="9" t="s">
        <v>29</v>
      </c>
      <c r="S477">
        <v>0</v>
      </c>
      <c r="T477">
        <v>21</v>
      </c>
      <c r="U477" s="9" t="s">
        <v>165</v>
      </c>
      <c r="V477" s="9" t="s">
        <v>756</v>
      </c>
      <c r="W477">
        <v>21</v>
      </c>
      <c r="X477" s="9" t="s">
        <v>757</v>
      </c>
      <c r="Y477">
        <v>319</v>
      </c>
      <c r="Z477" s="9" t="s">
        <v>754</v>
      </c>
      <c r="AA477" s="9" t="s">
        <v>255</v>
      </c>
      <c r="AB477" s="9" t="s">
        <v>216</v>
      </c>
      <c r="AC477" s="9" t="s">
        <v>6</v>
      </c>
      <c r="AD477" s="9" t="s">
        <v>238</v>
      </c>
      <c r="AE477" s="9">
        <f>IF(Table5[[#This Row],[Team_Name]]=Table5[[#This Row],[Correct_Winner]],1,0)</f>
        <v>0</v>
      </c>
    </row>
    <row r="478" spans="1:31" x14ac:dyDescent="0.3">
      <c r="A478" s="9" t="s">
        <v>251</v>
      </c>
      <c r="B478">
        <v>2018</v>
      </c>
      <c r="C478" s="9" t="s">
        <v>58</v>
      </c>
      <c r="D478" s="9" t="s">
        <v>755</v>
      </c>
      <c r="E478" s="9" t="s">
        <v>487</v>
      </c>
      <c r="F478" s="2" t="s">
        <v>53</v>
      </c>
      <c r="G478">
        <v>157</v>
      </c>
      <c r="H478">
        <v>5</v>
      </c>
      <c r="I478" t="str">
        <f>Clean_Data!$I478</f>
        <v>Fortune Barishal</v>
      </c>
      <c r="J478">
        <v>159</v>
      </c>
      <c r="K478">
        <v>4</v>
      </c>
      <c r="L478" s="9" t="s">
        <v>150</v>
      </c>
      <c r="M478" s="9" t="s">
        <v>179</v>
      </c>
      <c r="N478" s="9" t="s">
        <v>26</v>
      </c>
      <c r="O478" s="9" t="s">
        <v>245</v>
      </c>
      <c r="P478" s="9" t="s">
        <v>179</v>
      </c>
      <c r="Q478" s="9" t="s">
        <v>28</v>
      </c>
      <c r="R478" s="9" t="s">
        <v>29</v>
      </c>
      <c r="S478">
        <v>6</v>
      </c>
      <c r="T478">
        <v>0</v>
      </c>
      <c r="U478" s="9" t="s">
        <v>151</v>
      </c>
      <c r="V478" s="9" t="s">
        <v>752</v>
      </c>
      <c r="W478">
        <v>6</v>
      </c>
      <c r="X478" s="9" t="s">
        <v>753</v>
      </c>
      <c r="Y478">
        <v>316</v>
      </c>
      <c r="Z478" s="9" t="s">
        <v>754</v>
      </c>
      <c r="AA478" s="9" t="s">
        <v>39</v>
      </c>
      <c r="AB478" s="9" t="s">
        <v>147</v>
      </c>
      <c r="AC478" s="9" t="s">
        <v>3</v>
      </c>
      <c r="AD478" s="9" t="s">
        <v>199</v>
      </c>
      <c r="AE478" s="9">
        <f>IF(Table5[[#This Row],[Team_Name]]=Table5[[#This Row],[Correct_Winner]],1,0)</f>
        <v>0</v>
      </c>
    </row>
    <row r="479" spans="1:31" x14ac:dyDescent="0.3">
      <c r="A479" s="9" t="s">
        <v>251</v>
      </c>
      <c r="B479">
        <v>2018</v>
      </c>
      <c r="C479" s="9" t="s">
        <v>58</v>
      </c>
      <c r="D479" s="9" t="s">
        <v>755</v>
      </c>
      <c r="E479" s="9" t="s">
        <v>487</v>
      </c>
      <c r="F479" s="3" t="s">
        <v>113</v>
      </c>
      <c r="G479">
        <v>157</v>
      </c>
      <c r="H479">
        <v>5</v>
      </c>
      <c r="I479" t="str">
        <f>Clean_Data!$I479</f>
        <v>Khulna Tigers</v>
      </c>
      <c r="J479">
        <v>159</v>
      </c>
      <c r="K479">
        <v>4</v>
      </c>
      <c r="L479" s="9" t="s">
        <v>150</v>
      </c>
      <c r="M479" s="9" t="s">
        <v>179</v>
      </c>
      <c r="N479" s="9" t="s">
        <v>26</v>
      </c>
      <c r="O479" s="9" t="s">
        <v>245</v>
      </c>
      <c r="P479" s="9" t="s">
        <v>179</v>
      </c>
      <c r="Q479" s="9" t="s">
        <v>28</v>
      </c>
      <c r="R479" s="9" t="s">
        <v>29</v>
      </c>
      <c r="S479">
        <v>6</v>
      </c>
      <c r="T479">
        <v>0</v>
      </c>
      <c r="U479" s="9" t="s">
        <v>151</v>
      </c>
      <c r="V479" s="9" t="s">
        <v>752</v>
      </c>
      <c r="W479">
        <v>6</v>
      </c>
      <c r="X479" s="9" t="s">
        <v>753</v>
      </c>
      <c r="Y479">
        <v>316</v>
      </c>
      <c r="Z479" s="9" t="s">
        <v>754</v>
      </c>
      <c r="AA479" s="9" t="s">
        <v>39</v>
      </c>
      <c r="AB479" s="9" t="s">
        <v>147</v>
      </c>
      <c r="AC479" s="9" t="s">
        <v>6</v>
      </c>
      <c r="AD479" s="9" t="s">
        <v>179</v>
      </c>
      <c r="AE479" s="9">
        <f>IF(Table5[[#This Row],[Team_Name]]=Table5[[#This Row],[Correct_Winner]],1,0)</f>
        <v>1</v>
      </c>
    </row>
    <row r="480" spans="1:31" x14ac:dyDescent="0.3">
      <c r="A480" s="9" t="s">
        <v>251</v>
      </c>
      <c r="B480">
        <v>2018</v>
      </c>
      <c r="C480" s="9" t="s">
        <v>60</v>
      </c>
      <c r="D480" s="9" t="s">
        <v>755</v>
      </c>
      <c r="E480" s="9" t="s">
        <v>489</v>
      </c>
      <c r="F480" s="2" t="s">
        <v>53</v>
      </c>
      <c r="G480">
        <v>153</v>
      </c>
      <c r="H480">
        <v>8</v>
      </c>
      <c r="I480" t="str">
        <f>Clean_Data!$I480</f>
        <v>Fortune Barishal</v>
      </c>
      <c r="J480">
        <v>146</v>
      </c>
      <c r="K480">
        <v>9</v>
      </c>
      <c r="L480" s="9" t="s">
        <v>434</v>
      </c>
      <c r="M480" s="9" t="s">
        <v>160</v>
      </c>
      <c r="N480" s="9" t="s">
        <v>26</v>
      </c>
      <c r="O480" s="9" t="s">
        <v>145</v>
      </c>
      <c r="P480" s="9" t="s">
        <v>143</v>
      </c>
      <c r="Q480" s="9" t="s">
        <v>28</v>
      </c>
      <c r="R480" s="9" t="s">
        <v>29</v>
      </c>
      <c r="S480">
        <v>0</v>
      </c>
      <c r="T480">
        <v>7</v>
      </c>
      <c r="U480" s="9" t="s">
        <v>364</v>
      </c>
      <c r="V480" s="9" t="s">
        <v>756</v>
      </c>
      <c r="W480">
        <v>7</v>
      </c>
      <c r="X480" s="9" t="s">
        <v>753</v>
      </c>
      <c r="Y480">
        <v>299</v>
      </c>
      <c r="Z480" s="9" t="s">
        <v>754</v>
      </c>
      <c r="AA480" s="9" t="s">
        <v>50</v>
      </c>
      <c r="AB480" s="9" t="s">
        <v>147</v>
      </c>
      <c r="AC480" s="9" t="s">
        <v>3</v>
      </c>
      <c r="AD480" s="9" t="s">
        <v>143</v>
      </c>
      <c r="AE480" s="9">
        <f>IF(Table5[[#This Row],[Team_Name]]=Table5[[#This Row],[Correct_Winner]],1,0)</f>
        <v>1</v>
      </c>
    </row>
    <row r="481" spans="1:31" x14ac:dyDescent="0.3">
      <c r="A481" s="9" t="s">
        <v>251</v>
      </c>
      <c r="B481">
        <v>2018</v>
      </c>
      <c r="C481" s="9" t="s">
        <v>60</v>
      </c>
      <c r="D481" s="9" t="s">
        <v>755</v>
      </c>
      <c r="E481" s="9" t="s">
        <v>489</v>
      </c>
      <c r="F481" s="3" t="s">
        <v>277</v>
      </c>
      <c r="G481">
        <v>153</v>
      </c>
      <c r="H481">
        <v>8</v>
      </c>
      <c r="I481" t="str">
        <f>Clean_Data!$I481</f>
        <v>Chittagong Kings</v>
      </c>
      <c r="J481">
        <v>146</v>
      </c>
      <c r="K481">
        <v>9</v>
      </c>
      <c r="L481" s="9" t="s">
        <v>434</v>
      </c>
      <c r="M481" s="9" t="s">
        <v>160</v>
      </c>
      <c r="N481" s="9" t="s">
        <v>26</v>
      </c>
      <c r="O481" s="9" t="s">
        <v>145</v>
      </c>
      <c r="P481" s="9" t="s">
        <v>143</v>
      </c>
      <c r="Q481" s="9" t="s">
        <v>28</v>
      </c>
      <c r="R481" s="9" t="s">
        <v>29</v>
      </c>
      <c r="S481">
        <v>0</v>
      </c>
      <c r="T481">
        <v>7</v>
      </c>
      <c r="U481" s="9" t="s">
        <v>364</v>
      </c>
      <c r="V481" s="9" t="s">
        <v>756</v>
      </c>
      <c r="W481">
        <v>7</v>
      </c>
      <c r="X481" s="9" t="s">
        <v>753</v>
      </c>
      <c r="Y481">
        <v>299</v>
      </c>
      <c r="Z481" s="9" t="s">
        <v>754</v>
      </c>
      <c r="AA481" s="9" t="s">
        <v>50</v>
      </c>
      <c r="AB481" s="9" t="s">
        <v>147</v>
      </c>
      <c r="AC481" s="9" t="s">
        <v>6</v>
      </c>
      <c r="AD481" s="9" t="s">
        <v>160</v>
      </c>
      <c r="AE481" s="9">
        <f>IF(Table5[[#This Row],[Team_Name]]=Table5[[#This Row],[Correct_Winner]],1,0)</f>
        <v>0</v>
      </c>
    </row>
    <row r="482" spans="1:31" x14ac:dyDescent="0.3">
      <c r="A482" s="9" t="s">
        <v>251</v>
      </c>
      <c r="B482">
        <v>2018</v>
      </c>
      <c r="C482" s="9" t="s">
        <v>67</v>
      </c>
      <c r="D482" s="9" t="s">
        <v>755</v>
      </c>
      <c r="E482" s="9" t="s">
        <v>489</v>
      </c>
      <c r="F482" s="5" t="s">
        <v>53</v>
      </c>
      <c r="G482">
        <v>181</v>
      </c>
      <c r="H482">
        <v>6</v>
      </c>
      <c r="I482" t="str">
        <f>Clean_Data!$I482</f>
        <v>Fortune Barishal</v>
      </c>
      <c r="J482">
        <v>183</v>
      </c>
      <c r="K482">
        <v>4</v>
      </c>
      <c r="L482" s="9" t="s">
        <v>477</v>
      </c>
      <c r="M482" s="9" t="s">
        <v>113</v>
      </c>
      <c r="N482" s="9" t="s">
        <v>26</v>
      </c>
      <c r="O482" s="9" t="s">
        <v>189</v>
      </c>
      <c r="P482" s="9" t="s">
        <v>113</v>
      </c>
      <c r="Q482" s="9" t="s">
        <v>28</v>
      </c>
      <c r="R482" s="9" t="s">
        <v>29</v>
      </c>
      <c r="S482">
        <v>6</v>
      </c>
      <c r="T482">
        <v>0</v>
      </c>
      <c r="U482" s="9" t="s">
        <v>151</v>
      </c>
      <c r="V482" s="9" t="s">
        <v>752</v>
      </c>
      <c r="W482">
        <v>6</v>
      </c>
      <c r="X482" s="9" t="s">
        <v>753</v>
      </c>
      <c r="Y482">
        <v>364</v>
      </c>
      <c r="Z482" s="9" t="s">
        <v>754</v>
      </c>
      <c r="AA482" s="9" t="s">
        <v>44</v>
      </c>
      <c r="AB482" s="9" t="s">
        <v>267</v>
      </c>
      <c r="AC482" s="9" t="s">
        <v>3</v>
      </c>
      <c r="AD482" s="9" t="s">
        <v>206</v>
      </c>
      <c r="AE482" s="9">
        <f>IF(Table5[[#This Row],[Team_Name]]=Table5[[#This Row],[Correct_Winner]],1,0)</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869B-D5AE-4D51-B9AC-47B937780004}">
  <sheetPr filterMode="1"/>
  <dimension ref="A2:I416"/>
  <sheetViews>
    <sheetView topLeftCell="A86" zoomScale="58" workbookViewId="0">
      <selection activeCell="Q28" sqref="Q28"/>
    </sheetView>
  </sheetViews>
  <sheetFormatPr defaultRowHeight="15.6" x14ac:dyDescent="0.3"/>
  <cols>
    <col min="1" max="1" width="21.796875" bestFit="1" customWidth="1"/>
    <col min="2" max="2" width="19.796875" bestFit="1" customWidth="1"/>
    <col min="3" max="3" width="15.296875" bestFit="1" customWidth="1"/>
    <col min="4" max="4" width="17.296875" bestFit="1" customWidth="1"/>
    <col min="5" max="5" width="41.19921875" bestFit="1" customWidth="1"/>
    <col min="6" max="6" width="23.8984375" bestFit="1" customWidth="1"/>
    <col min="7" max="7" width="21.5" bestFit="1" customWidth="1"/>
    <col min="8" max="8" width="17.09765625" bestFit="1" customWidth="1"/>
    <col min="9" max="9" width="20.59765625" bestFit="1" customWidth="1"/>
    <col min="10" max="13" width="3.09765625" bestFit="1" customWidth="1"/>
    <col min="14" max="14" width="5.296875" bestFit="1" customWidth="1"/>
    <col min="15" max="15" width="3.09765625" bestFit="1" customWidth="1"/>
    <col min="16" max="17" width="4.19921875" bestFit="1" customWidth="1"/>
    <col min="18" max="18" width="3.09765625" bestFit="1" customWidth="1"/>
    <col min="19" max="24" width="4.19921875" bestFit="1" customWidth="1"/>
    <col min="25" max="25" width="5.296875" bestFit="1" customWidth="1"/>
    <col min="26" max="27" width="4.19921875" bestFit="1" customWidth="1"/>
    <col min="28" max="29" width="6.296875" bestFit="1" customWidth="1"/>
    <col min="30" max="32" width="4.19921875" bestFit="1" customWidth="1"/>
    <col min="33" max="33" width="6.296875" bestFit="1" customWidth="1"/>
    <col min="34" max="34" width="4.19921875" bestFit="1" customWidth="1"/>
    <col min="35" max="35" width="6.296875" bestFit="1" customWidth="1"/>
    <col min="36" max="36" width="12.69921875" bestFit="1" customWidth="1"/>
    <col min="37" max="37" width="6.296875" bestFit="1" customWidth="1"/>
    <col min="38" max="38" width="12.69921875" bestFit="1" customWidth="1"/>
    <col min="39" max="39" width="4.19921875" bestFit="1" customWidth="1"/>
    <col min="40" max="40" width="12.69921875" bestFit="1" customWidth="1"/>
    <col min="41" max="41" width="8.3984375" bestFit="1" customWidth="1"/>
    <col min="42" max="42" width="4.19921875" bestFit="1" customWidth="1"/>
    <col min="43" max="43" width="12.69921875" bestFit="1" customWidth="1"/>
    <col min="44" max="44" width="8.3984375" bestFit="1" customWidth="1"/>
    <col min="45" max="45" width="4.19921875" bestFit="1" customWidth="1"/>
    <col min="46" max="46" width="7.3984375" bestFit="1" customWidth="1"/>
    <col min="47" max="48" width="4.19921875" bestFit="1" customWidth="1"/>
    <col min="49" max="49" width="12.69921875" bestFit="1" customWidth="1"/>
    <col min="50" max="50" width="7.3984375" bestFit="1" customWidth="1"/>
    <col min="51" max="51" width="8.3984375" bestFit="1" customWidth="1"/>
    <col min="52" max="53" width="6.296875" bestFit="1" customWidth="1"/>
    <col min="54" max="54" width="7.3984375" bestFit="1" customWidth="1"/>
    <col min="55" max="56" width="6.296875" bestFit="1" customWidth="1"/>
    <col min="57" max="61" width="12.69921875" bestFit="1" customWidth="1"/>
    <col min="62" max="62" width="4.19921875" bestFit="1" customWidth="1"/>
    <col min="63" max="63" width="12.69921875" bestFit="1" customWidth="1"/>
    <col min="64" max="64" width="6.296875" bestFit="1" customWidth="1"/>
    <col min="65" max="65" width="8.3984375" bestFit="1" customWidth="1"/>
    <col min="66" max="66" width="6.296875" bestFit="1" customWidth="1"/>
    <col min="67" max="67" width="7.3984375" bestFit="1" customWidth="1"/>
    <col min="68" max="68" width="4.19921875" bestFit="1" customWidth="1"/>
    <col min="69" max="71" width="6.296875" bestFit="1" customWidth="1"/>
    <col min="72" max="73" width="12.69921875" bestFit="1" customWidth="1"/>
    <col min="74" max="74" width="6.296875" bestFit="1" customWidth="1"/>
    <col min="75" max="75" width="12.69921875" bestFit="1" customWidth="1"/>
    <col min="76" max="76" width="6.296875" bestFit="1" customWidth="1"/>
    <col min="77" max="78" width="12.69921875" bestFit="1" customWidth="1"/>
    <col min="79" max="80" width="6.296875" bestFit="1" customWidth="1"/>
    <col min="81" max="81" width="12.69921875" bestFit="1" customWidth="1"/>
    <col min="82" max="82" width="7.3984375" bestFit="1" customWidth="1"/>
    <col min="83" max="83" width="4.19921875" bestFit="1" customWidth="1"/>
    <col min="84" max="84" width="6.296875" bestFit="1" customWidth="1"/>
    <col min="85" max="85" width="4.19921875" bestFit="1" customWidth="1"/>
    <col min="86" max="86" width="12.69921875" bestFit="1" customWidth="1"/>
    <col min="87" max="88" width="4.19921875" bestFit="1" customWidth="1"/>
    <col min="89" max="90" width="12.69921875" bestFit="1" customWidth="1"/>
    <col min="91" max="91" width="7.3984375" bestFit="1" customWidth="1"/>
    <col min="92" max="92" width="4.19921875" bestFit="1" customWidth="1"/>
    <col min="93" max="95" width="6.296875" bestFit="1" customWidth="1"/>
    <col min="96" max="96" width="7.3984375" bestFit="1" customWidth="1"/>
    <col min="97" max="97" width="6.296875" bestFit="1" customWidth="1"/>
    <col min="98" max="98" width="12.69921875" bestFit="1" customWidth="1"/>
    <col min="99" max="100" width="7.3984375" bestFit="1" customWidth="1"/>
    <col min="101" max="101" width="4.19921875" bestFit="1" customWidth="1"/>
    <col min="102" max="102" width="7.3984375" bestFit="1" customWidth="1"/>
    <col min="103" max="103" width="12.69921875" bestFit="1" customWidth="1"/>
    <col min="104" max="105" width="6.296875" bestFit="1" customWidth="1"/>
    <col min="106" max="106" width="4.19921875" bestFit="1" customWidth="1"/>
    <col min="107" max="107" width="12.69921875" bestFit="1" customWidth="1"/>
    <col min="108" max="109" width="4.19921875" bestFit="1" customWidth="1"/>
    <col min="110" max="110" width="6.296875" bestFit="1" customWidth="1"/>
    <col min="111" max="112" width="4.19921875" bestFit="1" customWidth="1"/>
    <col min="113" max="113" width="6.296875" bestFit="1" customWidth="1"/>
    <col min="114" max="114" width="4.19921875" bestFit="1" customWidth="1"/>
    <col min="115" max="115" width="12.69921875" bestFit="1" customWidth="1"/>
    <col min="116" max="117" width="4.19921875" bestFit="1" customWidth="1"/>
    <col min="118" max="119" width="6.296875" bestFit="1" customWidth="1"/>
    <col min="120" max="120" width="4.19921875" bestFit="1" customWidth="1"/>
    <col min="121" max="121" width="7.3984375" bestFit="1" customWidth="1"/>
    <col min="122" max="122" width="12.69921875" bestFit="1" customWidth="1"/>
    <col min="123" max="125" width="4.19921875" bestFit="1" customWidth="1"/>
    <col min="126" max="126" width="6.296875" bestFit="1" customWidth="1"/>
    <col min="127" max="130" width="4.19921875" bestFit="1" customWidth="1"/>
    <col min="131" max="131" width="6.296875" bestFit="1" customWidth="1"/>
    <col min="132" max="135" width="4.19921875" bestFit="1" customWidth="1"/>
    <col min="136" max="137" width="6.296875" bestFit="1" customWidth="1"/>
    <col min="138" max="138" width="4.19921875" bestFit="1" customWidth="1"/>
    <col min="139" max="139" width="12.69921875" bestFit="1" customWidth="1"/>
  </cols>
  <sheetData>
    <row r="2" spans="1:4" x14ac:dyDescent="0.3">
      <c r="A2" s="7" t="s">
        <v>741</v>
      </c>
      <c r="B2" t="s">
        <v>750</v>
      </c>
      <c r="C2" s="26" t="s">
        <v>741</v>
      </c>
      <c r="D2" s="26" t="s">
        <v>750</v>
      </c>
    </row>
    <row r="3" spans="1:4" x14ac:dyDescent="0.3">
      <c r="A3" s="8" t="s">
        <v>142</v>
      </c>
      <c r="B3" s="9">
        <v>11</v>
      </c>
      <c r="C3" s="24" t="s">
        <v>142</v>
      </c>
      <c r="D3" s="24">
        <v>11</v>
      </c>
    </row>
    <row r="4" spans="1:4" x14ac:dyDescent="0.3">
      <c r="A4" s="8" t="s">
        <v>23</v>
      </c>
      <c r="B4" s="9">
        <v>11</v>
      </c>
      <c r="C4" s="24" t="s">
        <v>23</v>
      </c>
      <c r="D4" s="24">
        <v>11</v>
      </c>
    </row>
    <row r="5" spans="1:4" x14ac:dyDescent="0.3">
      <c r="A5" s="8" t="s">
        <v>280</v>
      </c>
      <c r="B5" s="9">
        <v>28</v>
      </c>
      <c r="C5" s="24" t="s">
        <v>280</v>
      </c>
      <c r="D5" s="24">
        <v>28</v>
      </c>
    </row>
    <row r="6" spans="1:4" x14ac:dyDescent="0.3">
      <c r="A6" s="8" t="s">
        <v>53</v>
      </c>
      <c r="B6" s="9">
        <v>22</v>
      </c>
      <c r="C6" s="24" t="s">
        <v>53</v>
      </c>
      <c r="D6" s="24">
        <v>22</v>
      </c>
    </row>
    <row r="7" spans="1:4" x14ac:dyDescent="0.3">
      <c r="A7" s="8" t="s">
        <v>179</v>
      </c>
      <c r="B7" s="9">
        <v>18</v>
      </c>
      <c r="C7" s="24" t="s">
        <v>179</v>
      </c>
      <c r="D7" s="24">
        <v>18</v>
      </c>
    </row>
    <row r="8" spans="1:4" x14ac:dyDescent="0.3">
      <c r="A8" s="8" t="s">
        <v>143</v>
      </c>
      <c r="B8" s="9">
        <v>60</v>
      </c>
      <c r="C8" s="24" t="s">
        <v>143</v>
      </c>
      <c r="D8" s="24">
        <v>60</v>
      </c>
    </row>
    <row r="9" spans="1:4" x14ac:dyDescent="0.3">
      <c r="A9" s="8" t="s">
        <v>635</v>
      </c>
      <c r="B9" s="9">
        <v>5</v>
      </c>
      <c r="C9" s="24" t="s">
        <v>143</v>
      </c>
      <c r="D9" s="24">
        <v>5</v>
      </c>
    </row>
    <row r="10" spans="1:4" x14ac:dyDescent="0.3">
      <c r="A10" s="8" t="s">
        <v>293</v>
      </c>
      <c r="B10" s="9">
        <v>4</v>
      </c>
      <c r="C10" s="24" t="s">
        <v>293</v>
      </c>
      <c r="D10" s="24">
        <v>4</v>
      </c>
    </row>
    <row r="11" spans="1:4" x14ac:dyDescent="0.3">
      <c r="A11" s="8" t="s">
        <v>694</v>
      </c>
      <c r="B11" s="9">
        <v>3</v>
      </c>
      <c r="C11" s="24" t="s">
        <v>694</v>
      </c>
      <c r="D11" s="24">
        <v>3</v>
      </c>
    </row>
    <row r="12" spans="1:4" x14ac:dyDescent="0.3">
      <c r="A12" s="8" t="s">
        <v>585</v>
      </c>
      <c r="B12" s="9">
        <v>3</v>
      </c>
      <c r="C12" s="24" t="s">
        <v>585</v>
      </c>
      <c r="D12" s="24">
        <v>3</v>
      </c>
    </row>
    <row r="13" spans="1:4" x14ac:dyDescent="0.3">
      <c r="A13" s="8" t="s">
        <v>160</v>
      </c>
      <c r="B13" s="9">
        <v>30</v>
      </c>
      <c r="C13" s="24" t="s">
        <v>160</v>
      </c>
      <c r="D13" s="24">
        <v>30</v>
      </c>
    </row>
    <row r="14" spans="1:4" x14ac:dyDescent="0.3">
      <c r="A14" s="8" t="s">
        <v>24</v>
      </c>
      <c r="B14" s="9">
        <v>18</v>
      </c>
      <c r="C14" s="24" t="s">
        <v>24</v>
      </c>
      <c r="D14" s="24">
        <v>18</v>
      </c>
    </row>
    <row r="15" spans="1:4" x14ac:dyDescent="0.3">
      <c r="A15" s="8" t="s">
        <v>287</v>
      </c>
      <c r="B15" s="9">
        <v>7</v>
      </c>
      <c r="C15" s="24" t="s">
        <v>287</v>
      </c>
      <c r="D15" s="24">
        <v>7</v>
      </c>
    </row>
    <row r="16" spans="1:4" x14ac:dyDescent="0.3">
      <c r="A16" s="8" t="s">
        <v>693</v>
      </c>
      <c r="B16" s="9">
        <v>5</v>
      </c>
      <c r="C16" s="24" t="s">
        <v>693</v>
      </c>
      <c r="D16" s="24">
        <v>5</v>
      </c>
    </row>
    <row r="17" spans="1:4" x14ac:dyDescent="0.3">
      <c r="A17" s="8" t="s">
        <v>636</v>
      </c>
      <c r="B17" s="9">
        <v>1</v>
      </c>
      <c r="C17" s="24" t="s">
        <v>636</v>
      </c>
      <c r="D17" s="24">
        <v>1</v>
      </c>
    </row>
    <row r="18" spans="1:4" x14ac:dyDescent="0.3">
      <c r="A18" s="8" t="s">
        <v>41</v>
      </c>
      <c r="B18" s="9">
        <v>12</v>
      </c>
      <c r="C18" s="24" t="s">
        <v>41</v>
      </c>
      <c r="D18" s="24">
        <v>12</v>
      </c>
    </row>
    <row r="19" spans="1:4" x14ac:dyDescent="0.3">
      <c r="A19" s="8" t="s">
        <v>310</v>
      </c>
      <c r="B19" s="9">
        <v>32</v>
      </c>
      <c r="C19" s="24" t="s">
        <v>310</v>
      </c>
      <c r="D19" s="24">
        <v>32</v>
      </c>
    </row>
    <row r="20" spans="1:4" x14ac:dyDescent="0.3">
      <c r="A20" s="8" t="s">
        <v>641</v>
      </c>
      <c r="B20" s="9">
        <v>9</v>
      </c>
      <c r="C20" s="24" t="s">
        <v>310</v>
      </c>
      <c r="D20" s="24">
        <v>9</v>
      </c>
    </row>
    <row r="21" spans="1:4" x14ac:dyDescent="0.3">
      <c r="A21" s="8" t="s">
        <v>35</v>
      </c>
      <c r="B21" s="9">
        <v>8</v>
      </c>
      <c r="C21" s="24" t="s">
        <v>35</v>
      </c>
      <c r="D21" s="24">
        <v>8</v>
      </c>
    </row>
    <row r="22" spans="1:4" x14ac:dyDescent="0.3">
      <c r="A22" s="8" t="s">
        <v>277</v>
      </c>
      <c r="B22" s="9">
        <v>32</v>
      </c>
      <c r="C22" s="24" t="s">
        <v>277</v>
      </c>
      <c r="D22" s="24">
        <v>32</v>
      </c>
    </row>
    <row r="23" spans="1:4" x14ac:dyDescent="0.3">
      <c r="A23" s="8" t="s">
        <v>206</v>
      </c>
      <c r="B23" s="9">
        <v>16</v>
      </c>
      <c r="C23" s="24" t="s">
        <v>206</v>
      </c>
      <c r="D23" s="24">
        <v>16</v>
      </c>
    </row>
    <row r="24" spans="1:4" x14ac:dyDescent="0.3">
      <c r="A24" s="8" t="s">
        <v>312</v>
      </c>
      <c r="B24" s="9">
        <v>7</v>
      </c>
      <c r="C24" s="24" t="s">
        <v>312</v>
      </c>
      <c r="D24" s="24">
        <v>7</v>
      </c>
    </row>
    <row r="25" spans="1:4" x14ac:dyDescent="0.3">
      <c r="A25" s="8" t="s">
        <v>199</v>
      </c>
      <c r="B25" s="9">
        <v>18</v>
      </c>
      <c r="C25" s="24" t="s">
        <v>199</v>
      </c>
      <c r="D25" s="24">
        <v>18</v>
      </c>
    </row>
    <row r="26" spans="1:4" x14ac:dyDescent="0.3">
      <c r="A26" s="8" t="s">
        <v>276</v>
      </c>
      <c r="B26" s="9">
        <v>10</v>
      </c>
      <c r="C26" s="24" t="s">
        <v>276</v>
      </c>
      <c r="D26" s="24">
        <v>10</v>
      </c>
    </row>
    <row r="27" spans="1:4" x14ac:dyDescent="0.3">
      <c r="A27" s="8" t="s">
        <v>295</v>
      </c>
      <c r="B27" s="9">
        <v>14</v>
      </c>
      <c r="C27" s="24" t="s">
        <v>295</v>
      </c>
      <c r="D27" s="24">
        <v>14</v>
      </c>
    </row>
    <row r="28" spans="1:4" x14ac:dyDescent="0.3">
      <c r="A28" s="8" t="s">
        <v>113</v>
      </c>
      <c r="B28" s="9">
        <v>54</v>
      </c>
      <c r="C28" s="24" t="s">
        <v>113</v>
      </c>
      <c r="D28" s="24">
        <v>54</v>
      </c>
    </row>
    <row r="29" spans="1:4" x14ac:dyDescent="0.3">
      <c r="A29" s="8" t="s">
        <v>62</v>
      </c>
      <c r="B29" s="9">
        <v>11</v>
      </c>
      <c r="C29" s="24" t="s">
        <v>62</v>
      </c>
      <c r="D29" s="24">
        <v>11</v>
      </c>
    </row>
    <row r="30" spans="1:4" x14ac:dyDescent="0.3">
      <c r="A30" s="8" t="s">
        <v>238</v>
      </c>
      <c r="B30" s="9">
        <v>9</v>
      </c>
      <c r="C30" s="24" t="s">
        <v>238</v>
      </c>
      <c r="D30" s="24">
        <v>9</v>
      </c>
    </row>
    <row r="31" spans="1:4" x14ac:dyDescent="0.3">
      <c r="A31" s="8" t="s">
        <v>581</v>
      </c>
      <c r="B31" s="9">
        <v>16</v>
      </c>
      <c r="C31" s="24" t="s">
        <v>581</v>
      </c>
      <c r="D31" s="24">
        <v>16</v>
      </c>
    </row>
    <row r="32" spans="1:4" x14ac:dyDescent="0.3">
      <c r="A32" s="8" t="s">
        <v>307</v>
      </c>
      <c r="B32" s="9">
        <v>2</v>
      </c>
      <c r="C32" s="24" t="s">
        <v>307</v>
      </c>
      <c r="D32" s="24">
        <v>2</v>
      </c>
    </row>
    <row r="33" spans="1:7" x14ac:dyDescent="0.3">
      <c r="A33" s="8" t="s">
        <v>174</v>
      </c>
      <c r="B33" s="9">
        <v>3</v>
      </c>
      <c r="C33" s="24" t="s">
        <v>174</v>
      </c>
      <c r="D33" s="24">
        <v>3</v>
      </c>
    </row>
    <row r="34" spans="1:7" x14ac:dyDescent="0.3">
      <c r="A34" s="8" t="s">
        <v>515</v>
      </c>
      <c r="B34" s="9">
        <v>2</v>
      </c>
      <c r="C34" s="24" t="s">
        <v>515</v>
      </c>
      <c r="D34" s="24">
        <v>2</v>
      </c>
    </row>
    <row r="35" spans="1:7" x14ac:dyDescent="0.3">
      <c r="A35" s="8" t="s">
        <v>749</v>
      </c>
      <c r="B35" s="9">
        <v>481</v>
      </c>
    </row>
    <row r="43" spans="1:7" x14ac:dyDescent="0.3">
      <c r="A43" s="7" t="s">
        <v>759</v>
      </c>
      <c r="B43" t="s">
        <v>760</v>
      </c>
      <c r="C43" t="s">
        <v>762</v>
      </c>
      <c r="D43" s="26" t="s">
        <v>759</v>
      </c>
      <c r="E43" s="26" t="s">
        <v>760</v>
      </c>
      <c r="F43" s="26" t="s">
        <v>762</v>
      </c>
      <c r="G43" s="26" t="s">
        <v>763</v>
      </c>
    </row>
    <row r="44" spans="1:7" x14ac:dyDescent="0.3">
      <c r="A44" s="8" t="s">
        <v>142</v>
      </c>
      <c r="B44" s="9">
        <v>24</v>
      </c>
      <c r="C44" s="9">
        <v>11</v>
      </c>
      <c r="D44" s="24" t="s">
        <v>310</v>
      </c>
      <c r="E44" s="24">
        <v>45</v>
      </c>
      <c r="F44" s="24">
        <v>32</v>
      </c>
      <c r="G44" s="27">
        <f t="shared" ref="G44:G75" si="0">C44/B44</f>
        <v>0.45833333333333331</v>
      </c>
    </row>
    <row r="45" spans="1:7" x14ac:dyDescent="0.3">
      <c r="A45" s="8" t="s">
        <v>23</v>
      </c>
      <c r="B45" s="9">
        <v>24</v>
      </c>
      <c r="C45" s="9">
        <v>11</v>
      </c>
      <c r="D45" s="24" t="s">
        <v>24</v>
      </c>
      <c r="E45" s="24">
        <v>26</v>
      </c>
      <c r="F45" s="24">
        <v>18</v>
      </c>
      <c r="G45" s="27">
        <f t="shared" si="0"/>
        <v>0.45833333333333331</v>
      </c>
    </row>
    <row r="46" spans="1:7" x14ac:dyDescent="0.3">
      <c r="A46" s="8" t="s">
        <v>280</v>
      </c>
      <c r="B46" s="9">
        <v>59</v>
      </c>
      <c r="C46" s="9">
        <v>28</v>
      </c>
      <c r="D46" s="24" t="s">
        <v>143</v>
      </c>
      <c r="E46" s="24">
        <v>89</v>
      </c>
      <c r="F46" s="24">
        <v>60</v>
      </c>
      <c r="G46" s="27">
        <f t="shared" si="0"/>
        <v>0.47457627118644069</v>
      </c>
    </row>
    <row r="47" spans="1:7" x14ac:dyDescent="0.3">
      <c r="A47" s="8" t="s">
        <v>53</v>
      </c>
      <c r="B47" s="9">
        <v>40</v>
      </c>
      <c r="C47" s="9">
        <v>22</v>
      </c>
      <c r="D47" s="24" t="s">
        <v>276</v>
      </c>
      <c r="E47" s="24">
        <v>15</v>
      </c>
      <c r="F47" s="24">
        <v>10</v>
      </c>
      <c r="G47" s="27">
        <f t="shared" si="0"/>
        <v>0.55000000000000004</v>
      </c>
    </row>
    <row r="48" spans="1:7" x14ac:dyDescent="0.3">
      <c r="A48" s="8" t="s">
        <v>179</v>
      </c>
      <c r="B48" s="9">
        <v>47</v>
      </c>
      <c r="C48" s="9">
        <v>18</v>
      </c>
      <c r="D48" s="24" t="s">
        <v>310</v>
      </c>
      <c r="E48" s="24">
        <v>14</v>
      </c>
      <c r="F48" s="24">
        <v>9</v>
      </c>
      <c r="G48" s="27">
        <f t="shared" si="0"/>
        <v>0.38297872340425532</v>
      </c>
    </row>
    <row r="49" spans="1:7" x14ac:dyDescent="0.3">
      <c r="A49" s="8" t="s">
        <v>143</v>
      </c>
      <c r="B49" s="9">
        <v>89</v>
      </c>
      <c r="C49" s="9">
        <v>60</v>
      </c>
      <c r="D49" s="24" t="s">
        <v>143</v>
      </c>
      <c r="E49" s="24">
        <v>8</v>
      </c>
      <c r="F49" s="24">
        <v>5</v>
      </c>
      <c r="G49" s="27">
        <f t="shared" si="0"/>
        <v>0.6741573033707865</v>
      </c>
    </row>
    <row r="50" spans="1:7" x14ac:dyDescent="0.3">
      <c r="A50" s="8" t="s">
        <v>635</v>
      </c>
      <c r="B50" s="9">
        <v>8</v>
      </c>
      <c r="C50" s="9">
        <v>5</v>
      </c>
      <c r="D50" s="24" t="s">
        <v>113</v>
      </c>
      <c r="E50" s="24">
        <v>93</v>
      </c>
      <c r="F50" s="24">
        <v>54</v>
      </c>
      <c r="G50" s="27">
        <f t="shared" si="0"/>
        <v>0.625</v>
      </c>
    </row>
    <row r="51" spans="1:7" x14ac:dyDescent="0.3">
      <c r="A51" s="8" t="s">
        <v>293</v>
      </c>
      <c r="B51" s="9">
        <v>12</v>
      </c>
      <c r="C51" s="9">
        <v>4</v>
      </c>
      <c r="D51" s="24" t="s">
        <v>160</v>
      </c>
      <c r="E51" s="24">
        <v>52</v>
      </c>
      <c r="F51" s="24">
        <v>30</v>
      </c>
      <c r="G51" s="27">
        <f t="shared" si="0"/>
        <v>0.33333333333333331</v>
      </c>
    </row>
    <row r="52" spans="1:7" x14ac:dyDescent="0.3">
      <c r="A52" s="8" t="s">
        <v>694</v>
      </c>
      <c r="B52" s="9">
        <v>12</v>
      </c>
      <c r="C52" s="9">
        <v>3</v>
      </c>
      <c r="D52" s="24" t="s">
        <v>53</v>
      </c>
      <c r="E52" s="24">
        <v>40</v>
      </c>
      <c r="F52" s="24">
        <v>22</v>
      </c>
      <c r="G52" s="27">
        <f t="shared" si="0"/>
        <v>0.25</v>
      </c>
    </row>
    <row r="53" spans="1:7" x14ac:dyDescent="0.3">
      <c r="A53" s="8" t="s">
        <v>585</v>
      </c>
      <c r="B53" s="9">
        <v>12</v>
      </c>
      <c r="C53" s="9">
        <v>3</v>
      </c>
      <c r="D53" s="24" t="s">
        <v>287</v>
      </c>
      <c r="E53" s="24">
        <v>13</v>
      </c>
      <c r="F53" s="24">
        <v>7</v>
      </c>
      <c r="G53" s="27">
        <f t="shared" si="0"/>
        <v>0.25</v>
      </c>
    </row>
    <row r="54" spans="1:7" x14ac:dyDescent="0.3">
      <c r="A54" s="8" t="s">
        <v>160</v>
      </c>
      <c r="B54" s="9">
        <v>52</v>
      </c>
      <c r="C54" s="9">
        <v>30</v>
      </c>
      <c r="D54" s="24" t="s">
        <v>295</v>
      </c>
      <c r="E54" s="24">
        <v>26</v>
      </c>
      <c r="F54" s="24">
        <v>14</v>
      </c>
      <c r="G54" s="27">
        <f t="shared" si="0"/>
        <v>0.57692307692307687</v>
      </c>
    </row>
    <row r="55" spans="1:7" x14ac:dyDescent="0.3">
      <c r="A55" s="8" t="s">
        <v>24</v>
      </c>
      <c r="B55" s="9">
        <v>26</v>
      </c>
      <c r="C55" s="9">
        <v>18</v>
      </c>
      <c r="D55" s="24" t="s">
        <v>41</v>
      </c>
      <c r="E55" s="24">
        <v>24</v>
      </c>
      <c r="F55" s="24">
        <v>12</v>
      </c>
      <c r="G55" s="27">
        <f t="shared" si="0"/>
        <v>0.69230769230769229</v>
      </c>
    </row>
    <row r="56" spans="1:7" x14ac:dyDescent="0.3">
      <c r="A56" s="8" t="s">
        <v>287</v>
      </c>
      <c r="B56" s="9">
        <v>13</v>
      </c>
      <c r="C56" s="9">
        <v>7</v>
      </c>
      <c r="D56" s="24" t="s">
        <v>62</v>
      </c>
      <c r="E56" s="24">
        <v>23</v>
      </c>
      <c r="F56" s="24">
        <v>11</v>
      </c>
      <c r="G56" s="27">
        <f t="shared" si="0"/>
        <v>0.53846153846153844</v>
      </c>
    </row>
    <row r="57" spans="1:7" x14ac:dyDescent="0.3">
      <c r="A57" s="8" t="s">
        <v>693</v>
      </c>
      <c r="B57" s="9">
        <v>11</v>
      </c>
      <c r="C57" s="9">
        <v>5</v>
      </c>
      <c r="D57" s="24" t="s">
        <v>280</v>
      </c>
      <c r="E57" s="24">
        <v>59</v>
      </c>
      <c r="F57" s="24">
        <v>28</v>
      </c>
      <c r="G57" s="27">
        <f t="shared" si="0"/>
        <v>0.45454545454545453</v>
      </c>
    </row>
    <row r="58" spans="1:7" x14ac:dyDescent="0.3">
      <c r="A58" s="8" t="s">
        <v>636</v>
      </c>
      <c r="B58" s="9">
        <v>12</v>
      </c>
      <c r="C58" s="9">
        <v>1</v>
      </c>
      <c r="D58" s="24" t="s">
        <v>312</v>
      </c>
      <c r="E58" s="24">
        <v>15</v>
      </c>
      <c r="F58" s="24">
        <v>7</v>
      </c>
      <c r="G58" s="27">
        <f t="shared" si="0"/>
        <v>8.3333333333333329E-2</v>
      </c>
    </row>
    <row r="59" spans="1:7" x14ac:dyDescent="0.3">
      <c r="A59" s="8" t="s">
        <v>41</v>
      </c>
      <c r="B59" s="9">
        <v>24</v>
      </c>
      <c r="C59" s="9">
        <v>12</v>
      </c>
      <c r="D59" s="24" t="s">
        <v>277</v>
      </c>
      <c r="E59" s="24">
        <v>69</v>
      </c>
      <c r="F59" s="24">
        <v>32</v>
      </c>
      <c r="G59" s="27">
        <f t="shared" si="0"/>
        <v>0.5</v>
      </c>
    </row>
    <row r="60" spans="1:7" x14ac:dyDescent="0.3">
      <c r="A60" s="8" t="s">
        <v>310</v>
      </c>
      <c r="B60" s="9">
        <v>45</v>
      </c>
      <c r="C60" s="9">
        <v>32</v>
      </c>
      <c r="D60" s="24" t="s">
        <v>199</v>
      </c>
      <c r="E60" s="24">
        <v>39</v>
      </c>
      <c r="F60" s="24">
        <v>18</v>
      </c>
      <c r="G60" s="27">
        <f t="shared" si="0"/>
        <v>0.71111111111111114</v>
      </c>
    </row>
    <row r="61" spans="1:7" x14ac:dyDescent="0.3">
      <c r="A61" s="8" t="s">
        <v>641</v>
      </c>
      <c r="B61" s="9">
        <v>14</v>
      </c>
      <c r="C61" s="9">
        <v>9</v>
      </c>
      <c r="D61" s="24" t="s">
        <v>142</v>
      </c>
      <c r="E61" s="24">
        <v>24</v>
      </c>
      <c r="F61" s="24">
        <v>11</v>
      </c>
      <c r="G61" s="27">
        <f t="shared" si="0"/>
        <v>0.6428571428571429</v>
      </c>
    </row>
    <row r="62" spans="1:7" x14ac:dyDescent="0.3">
      <c r="A62" s="8" t="s">
        <v>35</v>
      </c>
      <c r="B62" s="9">
        <v>22</v>
      </c>
      <c r="C62" s="9">
        <v>8</v>
      </c>
      <c r="D62" s="24" t="s">
        <v>23</v>
      </c>
      <c r="E62" s="24">
        <v>24</v>
      </c>
      <c r="F62" s="24">
        <v>11</v>
      </c>
      <c r="G62" s="27">
        <f t="shared" si="0"/>
        <v>0.36363636363636365</v>
      </c>
    </row>
    <row r="63" spans="1:7" x14ac:dyDescent="0.3">
      <c r="A63" s="8" t="s">
        <v>277</v>
      </c>
      <c r="B63" s="9">
        <v>69</v>
      </c>
      <c r="C63" s="9">
        <v>32</v>
      </c>
      <c r="D63" s="24" t="s">
        <v>693</v>
      </c>
      <c r="E63" s="24">
        <v>11</v>
      </c>
      <c r="F63" s="24">
        <v>5</v>
      </c>
      <c r="G63" s="27">
        <f t="shared" si="0"/>
        <v>0.46376811594202899</v>
      </c>
    </row>
    <row r="64" spans="1:7" x14ac:dyDescent="0.3">
      <c r="A64" s="8" t="s">
        <v>206</v>
      </c>
      <c r="B64" s="9">
        <v>38</v>
      </c>
      <c r="C64" s="9">
        <v>16</v>
      </c>
      <c r="D64" s="24" t="s">
        <v>206</v>
      </c>
      <c r="E64" s="24">
        <v>38</v>
      </c>
      <c r="F64" s="24">
        <v>16</v>
      </c>
      <c r="G64" s="27">
        <f t="shared" si="0"/>
        <v>0.42105263157894735</v>
      </c>
    </row>
    <row r="65" spans="1:7" x14ac:dyDescent="0.3">
      <c r="A65" s="8" t="s">
        <v>312</v>
      </c>
      <c r="B65" s="9">
        <v>15</v>
      </c>
      <c r="C65" s="9">
        <v>7</v>
      </c>
      <c r="D65" s="24" t="s">
        <v>581</v>
      </c>
      <c r="E65" s="24">
        <v>39</v>
      </c>
      <c r="F65" s="24">
        <v>16</v>
      </c>
      <c r="G65" s="27">
        <f t="shared" si="0"/>
        <v>0.46666666666666667</v>
      </c>
    </row>
    <row r="66" spans="1:7" x14ac:dyDescent="0.3">
      <c r="A66" s="8" t="s">
        <v>199</v>
      </c>
      <c r="B66" s="9">
        <v>39</v>
      </c>
      <c r="C66" s="9">
        <v>18</v>
      </c>
      <c r="D66" s="24" t="s">
        <v>238</v>
      </c>
      <c r="E66" s="24">
        <v>23</v>
      </c>
      <c r="F66" s="24">
        <v>9</v>
      </c>
      <c r="G66" s="27">
        <f t="shared" si="0"/>
        <v>0.46153846153846156</v>
      </c>
    </row>
    <row r="67" spans="1:7" x14ac:dyDescent="0.3">
      <c r="A67" s="8" t="s">
        <v>276</v>
      </c>
      <c r="B67" s="9">
        <v>15</v>
      </c>
      <c r="C67" s="9">
        <v>10</v>
      </c>
      <c r="D67" s="24" t="s">
        <v>179</v>
      </c>
      <c r="E67" s="24">
        <v>47</v>
      </c>
      <c r="F67" s="24">
        <v>18</v>
      </c>
      <c r="G67" s="27">
        <f t="shared" si="0"/>
        <v>0.66666666666666663</v>
      </c>
    </row>
    <row r="68" spans="1:7" x14ac:dyDescent="0.3">
      <c r="A68" s="8" t="s">
        <v>295</v>
      </c>
      <c r="B68" s="9">
        <v>26</v>
      </c>
      <c r="C68" s="9">
        <v>14</v>
      </c>
      <c r="D68" s="24" t="s">
        <v>35</v>
      </c>
      <c r="E68" s="24">
        <v>22</v>
      </c>
      <c r="F68" s="24">
        <v>8</v>
      </c>
      <c r="G68" s="27">
        <f t="shared" si="0"/>
        <v>0.53846153846153844</v>
      </c>
    </row>
    <row r="69" spans="1:7" x14ac:dyDescent="0.3">
      <c r="A69" s="8" t="s">
        <v>113</v>
      </c>
      <c r="B69" s="9">
        <v>93</v>
      </c>
      <c r="C69" s="9">
        <v>54</v>
      </c>
      <c r="D69" s="24" t="s">
        <v>293</v>
      </c>
      <c r="E69" s="24">
        <v>12</v>
      </c>
      <c r="F69" s="24">
        <v>4</v>
      </c>
      <c r="G69" s="27">
        <f t="shared" si="0"/>
        <v>0.58064516129032262</v>
      </c>
    </row>
    <row r="70" spans="1:7" x14ac:dyDescent="0.3">
      <c r="A70" s="8" t="s">
        <v>62</v>
      </c>
      <c r="B70" s="9">
        <v>23</v>
      </c>
      <c r="C70" s="9">
        <v>11</v>
      </c>
      <c r="D70" s="24" t="s">
        <v>174</v>
      </c>
      <c r="E70" s="24">
        <v>10</v>
      </c>
      <c r="F70" s="24">
        <v>3</v>
      </c>
      <c r="G70" s="27">
        <f t="shared" si="0"/>
        <v>0.47826086956521741</v>
      </c>
    </row>
    <row r="71" spans="1:7" x14ac:dyDescent="0.3">
      <c r="A71" s="8" t="s">
        <v>238</v>
      </c>
      <c r="B71" s="9">
        <v>23</v>
      </c>
      <c r="C71" s="9">
        <v>9</v>
      </c>
      <c r="D71" s="24" t="s">
        <v>694</v>
      </c>
      <c r="E71" s="24">
        <v>12</v>
      </c>
      <c r="F71" s="24">
        <v>3</v>
      </c>
      <c r="G71" s="27">
        <f t="shared" si="0"/>
        <v>0.39130434782608697</v>
      </c>
    </row>
    <row r="72" spans="1:7" x14ac:dyDescent="0.3">
      <c r="A72" s="8" t="s">
        <v>581</v>
      </c>
      <c r="B72" s="9">
        <v>39</v>
      </c>
      <c r="C72" s="9">
        <v>16</v>
      </c>
      <c r="D72" s="24" t="s">
        <v>585</v>
      </c>
      <c r="E72" s="24">
        <v>12</v>
      </c>
      <c r="F72" s="24">
        <v>3</v>
      </c>
      <c r="G72" s="27">
        <f t="shared" si="0"/>
        <v>0.41025641025641024</v>
      </c>
    </row>
    <row r="73" spans="1:7" x14ac:dyDescent="0.3">
      <c r="A73" s="8" t="s">
        <v>307</v>
      </c>
      <c r="B73" s="9">
        <v>14</v>
      </c>
      <c r="C73" s="9">
        <v>2</v>
      </c>
      <c r="D73" s="24" t="s">
        <v>515</v>
      </c>
      <c r="E73" s="24">
        <v>12</v>
      </c>
      <c r="F73" s="24">
        <v>2</v>
      </c>
      <c r="G73" s="27">
        <f t="shared" si="0"/>
        <v>0.14285714285714285</v>
      </c>
    </row>
    <row r="74" spans="1:7" x14ac:dyDescent="0.3">
      <c r="A74" s="8" t="s">
        <v>174</v>
      </c>
      <c r="B74" s="9">
        <v>10</v>
      </c>
      <c r="C74" s="9">
        <v>3</v>
      </c>
      <c r="D74" s="24" t="s">
        <v>307</v>
      </c>
      <c r="E74" s="24">
        <v>14</v>
      </c>
      <c r="F74" s="24">
        <v>2</v>
      </c>
      <c r="G74" s="27">
        <f t="shared" si="0"/>
        <v>0.3</v>
      </c>
    </row>
    <row r="75" spans="1:7" x14ac:dyDescent="0.3">
      <c r="A75" s="8" t="s">
        <v>515</v>
      </c>
      <c r="B75" s="9">
        <v>12</v>
      </c>
      <c r="C75" s="9">
        <v>2</v>
      </c>
      <c r="D75" s="24" t="s">
        <v>636</v>
      </c>
      <c r="E75" s="24">
        <v>12</v>
      </c>
      <c r="F75" s="24">
        <v>1</v>
      </c>
      <c r="G75" s="27">
        <f t="shared" si="0"/>
        <v>0.16666666666666666</v>
      </c>
    </row>
    <row r="76" spans="1:7" x14ac:dyDescent="0.3">
      <c r="A76" s="8" t="s">
        <v>749</v>
      </c>
      <c r="B76" s="9">
        <v>962</v>
      </c>
      <c r="C76" s="9">
        <v>481</v>
      </c>
    </row>
    <row r="84" spans="1:9" x14ac:dyDescent="0.3">
      <c r="A84" s="7" t="s">
        <v>759</v>
      </c>
      <c r="B84" t="s">
        <v>764</v>
      </c>
      <c r="C84" t="s">
        <v>765</v>
      </c>
      <c r="D84" t="s">
        <v>750</v>
      </c>
      <c r="E84" s="26" t="s">
        <v>759</v>
      </c>
      <c r="F84" s="28" t="s">
        <v>764</v>
      </c>
      <c r="G84" s="28" t="s">
        <v>765</v>
      </c>
      <c r="H84" s="28" t="s">
        <v>750</v>
      </c>
      <c r="I84" s="26" t="s">
        <v>767</v>
      </c>
    </row>
    <row r="85" spans="1:9" x14ac:dyDescent="0.3">
      <c r="A85" s="8" t="s">
        <v>142</v>
      </c>
      <c r="B85" s="10">
        <v>141</v>
      </c>
      <c r="C85" s="10">
        <v>131.58333333333334</v>
      </c>
      <c r="D85" s="10">
        <v>24</v>
      </c>
      <c r="E85" s="24" t="s">
        <v>142</v>
      </c>
      <c r="F85" s="29">
        <v>141</v>
      </c>
      <c r="G85" s="29">
        <v>132</v>
      </c>
      <c r="H85" s="29">
        <v>24</v>
      </c>
      <c r="I85" s="29">
        <f t="shared" ref="I85:I116" si="1">(B85*(D85/2)+C85*(D85/2))/D85</f>
        <v>136.29166666666666</v>
      </c>
    </row>
    <row r="86" spans="1:9" x14ac:dyDescent="0.3">
      <c r="A86" s="8" t="s">
        <v>23</v>
      </c>
      <c r="B86" s="10">
        <v>155.375</v>
      </c>
      <c r="C86" s="10">
        <v>151.16666666666666</v>
      </c>
      <c r="D86" s="10">
        <v>24</v>
      </c>
      <c r="E86" s="24" t="s">
        <v>23</v>
      </c>
      <c r="F86" s="29">
        <v>155</v>
      </c>
      <c r="G86" s="29">
        <v>151</v>
      </c>
      <c r="H86" s="29">
        <v>24</v>
      </c>
      <c r="I86" s="29">
        <f t="shared" si="1"/>
        <v>153.27083333333334</v>
      </c>
    </row>
    <row r="87" spans="1:9" x14ac:dyDescent="0.3">
      <c r="A87" s="8" t="s">
        <v>280</v>
      </c>
      <c r="B87" s="10">
        <v>160.15254237288136</v>
      </c>
      <c r="C87" s="10">
        <v>150.32203389830508</v>
      </c>
      <c r="D87" s="10">
        <v>59</v>
      </c>
      <c r="E87" s="24" t="s">
        <v>280</v>
      </c>
      <c r="F87" s="29">
        <v>160</v>
      </c>
      <c r="G87" s="29">
        <v>150</v>
      </c>
      <c r="H87" s="29">
        <v>59</v>
      </c>
      <c r="I87" s="29">
        <f t="shared" si="1"/>
        <v>155.23728813559322</v>
      </c>
    </row>
    <row r="88" spans="1:9" x14ac:dyDescent="0.3">
      <c r="A88" s="8" t="s">
        <v>53</v>
      </c>
      <c r="B88" s="10">
        <v>161.80000000000001</v>
      </c>
      <c r="C88" s="10">
        <v>136.875</v>
      </c>
      <c r="D88" s="10">
        <v>40</v>
      </c>
      <c r="E88" s="24" t="s">
        <v>53</v>
      </c>
      <c r="F88" s="29">
        <v>162</v>
      </c>
      <c r="G88" s="29">
        <v>137</v>
      </c>
      <c r="H88" s="29">
        <v>40</v>
      </c>
      <c r="I88" s="29">
        <f t="shared" si="1"/>
        <v>149.33750000000001</v>
      </c>
    </row>
    <row r="89" spans="1:9" x14ac:dyDescent="0.3">
      <c r="A89" s="8" t="s">
        <v>179</v>
      </c>
      <c r="B89" s="10">
        <v>154.85106382978722</v>
      </c>
      <c r="C89" s="10">
        <v>145.17021276595744</v>
      </c>
      <c r="D89" s="10">
        <v>47</v>
      </c>
      <c r="E89" s="24" t="s">
        <v>179</v>
      </c>
      <c r="F89" s="29">
        <v>155</v>
      </c>
      <c r="G89" s="29">
        <v>145</v>
      </c>
      <c r="H89" s="29">
        <v>47</v>
      </c>
      <c r="I89" s="29">
        <f t="shared" si="1"/>
        <v>150.01063829787233</v>
      </c>
    </row>
    <row r="90" spans="1:9" x14ac:dyDescent="0.3">
      <c r="A90" s="8" t="s">
        <v>143</v>
      </c>
      <c r="B90" s="10">
        <v>150.02247191011236</v>
      </c>
      <c r="C90" s="10">
        <v>136.22471910112358</v>
      </c>
      <c r="D90" s="10">
        <v>89</v>
      </c>
      <c r="E90" s="24" t="s">
        <v>143</v>
      </c>
      <c r="F90" s="29">
        <v>150</v>
      </c>
      <c r="G90" s="29">
        <v>136</v>
      </c>
      <c r="H90" s="29">
        <v>89</v>
      </c>
      <c r="I90" s="29">
        <f t="shared" si="1"/>
        <v>143.12359550561797</v>
      </c>
    </row>
    <row r="91" spans="1:9" x14ac:dyDescent="0.3">
      <c r="A91" s="8" t="s">
        <v>635</v>
      </c>
      <c r="B91" s="10">
        <v>163.25</v>
      </c>
      <c r="C91" s="10">
        <v>143.375</v>
      </c>
      <c r="D91" s="10">
        <v>8</v>
      </c>
      <c r="E91" s="24" t="s">
        <v>143</v>
      </c>
      <c r="F91" s="29">
        <v>163</v>
      </c>
      <c r="G91" s="29">
        <v>143</v>
      </c>
      <c r="H91" s="29">
        <v>8</v>
      </c>
      <c r="I91" s="29">
        <f t="shared" si="1"/>
        <v>153.3125</v>
      </c>
    </row>
    <row r="92" spans="1:9" x14ac:dyDescent="0.3">
      <c r="A92" s="8" t="s">
        <v>293</v>
      </c>
      <c r="B92" s="10">
        <v>177.41666666666666</v>
      </c>
      <c r="C92" s="10">
        <v>154.41666666666666</v>
      </c>
      <c r="D92" s="10">
        <v>12</v>
      </c>
      <c r="E92" s="24" t="s">
        <v>293</v>
      </c>
      <c r="F92" s="29">
        <v>177</v>
      </c>
      <c r="G92" s="29">
        <v>154</v>
      </c>
      <c r="H92" s="29">
        <v>12</v>
      </c>
      <c r="I92" s="29">
        <f t="shared" si="1"/>
        <v>165.91666666666666</v>
      </c>
    </row>
    <row r="93" spans="1:9" x14ac:dyDescent="0.3">
      <c r="A93" s="8" t="s">
        <v>694</v>
      </c>
      <c r="B93" s="10">
        <v>163.08333333333334</v>
      </c>
      <c r="C93" s="10">
        <v>147.08333333333334</v>
      </c>
      <c r="D93" s="10">
        <v>12</v>
      </c>
      <c r="E93" s="24" t="s">
        <v>694</v>
      </c>
      <c r="F93" s="29">
        <v>163</v>
      </c>
      <c r="G93" s="29">
        <v>147</v>
      </c>
      <c r="H93" s="29">
        <v>12</v>
      </c>
      <c r="I93" s="29">
        <f t="shared" si="1"/>
        <v>155.08333333333334</v>
      </c>
    </row>
    <row r="94" spans="1:9" x14ac:dyDescent="0.3">
      <c r="A94" s="8" t="s">
        <v>585</v>
      </c>
      <c r="B94" s="10">
        <v>148.08333333333334</v>
      </c>
      <c r="C94" s="10">
        <v>132.25</v>
      </c>
      <c r="D94" s="10">
        <v>12</v>
      </c>
      <c r="E94" s="24" t="s">
        <v>585</v>
      </c>
      <c r="F94" s="29">
        <v>148</v>
      </c>
      <c r="G94" s="29">
        <v>132</v>
      </c>
      <c r="H94" s="29">
        <v>12</v>
      </c>
      <c r="I94" s="29">
        <f t="shared" si="1"/>
        <v>140.16666666666666</v>
      </c>
    </row>
    <row r="95" spans="1:9" x14ac:dyDescent="0.3">
      <c r="A95" s="8" t="s">
        <v>160</v>
      </c>
      <c r="B95" s="10">
        <v>157.25</v>
      </c>
      <c r="C95" s="10">
        <v>134.86538461538461</v>
      </c>
      <c r="D95" s="10">
        <v>52</v>
      </c>
      <c r="E95" s="24" t="s">
        <v>160</v>
      </c>
      <c r="F95" s="29">
        <v>157</v>
      </c>
      <c r="G95" s="29">
        <v>135</v>
      </c>
      <c r="H95" s="29">
        <v>52</v>
      </c>
      <c r="I95" s="29">
        <f t="shared" si="1"/>
        <v>146.05769230769232</v>
      </c>
    </row>
    <row r="96" spans="1:9" x14ac:dyDescent="0.3">
      <c r="A96" s="8" t="s">
        <v>24</v>
      </c>
      <c r="B96" s="10">
        <v>157.84615384615384</v>
      </c>
      <c r="C96" s="10">
        <v>141.96153846153845</v>
      </c>
      <c r="D96" s="10">
        <v>26</v>
      </c>
      <c r="E96" s="24" t="s">
        <v>24</v>
      </c>
      <c r="F96" s="29">
        <v>158</v>
      </c>
      <c r="G96" s="29">
        <v>142</v>
      </c>
      <c r="H96" s="29">
        <v>26</v>
      </c>
      <c r="I96" s="29">
        <f t="shared" si="1"/>
        <v>149.90384615384616</v>
      </c>
    </row>
    <row r="97" spans="1:9" x14ac:dyDescent="0.3">
      <c r="A97" s="8" t="s">
        <v>287</v>
      </c>
      <c r="B97" s="10">
        <v>166.46153846153845</v>
      </c>
      <c r="C97" s="10">
        <v>150.46153846153845</v>
      </c>
      <c r="D97" s="10">
        <v>13</v>
      </c>
      <c r="E97" s="24" t="s">
        <v>287</v>
      </c>
      <c r="F97" s="29">
        <v>166</v>
      </c>
      <c r="G97" s="29">
        <v>150</v>
      </c>
      <c r="H97" s="29">
        <v>13</v>
      </c>
      <c r="I97" s="29">
        <f t="shared" si="1"/>
        <v>158.46153846153845</v>
      </c>
    </row>
    <row r="98" spans="1:9" x14ac:dyDescent="0.3">
      <c r="A98" s="8" t="s">
        <v>693</v>
      </c>
      <c r="B98" s="10">
        <v>187.54545454545453</v>
      </c>
      <c r="C98" s="10">
        <v>143.72727272727272</v>
      </c>
      <c r="D98" s="10">
        <v>11</v>
      </c>
      <c r="E98" s="24" t="s">
        <v>693</v>
      </c>
      <c r="F98" s="29">
        <v>188</v>
      </c>
      <c r="G98" s="29">
        <v>144</v>
      </c>
      <c r="H98" s="29">
        <v>11</v>
      </c>
      <c r="I98" s="29">
        <f t="shared" si="1"/>
        <v>165.63636363636363</v>
      </c>
    </row>
    <row r="99" spans="1:9" x14ac:dyDescent="0.3">
      <c r="A99" s="8" t="s">
        <v>636</v>
      </c>
      <c r="B99" s="10">
        <v>155.83333333333334</v>
      </c>
      <c r="C99" s="10">
        <v>137.83333333333334</v>
      </c>
      <c r="D99" s="10">
        <v>12</v>
      </c>
      <c r="E99" s="24" t="s">
        <v>636</v>
      </c>
      <c r="F99" s="29">
        <v>156</v>
      </c>
      <c r="G99" s="29">
        <v>138</v>
      </c>
      <c r="H99" s="29">
        <v>12</v>
      </c>
      <c r="I99" s="29">
        <f t="shared" si="1"/>
        <v>146.83333333333334</v>
      </c>
    </row>
    <row r="100" spans="1:9" x14ac:dyDescent="0.3">
      <c r="A100" s="8" t="s">
        <v>41</v>
      </c>
      <c r="B100" s="10">
        <v>155.08333333333334</v>
      </c>
      <c r="C100" s="10">
        <v>145.375</v>
      </c>
      <c r="D100" s="10">
        <v>24</v>
      </c>
      <c r="E100" s="24" t="s">
        <v>41</v>
      </c>
      <c r="F100" s="29">
        <v>155</v>
      </c>
      <c r="G100" s="29">
        <v>145</v>
      </c>
      <c r="H100" s="29">
        <v>24</v>
      </c>
      <c r="I100" s="29">
        <f t="shared" si="1"/>
        <v>150.22916666666666</v>
      </c>
    </row>
    <row r="101" spans="1:9" x14ac:dyDescent="0.3">
      <c r="A101" s="8" t="s">
        <v>310</v>
      </c>
      <c r="B101" s="10">
        <v>157.97777777777779</v>
      </c>
      <c r="C101" s="10">
        <v>149.06666666666666</v>
      </c>
      <c r="D101" s="10">
        <v>45</v>
      </c>
      <c r="E101" s="24" t="s">
        <v>310</v>
      </c>
      <c r="F101" s="29">
        <v>158</v>
      </c>
      <c r="G101" s="29">
        <v>149</v>
      </c>
      <c r="H101" s="29">
        <v>45</v>
      </c>
      <c r="I101" s="29">
        <f t="shared" si="1"/>
        <v>153.52222222222221</v>
      </c>
    </row>
    <row r="102" spans="1:9" x14ac:dyDescent="0.3">
      <c r="A102" s="8" t="s">
        <v>641</v>
      </c>
      <c r="B102" s="10">
        <v>161.78571428571428</v>
      </c>
      <c r="C102" s="10">
        <v>153</v>
      </c>
      <c r="D102" s="10">
        <v>14</v>
      </c>
      <c r="E102" s="24" t="s">
        <v>310</v>
      </c>
      <c r="F102" s="29">
        <v>162</v>
      </c>
      <c r="G102" s="29">
        <v>153</v>
      </c>
      <c r="H102" s="29">
        <v>14</v>
      </c>
      <c r="I102" s="29">
        <f t="shared" si="1"/>
        <v>157.39285714285714</v>
      </c>
    </row>
    <row r="103" spans="1:9" x14ac:dyDescent="0.3">
      <c r="A103" s="8" t="s">
        <v>35</v>
      </c>
      <c r="B103" s="10">
        <v>155.86363636363637</v>
      </c>
      <c r="C103" s="10">
        <v>139.27272727272728</v>
      </c>
      <c r="D103" s="10">
        <v>22</v>
      </c>
      <c r="E103" s="24" t="s">
        <v>35</v>
      </c>
      <c r="F103" s="29">
        <v>156</v>
      </c>
      <c r="G103" s="29">
        <v>139</v>
      </c>
      <c r="H103" s="29">
        <v>22</v>
      </c>
      <c r="I103" s="29">
        <f t="shared" si="1"/>
        <v>147.56818181818181</v>
      </c>
    </row>
    <row r="104" spans="1:9" x14ac:dyDescent="0.3">
      <c r="A104" s="8" t="s">
        <v>277</v>
      </c>
      <c r="B104" s="10">
        <v>164.33333333333334</v>
      </c>
      <c r="C104" s="10">
        <v>150.89855072463769</v>
      </c>
      <c r="D104" s="10">
        <v>69</v>
      </c>
      <c r="E104" s="24" t="s">
        <v>277</v>
      </c>
      <c r="F104" s="29">
        <v>164</v>
      </c>
      <c r="G104" s="29">
        <v>151</v>
      </c>
      <c r="H104" s="29">
        <v>69</v>
      </c>
      <c r="I104" s="29">
        <f t="shared" si="1"/>
        <v>157.6159420289855</v>
      </c>
    </row>
    <row r="105" spans="1:9" x14ac:dyDescent="0.3">
      <c r="A105" s="8" t="s">
        <v>206</v>
      </c>
      <c r="B105" s="10">
        <v>154.36842105263159</v>
      </c>
      <c r="C105" s="10">
        <v>138.84210526315789</v>
      </c>
      <c r="D105" s="10">
        <v>38</v>
      </c>
      <c r="E105" s="24" t="s">
        <v>206</v>
      </c>
      <c r="F105" s="29">
        <v>154</v>
      </c>
      <c r="G105" s="29">
        <v>139</v>
      </c>
      <c r="H105" s="29">
        <v>38</v>
      </c>
      <c r="I105" s="29">
        <f t="shared" si="1"/>
        <v>146.60526315789474</v>
      </c>
    </row>
    <row r="106" spans="1:9" x14ac:dyDescent="0.3">
      <c r="A106" s="8" t="s">
        <v>312</v>
      </c>
      <c r="B106" s="10">
        <v>150.86666666666667</v>
      </c>
      <c r="C106" s="10">
        <v>141.13333333333333</v>
      </c>
      <c r="D106" s="10">
        <v>15</v>
      </c>
      <c r="E106" s="24" t="s">
        <v>312</v>
      </c>
      <c r="F106" s="29">
        <v>151</v>
      </c>
      <c r="G106" s="29">
        <v>141</v>
      </c>
      <c r="H106" s="29">
        <v>15</v>
      </c>
      <c r="I106" s="29">
        <f t="shared" si="1"/>
        <v>146</v>
      </c>
    </row>
    <row r="107" spans="1:9" x14ac:dyDescent="0.3">
      <c r="A107" s="8" t="s">
        <v>199</v>
      </c>
      <c r="B107" s="10">
        <v>158.92307692307693</v>
      </c>
      <c r="C107" s="10">
        <v>138.64102564102564</v>
      </c>
      <c r="D107" s="10">
        <v>39</v>
      </c>
      <c r="E107" s="24" t="s">
        <v>199</v>
      </c>
      <c r="F107" s="29">
        <v>159</v>
      </c>
      <c r="G107" s="29">
        <v>139</v>
      </c>
      <c r="H107" s="29">
        <v>39</v>
      </c>
      <c r="I107" s="29">
        <f t="shared" si="1"/>
        <v>148.78205128205127</v>
      </c>
    </row>
    <row r="108" spans="1:9" x14ac:dyDescent="0.3">
      <c r="A108" s="8" t="s">
        <v>276</v>
      </c>
      <c r="B108" s="10">
        <v>160.66666666666666</v>
      </c>
      <c r="C108" s="10">
        <v>147.86666666666667</v>
      </c>
      <c r="D108" s="10">
        <v>15</v>
      </c>
      <c r="E108" s="24" t="s">
        <v>276</v>
      </c>
      <c r="F108" s="29">
        <v>161</v>
      </c>
      <c r="G108" s="29">
        <v>148</v>
      </c>
      <c r="H108" s="29">
        <v>15</v>
      </c>
      <c r="I108" s="29">
        <f t="shared" si="1"/>
        <v>154.26666666666668</v>
      </c>
    </row>
    <row r="109" spans="1:9" x14ac:dyDescent="0.3">
      <c r="A109" s="8" t="s">
        <v>295</v>
      </c>
      <c r="B109" s="10">
        <v>161.03846153846155</v>
      </c>
      <c r="C109" s="10">
        <v>139.57692307692307</v>
      </c>
      <c r="D109" s="10">
        <v>26</v>
      </c>
      <c r="E109" s="24" t="s">
        <v>295</v>
      </c>
      <c r="F109" s="29">
        <v>161</v>
      </c>
      <c r="G109" s="29">
        <v>140</v>
      </c>
      <c r="H109" s="29">
        <v>26</v>
      </c>
      <c r="I109" s="29">
        <f t="shared" si="1"/>
        <v>150.30769230769232</v>
      </c>
    </row>
    <row r="110" spans="1:9" x14ac:dyDescent="0.3">
      <c r="A110" s="8" t="s">
        <v>113</v>
      </c>
      <c r="B110" s="10">
        <v>153.8279569892473</v>
      </c>
      <c r="C110" s="10">
        <v>138.44086021505376</v>
      </c>
      <c r="D110" s="10">
        <v>93</v>
      </c>
      <c r="E110" s="24" t="s">
        <v>113</v>
      </c>
      <c r="F110" s="29">
        <v>154</v>
      </c>
      <c r="G110" s="29">
        <v>138</v>
      </c>
      <c r="H110" s="29">
        <v>93</v>
      </c>
      <c r="I110" s="29">
        <f t="shared" si="1"/>
        <v>146.13440860215053</v>
      </c>
    </row>
    <row r="111" spans="1:9" x14ac:dyDescent="0.3">
      <c r="A111" s="8" t="s">
        <v>62</v>
      </c>
      <c r="B111" s="10">
        <v>157.13043478260869</v>
      </c>
      <c r="C111" s="10">
        <v>145.65217391304347</v>
      </c>
      <c r="D111" s="10">
        <v>23</v>
      </c>
      <c r="E111" s="24" t="s">
        <v>62</v>
      </c>
      <c r="F111" s="29">
        <v>157</v>
      </c>
      <c r="G111" s="29">
        <v>146</v>
      </c>
      <c r="H111" s="29">
        <v>23</v>
      </c>
      <c r="I111" s="29">
        <f t="shared" si="1"/>
        <v>151.39130434782609</v>
      </c>
    </row>
    <row r="112" spans="1:9" x14ac:dyDescent="0.3">
      <c r="A112" s="8" t="s">
        <v>238</v>
      </c>
      <c r="B112" s="10">
        <v>157.91304347826087</v>
      </c>
      <c r="C112" s="10">
        <v>143.95652173913044</v>
      </c>
      <c r="D112" s="10">
        <v>23</v>
      </c>
      <c r="E112" s="24" t="s">
        <v>238</v>
      </c>
      <c r="F112" s="29">
        <v>158</v>
      </c>
      <c r="G112" s="29">
        <v>144</v>
      </c>
      <c r="H112" s="29">
        <v>23</v>
      </c>
      <c r="I112" s="29">
        <f t="shared" si="1"/>
        <v>150.93478260869566</v>
      </c>
    </row>
    <row r="113" spans="1:9" x14ac:dyDescent="0.3">
      <c r="A113" s="8" t="s">
        <v>581</v>
      </c>
      <c r="B113" s="10">
        <v>157.25641025641025</v>
      </c>
      <c r="C113" s="10">
        <v>144.46153846153845</v>
      </c>
      <c r="D113" s="10">
        <v>39</v>
      </c>
      <c r="E113" s="24" t="s">
        <v>581</v>
      </c>
      <c r="F113" s="29">
        <v>157</v>
      </c>
      <c r="G113" s="29">
        <v>144</v>
      </c>
      <c r="H113" s="29">
        <v>39</v>
      </c>
      <c r="I113" s="29">
        <f t="shared" si="1"/>
        <v>150.85897435897436</v>
      </c>
    </row>
    <row r="114" spans="1:9" x14ac:dyDescent="0.3">
      <c r="A114" s="8" t="s">
        <v>307</v>
      </c>
      <c r="B114" s="10">
        <v>154.64285714285714</v>
      </c>
      <c r="C114" s="10">
        <v>151.78571428571428</v>
      </c>
      <c r="D114" s="10">
        <v>14</v>
      </c>
      <c r="E114" s="24" t="s">
        <v>307</v>
      </c>
      <c r="F114" s="29">
        <v>155</v>
      </c>
      <c r="G114" s="29">
        <v>152</v>
      </c>
      <c r="H114" s="29">
        <v>14</v>
      </c>
      <c r="I114" s="29">
        <f t="shared" si="1"/>
        <v>153.21428571428572</v>
      </c>
    </row>
    <row r="115" spans="1:9" x14ac:dyDescent="0.3">
      <c r="A115" s="8" t="s">
        <v>174</v>
      </c>
      <c r="B115" s="10">
        <v>129</v>
      </c>
      <c r="C115" s="10">
        <v>119.2</v>
      </c>
      <c r="D115" s="10">
        <v>10</v>
      </c>
      <c r="E115" s="24" t="s">
        <v>174</v>
      </c>
      <c r="F115" s="29">
        <v>129</v>
      </c>
      <c r="G115" s="29">
        <v>119</v>
      </c>
      <c r="H115" s="29">
        <v>10</v>
      </c>
      <c r="I115" s="29">
        <f t="shared" si="1"/>
        <v>124.1</v>
      </c>
    </row>
    <row r="116" spans="1:9" x14ac:dyDescent="0.3">
      <c r="A116" s="8" t="s">
        <v>515</v>
      </c>
      <c r="B116" s="10">
        <v>156.91666666666666</v>
      </c>
      <c r="C116" s="10">
        <v>146.08333333333334</v>
      </c>
      <c r="D116" s="10">
        <v>12</v>
      </c>
      <c r="E116" s="24" t="s">
        <v>515</v>
      </c>
      <c r="F116" s="29">
        <v>157</v>
      </c>
      <c r="G116" s="29">
        <v>146</v>
      </c>
      <c r="H116" s="29">
        <v>12</v>
      </c>
      <c r="I116" s="29">
        <f t="shared" si="1"/>
        <v>151.5</v>
      </c>
    </row>
    <row r="117" spans="1:9" x14ac:dyDescent="0.3">
      <c r="A117" s="8" t="s">
        <v>749</v>
      </c>
      <c r="B117" s="10">
        <v>156.987525987526</v>
      </c>
      <c r="C117" s="10">
        <v>142.43866943866945</v>
      </c>
      <c r="D117" s="10">
        <v>962</v>
      </c>
    </row>
    <row r="127" spans="1:9" x14ac:dyDescent="0.3">
      <c r="A127" s="7" t="s">
        <v>771</v>
      </c>
      <c r="B127" t="s">
        <v>766</v>
      </c>
      <c r="C127" s="11" t="s">
        <v>771</v>
      </c>
      <c r="D127" s="11" t="s">
        <v>766</v>
      </c>
    </row>
    <row r="128" spans="1:9" x14ac:dyDescent="0.3">
      <c r="A128" s="8" t="s">
        <v>157</v>
      </c>
      <c r="B128" s="10">
        <v>26</v>
      </c>
      <c r="C128" t="s">
        <v>925</v>
      </c>
      <c r="D128">
        <v>38</v>
      </c>
    </row>
    <row r="129" spans="1:4" x14ac:dyDescent="0.3">
      <c r="A129" s="8" t="s">
        <v>410</v>
      </c>
      <c r="B129" s="10">
        <v>16</v>
      </c>
      <c r="C129" t="s">
        <v>855</v>
      </c>
      <c r="D129">
        <v>26</v>
      </c>
    </row>
    <row r="130" spans="1:4" x14ac:dyDescent="0.3">
      <c r="A130" s="8" t="s">
        <v>150</v>
      </c>
      <c r="B130" s="10">
        <v>16</v>
      </c>
      <c r="C130" t="s">
        <v>942</v>
      </c>
      <c r="D130">
        <v>24</v>
      </c>
    </row>
    <row r="131" spans="1:4" x14ac:dyDescent="0.3">
      <c r="A131" s="8" t="s">
        <v>108</v>
      </c>
      <c r="B131" s="10">
        <v>38</v>
      </c>
      <c r="C131" t="s">
        <v>861</v>
      </c>
      <c r="D131">
        <v>16</v>
      </c>
    </row>
    <row r="132" spans="1:4" x14ac:dyDescent="0.3">
      <c r="A132" s="8" t="s">
        <v>253</v>
      </c>
      <c r="B132" s="10">
        <v>24</v>
      </c>
      <c r="C132" t="s">
        <v>882</v>
      </c>
      <c r="D132">
        <v>16</v>
      </c>
    </row>
    <row r="133" spans="1:4" hidden="1" x14ac:dyDescent="0.3">
      <c r="A133" s="8" t="s">
        <v>749</v>
      </c>
      <c r="B133" s="10">
        <v>120</v>
      </c>
      <c r="C133" t="s">
        <v>787</v>
      </c>
      <c r="D133">
        <v>14</v>
      </c>
    </row>
    <row r="134" spans="1:4" hidden="1" x14ac:dyDescent="0.3">
      <c r="C134" t="s">
        <v>801</v>
      </c>
      <c r="D134">
        <v>14</v>
      </c>
    </row>
    <row r="135" spans="1:4" hidden="1" x14ac:dyDescent="0.3">
      <c r="C135" t="s">
        <v>810</v>
      </c>
      <c r="D135">
        <v>14</v>
      </c>
    </row>
    <row r="136" spans="1:4" hidden="1" x14ac:dyDescent="0.3">
      <c r="C136" t="s">
        <v>850</v>
      </c>
      <c r="D136">
        <v>14</v>
      </c>
    </row>
    <row r="137" spans="1:4" hidden="1" x14ac:dyDescent="0.3">
      <c r="C137" t="s">
        <v>852</v>
      </c>
      <c r="D137">
        <v>14</v>
      </c>
    </row>
    <row r="138" spans="1:4" hidden="1" x14ac:dyDescent="0.3">
      <c r="C138" t="s">
        <v>903</v>
      </c>
      <c r="D138">
        <v>14</v>
      </c>
    </row>
    <row r="139" spans="1:4" hidden="1" x14ac:dyDescent="0.3">
      <c r="C139" t="s">
        <v>923</v>
      </c>
      <c r="D139">
        <v>14</v>
      </c>
    </row>
    <row r="140" spans="1:4" hidden="1" x14ac:dyDescent="0.3">
      <c r="C140" t="s">
        <v>786</v>
      </c>
      <c r="D140">
        <v>12</v>
      </c>
    </row>
    <row r="141" spans="1:4" hidden="1" x14ac:dyDescent="0.3">
      <c r="C141" t="s">
        <v>815</v>
      </c>
      <c r="D141">
        <v>12</v>
      </c>
    </row>
    <row r="142" spans="1:4" hidden="1" x14ac:dyDescent="0.3">
      <c r="C142" t="s">
        <v>859</v>
      </c>
      <c r="D142">
        <v>12</v>
      </c>
    </row>
    <row r="143" spans="1:4" hidden="1" x14ac:dyDescent="0.3">
      <c r="C143" t="s">
        <v>950</v>
      </c>
      <c r="D143">
        <v>12</v>
      </c>
    </row>
    <row r="144" spans="1:4" hidden="1" x14ac:dyDescent="0.3">
      <c r="C144" t="s">
        <v>785</v>
      </c>
      <c r="D144">
        <v>10</v>
      </c>
    </row>
    <row r="145" spans="3:4" hidden="1" x14ac:dyDescent="0.3">
      <c r="C145" t="s">
        <v>791</v>
      </c>
      <c r="D145">
        <v>10</v>
      </c>
    </row>
    <row r="146" spans="3:4" hidden="1" x14ac:dyDescent="0.3">
      <c r="C146" t="s">
        <v>794</v>
      </c>
      <c r="D146">
        <v>10</v>
      </c>
    </row>
    <row r="147" spans="3:4" hidden="1" x14ac:dyDescent="0.3">
      <c r="C147" t="s">
        <v>806</v>
      </c>
      <c r="D147">
        <v>10</v>
      </c>
    </row>
    <row r="148" spans="3:4" hidden="1" x14ac:dyDescent="0.3">
      <c r="C148" t="s">
        <v>836</v>
      </c>
      <c r="D148">
        <v>10</v>
      </c>
    </row>
    <row r="149" spans="3:4" hidden="1" x14ac:dyDescent="0.3">
      <c r="C149" t="s">
        <v>887</v>
      </c>
      <c r="D149">
        <v>10</v>
      </c>
    </row>
    <row r="150" spans="3:4" hidden="1" x14ac:dyDescent="0.3">
      <c r="C150" t="s">
        <v>911</v>
      </c>
      <c r="D150">
        <v>10</v>
      </c>
    </row>
    <row r="151" spans="3:4" hidden="1" x14ac:dyDescent="0.3">
      <c r="C151" t="s">
        <v>930</v>
      </c>
      <c r="D151">
        <v>10</v>
      </c>
    </row>
    <row r="152" spans="3:4" hidden="1" x14ac:dyDescent="0.3">
      <c r="C152" t="s">
        <v>778</v>
      </c>
      <c r="D152">
        <v>8</v>
      </c>
    </row>
    <row r="153" spans="3:4" hidden="1" x14ac:dyDescent="0.3">
      <c r="C153" t="s">
        <v>796</v>
      </c>
      <c r="D153">
        <v>8</v>
      </c>
    </row>
    <row r="154" spans="3:4" hidden="1" x14ac:dyDescent="0.3">
      <c r="C154" t="s">
        <v>811</v>
      </c>
      <c r="D154">
        <v>8</v>
      </c>
    </row>
    <row r="155" spans="3:4" hidden="1" x14ac:dyDescent="0.3">
      <c r="C155" t="s">
        <v>833</v>
      </c>
      <c r="D155">
        <v>8</v>
      </c>
    </row>
    <row r="156" spans="3:4" hidden="1" x14ac:dyDescent="0.3">
      <c r="C156" t="s">
        <v>844</v>
      </c>
      <c r="D156">
        <v>8</v>
      </c>
    </row>
    <row r="157" spans="3:4" hidden="1" x14ac:dyDescent="0.3">
      <c r="C157" t="s">
        <v>856</v>
      </c>
      <c r="D157">
        <v>8</v>
      </c>
    </row>
    <row r="158" spans="3:4" hidden="1" x14ac:dyDescent="0.3">
      <c r="C158" t="s">
        <v>868</v>
      </c>
      <c r="D158">
        <v>8</v>
      </c>
    </row>
    <row r="159" spans="3:4" hidden="1" x14ac:dyDescent="0.3">
      <c r="C159" t="s">
        <v>883</v>
      </c>
      <c r="D159">
        <v>8</v>
      </c>
    </row>
    <row r="160" spans="3:4" hidden="1" x14ac:dyDescent="0.3">
      <c r="C160" t="s">
        <v>890</v>
      </c>
      <c r="D160">
        <v>8</v>
      </c>
    </row>
    <row r="161" spans="3:4" hidden="1" x14ac:dyDescent="0.3">
      <c r="C161" t="s">
        <v>907</v>
      </c>
      <c r="D161">
        <v>8</v>
      </c>
    </row>
    <row r="162" spans="3:4" hidden="1" x14ac:dyDescent="0.3">
      <c r="C162" t="s">
        <v>909</v>
      </c>
      <c r="D162">
        <v>8</v>
      </c>
    </row>
    <row r="163" spans="3:4" hidden="1" x14ac:dyDescent="0.3">
      <c r="C163" t="s">
        <v>939</v>
      </c>
      <c r="D163">
        <v>8</v>
      </c>
    </row>
    <row r="164" spans="3:4" hidden="1" x14ac:dyDescent="0.3">
      <c r="C164" t="s">
        <v>943</v>
      </c>
      <c r="D164">
        <v>8</v>
      </c>
    </row>
    <row r="165" spans="3:4" hidden="1" x14ac:dyDescent="0.3">
      <c r="C165" t="s">
        <v>947</v>
      </c>
      <c r="D165">
        <v>8</v>
      </c>
    </row>
    <row r="166" spans="3:4" hidden="1" x14ac:dyDescent="0.3">
      <c r="C166" t="s">
        <v>948</v>
      </c>
      <c r="D166">
        <v>8</v>
      </c>
    </row>
    <row r="167" spans="3:4" hidden="1" x14ac:dyDescent="0.3">
      <c r="C167" t="s">
        <v>956</v>
      </c>
      <c r="D167">
        <v>8</v>
      </c>
    </row>
    <row r="168" spans="3:4" hidden="1" x14ac:dyDescent="0.3">
      <c r="C168" t="s">
        <v>777</v>
      </c>
      <c r="D168">
        <v>6</v>
      </c>
    </row>
    <row r="169" spans="3:4" hidden="1" x14ac:dyDescent="0.3">
      <c r="C169" t="s">
        <v>780</v>
      </c>
      <c r="D169">
        <v>6</v>
      </c>
    </row>
    <row r="170" spans="3:4" hidden="1" x14ac:dyDescent="0.3">
      <c r="C170" t="s">
        <v>781</v>
      </c>
      <c r="D170">
        <v>6</v>
      </c>
    </row>
    <row r="171" spans="3:4" hidden="1" x14ac:dyDescent="0.3">
      <c r="C171" t="s">
        <v>788</v>
      </c>
      <c r="D171">
        <v>6</v>
      </c>
    </row>
    <row r="172" spans="3:4" hidden="1" x14ac:dyDescent="0.3">
      <c r="C172" t="s">
        <v>792</v>
      </c>
      <c r="D172">
        <v>6</v>
      </c>
    </row>
    <row r="173" spans="3:4" hidden="1" x14ac:dyDescent="0.3">
      <c r="C173" t="s">
        <v>829</v>
      </c>
      <c r="D173">
        <v>6</v>
      </c>
    </row>
    <row r="174" spans="3:4" hidden="1" x14ac:dyDescent="0.3">
      <c r="C174" t="s">
        <v>839</v>
      </c>
      <c r="D174">
        <v>6</v>
      </c>
    </row>
    <row r="175" spans="3:4" hidden="1" x14ac:dyDescent="0.3">
      <c r="C175" t="s">
        <v>847</v>
      </c>
      <c r="D175">
        <v>6</v>
      </c>
    </row>
    <row r="176" spans="3:4" hidden="1" x14ac:dyDescent="0.3">
      <c r="C176" t="s">
        <v>849</v>
      </c>
      <c r="D176">
        <v>6</v>
      </c>
    </row>
    <row r="177" spans="3:4" hidden="1" x14ac:dyDescent="0.3">
      <c r="C177" t="s">
        <v>854</v>
      </c>
      <c r="D177">
        <v>6</v>
      </c>
    </row>
    <row r="178" spans="3:4" hidden="1" x14ac:dyDescent="0.3">
      <c r="C178" t="s">
        <v>857</v>
      </c>
      <c r="D178">
        <v>6</v>
      </c>
    </row>
    <row r="179" spans="3:4" hidden="1" x14ac:dyDescent="0.3">
      <c r="C179" t="s">
        <v>867</v>
      </c>
      <c r="D179">
        <v>6</v>
      </c>
    </row>
    <row r="180" spans="3:4" hidden="1" x14ac:dyDescent="0.3">
      <c r="C180" t="s">
        <v>872</v>
      </c>
      <c r="D180">
        <v>6</v>
      </c>
    </row>
    <row r="181" spans="3:4" hidden="1" x14ac:dyDescent="0.3">
      <c r="C181" t="s">
        <v>875</v>
      </c>
      <c r="D181">
        <v>6</v>
      </c>
    </row>
    <row r="182" spans="3:4" hidden="1" x14ac:dyDescent="0.3">
      <c r="C182" t="s">
        <v>878</v>
      </c>
      <c r="D182">
        <v>6</v>
      </c>
    </row>
    <row r="183" spans="3:4" hidden="1" x14ac:dyDescent="0.3">
      <c r="C183" t="s">
        <v>879</v>
      </c>
      <c r="D183">
        <v>6</v>
      </c>
    </row>
    <row r="184" spans="3:4" hidden="1" x14ac:dyDescent="0.3">
      <c r="C184" t="s">
        <v>892</v>
      </c>
      <c r="D184">
        <v>6</v>
      </c>
    </row>
    <row r="185" spans="3:4" hidden="1" x14ac:dyDescent="0.3">
      <c r="C185" t="s">
        <v>894</v>
      </c>
      <c r="D185">
        <v>6</v>
      </c>
    </row>
    <row r="186" spans="3:4" hidden="1" x14ac:dyDescent="0.3">
      <c r="C186" t="s">
        <v>896</v>
      </c>
      <c r="D186">
        <v>6</v>
      </c>
    </row>
    <row r="187" spans="3:4" hidden="1" x14ac:dyDescent="0.3">
      <c r="C187" t="s">
        <v>900</v>
      </c>
      <c r="D187">
        <v>6</v>
      </c>
    </row>
    <row r="188" spans="3:4" hidden="1" x14ac:dyDescent="0.3">
      <c r="C188" t="s">
        <v>917</v>
      </c>
      <c r="D188">
        <v>6</v>
      </c>
    </row>
    <row r="189" spans="3:4" hidden="1" x14ac:dyDescent="0.3">
      <c r="C189" t="s">
        <v>922</v>
      </c>
      <c r="D189">
        <v>6</v>
      </c>
    </row>
    <row r="190" spans="3:4" hidden="1" x14ac:dyDescent="0.3">
      <c r="C190" t="s">
        <v>937</v>
      </c>
      <c r="D190">
        <v>6</v>
      </c>
    </row>
    <row r="191" spans="3:4" hidden="1" x14ac:dyDescent="0.3">
      <c r="C191" t="s">
        <v>938</v>
      </c>
      <c r="D191">
        <v>6</v>
      </c>
    </row>
    <row r="192" spans="3:4" hidden="1" x14ac:dyDescent="0.3">
      <c r="C192" t="s">
        <v>944</v>
      </c>
      <c r="D192">
        <v>6</v>
      </c>
    </row>
    <row r="193" spans="3:4" hidden="1" x14ac:dyDescent="0.3">
      <c r="C193" t="s">
        <v>951</v>
      </c>
      <c r="D193">
        <v>6</v>
      </c>
    </row>
    <row r="194" spans="3:4" hidden="1" x14ac:dyDescent="0.3">
      <c r="C194" t="s">
        <v>782</v>
      </c>
      <c r="D194">
        <v>4</v>
      </c>
    </row>
    <row r="195" spans="3:4" hidden="1" x14ac:dyDescent="0.3">
      <c r="C195" t="s">
        <v>784</v>
      </c>
      <c r="D195">
        <v>4</v>
      </c>
    </row>
    <row r="196" spans="3:4" hidden="1" x14ac:dyDescent="0.3">
      <c r="C196" t="s">
        <v>789</v>
      </c>
      <c r="D196">
        <v>4</v>
      </c>
    </row>
    <row r="197" spans="3:4" hidden="1" x14ac:dyDescent="0.3">
      <c r="C197" t="s">
        <v>790</v>
      </c>
      <c r="D197">
        <v>4</v>
      </c>
    </row>
    <row r="198" spans="3:4" hidden="1" x14ac:dyDescent="0.3">
      <c r="C198" t="s">
        <v>797</v>
      </c>
      <c r="D198">
        <v>4</v>
      </c>
    </row>
    <row r="199" spans="3:4" hidden="1" x14ac:dyDescent="0.3">
      <c r="C199" t="s">
        <v>798</v>
      </c>
      <c r="D199">
        <v>4</v>
      </c>
    </row>
    <row r="200" spans="3:4" hidden="1" x14ac:dyDescent="0.3">
      <c r="C200" t="s">
        <v>799</v>
      </c>
      <c r="D200">
        <v>4</v>
      </c>
    </row>
    <row r="201" spans="3:4" hidden="1" x14ac:dyDescent="0.3">
      <c r="C201" t="s">
        <v>808</v>
      </c>
      <c r="D201">
        <v>4</v>
      </c>
    </row>
    <row r="202" spans="3:4" hidden="1" x14ac:dyDescent="0.3">
      <c r="C202" t="s">
        <v>816</v>
      </c>
      <c r="D202">
        <v>4</v>
      </c>
    </row>
    <row r="203" spans="3:4" hidden="1" x14ac:dyDescent="0.3">
      <c r="C203" t="s">
        <v>818</v>
      </c>
      <c r="D203">
        <v>4</v>
      </c>
    </row>
    <row r="204" spans="3:4" hidden="1" x14ac:dyDescent="0.3">
      <c r="C204" t="s">
        <v>820</v>
      </c>
      <c r="D204">
        <v>4</v>
      </c>
    </row>
    <row r="205" spans="3:4" hidden="1" x14ac:dyDescent="0.3">
      <c r="C205" t="s">
        <v>827</v>
      </c>
      <c r="D205">
        <v>4</v>
      </c>
    </row>
    <row r="206" spans="3:4" hidden="1" x14ac:dyDescent="0.3">
      <c r="C206" t="s">
        <v>828</v>
      </c>
      <c r="D206">
        <v>4</v>
      </c>
    </row>
    <row r="207" spans="3:4" hidden="1" x14ac:dyDescent="0.3">
      <c r="C207" t="s">
        <v>830</v>
      </c>
      <c r="D207">
        <v>4</v>
      </c>
    </row>
    <row r="208" spans="3:4" hidden="1" x14ac:dyDescent="0.3">
      <c r="C208" t="s">
        <v>831</v>
      </c>
      <c r="D208">
        <v>4</v>
      </c>
    </row>
    <row r="209" spans="3:4" hidden="1" x14ac:dyDescent="0.3">
      <c r="C209" t="s">
        <v>840</v>
      </c>
      <c r="D209">
        <v>4</v>
      </c>
    </row>
    <row r="210" spans="3:4" hidden="1" x14ac:dyDescent="0.3">
      <c r="C210" t="s">
        <v>842</v>
      </c>
      <c r="D210">
        <v>4</v>
      </c>
    </row>
    <row r="211" spans="3:4" hidden="1" x14ac:dyDescent="0.3">
      <c r="C211" t="s">
        <v>843</v>
      </c>
      <c r="D211">
        <v>4</v>
      </c>
    </row>
    <row r="212" spans="3:4" hidden="1" x14ac:dyDescent="0.3">
      <c r="C212" t="s">
        <v>846</v>
      </c>
      <c r="D212">
        <v>4</v>
      </c>
    </row>
    <row r="213" spans="3:4" hidden="1" x14ac:dyDescent="0.3">
      <c r="C213" t="s">
        <v>848</v>
      </c>
      <c r="D213">
        <v>4</v>
      </c>
    </row>
    <row r="214" spans="3:4" hidden="1" x14ac:dyDescent="0.3">
      <c r="C214" t="s">
        <v>860</v>
      </c>
      <c r="D214">
        <v>4</v>
      </c>
    </row>
    <row r="215" spans="3:4" hidden="1" x14ac:dyDescent="0.3">
      <c r="C215" t="s">
        <v>866</v>
      </c>
      <c r="D215">
        <v>4</v>
      </c>
    </row>
    <row r="216" spans="3:4" hidden="1" x14ac:dyDescent="0.3">
      <c r="C216" t="s">
        <v>869</v>
      </c>
      <c r="D216">
        <v>4</v>
      </c>
    </row>
    <row r="217" spans="3:4" hidden="1" x14ac:dyDescent="0.3">
      <c r="C217" t="s">
        <v>870</v>
      </c>
      <c r="D217">
        <v>4</v>
      </c>
    </row>
    <row r="218" spans="3:4" hidden="1" x14ac:dyDescent="0.3">
      <c r="C218" t="s">
        <v>871</v>
      </c>
      <c r="D218">
        <v>4</v>
      </c>
    </row>
    <row r="219" spans="3:4" hidden="1" x14ac:dyDescent="0.3">
      <c r="C219" t="s">
        <v>876</v>
      </c>
      <c r="D219">
        <v>4</v>
      </c>
    </row>
    <row r="220" spans="3:4" hidden="1" x14ac:dyDescent="0.3">
      <c r="C220" t="s">
        <v>885</v>
      </c>
      <c r="D220">
        <v>4</v>
      </c>
    </row>
    <row r="221" spans="3:4" hidden="1" x14ac:dyDescent="0.3">
      <c r="C221" t="s">
        <v>886</v>
      </c>
      <c r="D221">
        <v>4</v>
      </c>
    </row>
    <row r="222" spans="3:4" hidden="1" x14ac:dyDescent="0.3">
      <c r="C222" t="s">
        <v>889</v>
      </c>
      <c r="D222">
        <v>4</v>
      </c>
    </row>
    <row r="223" spans="3:4" hidden="1" x14ac:dyDescent="0.3">
      <c r="C223" t="s">
        <v>891</v>
      </c>
      <c r="D223">
        <v>4</v>
      </c>
    </row>
    <row r="224" spans="3:4" hidden="1" x14ac:dyDescent="0.3">
      <c r="C224" t="s">
        <v>895</v>
      </c>
      <c r="D224">
        <v>4</v>
      </c>
    </row>
    <row r="225" spans="3:4" hidden="1" x14ac:dyDescent="0.3">
      <c r="C225" t="s">
        <v>902</v>
      </c>
      <c r="D225">
        <v>4</v>
      </c>
    </row>
    <row r="226" spans="3:4" hidden="1" x14ac:dyDescent="0.3">
      <c r="C226" t="s">
        <v>904</v>
      </c>
      <c r="D226">
        <v>4</v>
      </c>
    </row>
    <row r="227" spans="3:4" hidden="1" x14ac:dyDescent="0.3">
      <c r="C227" t="s">
        <v>913</v>
      </c>
      <c r="D227">
        <v>4</v>
      </c>
    </row>
    <row r="228" spans="3:4" hidden="1" x14ac:dyDescent="0.3">
      <c r="C228" t="s">
        <v>914</v>
      </c>
      <c r="D228">
        <v>4</v>
      </c>
    </row>
    <row r="229" spans="3:4" hidden="1" x14ac:dyDescent="0.3">
      <c r="C229" t="s">
        <v>915</v>
      </c>
      <c r="D229">
        <v>4</v>
      </c>
    </row>
    <row r="230" spans="3:4" hidden="1" x14ac:dyDescent="0.3">
      <c r="C230" t="s">
        <v>919</v>
      </c>
      <c r="D230">
        <v>4</v>
      </c>
    </row>
    <row r="231" spans="3:4" hidden="1" x14ac:dyDescent="0.3">
      <c r="C231" t="s">
        <v>924</v>
      </c>
      <c r="D231">
        <v>4</v>
      </c>
    </row>
    <row r="232" spans="3:4" hidden="1" x14ac:dyDescent="0.3">
      <c r="C232" t="s">
        <v>926</v>
      </c>
      <c r="D232">
        <v>4</v>
      </c>
    </row>
    <row r="233" spans="3:4" hidden="1" x14ac:dyDescent="0.3">
      <c r="C233" t="s">
        <v>927</v>
      </c>
      <c r="D233">
        <v>4</v>
      </c>
    </row>
    <row r="234" spans="3:4" hidden="1" x14ac:dyDescent="0.3">
      <c r="C234" t="s">
        <v>932</v>
      </c>
      <c r="D234">
        <v>4</v>
      </c>
    </row>
    <row r="235" spans="3:4" hidden="1" x14ac:dyDescent="0.3">
      <c r="C235" t="s">
        <v>933</v>
      </c>
      <c r="D235">
        <v>4</v>
      </c>
    </row>
    <row r="236" spans="3:4" hidden="1" x14ac:dyDescent="0.3">
      <c r="C236" t="s">
        <v>952</v>
      </c>
      <c r="D236">
        <v>4</v>
      </c>
    </row>
    <row r="237" spans="3:4" hidden="1" x14ac:dyDescent="0.3">
      <c r="C237" t="s">
        <v>953</v>
      </c>
      <c r="D237">
        <v>4</v>
      </c>
    </row>
    <row r="238" spans="3:4" hidden="1" x14ac:dyDescent="0.3">
      <c r="C238" t="s">
        <v>955</v>
      </c>
      <c r="D238">
        <v>4</v>
      </c>
    </row>
    <row r="239" spans="3:4" hidden="1" x14ac:dyDescent="0.3">
      <c r="C239" t="s">
        <v>772</v>
      </c>
      <c r="D239">
        <v>2</v>
      </c>
    </row>
    <row r="240" spans="3:4" hidden="1" x14ac:dyDescent="0.3">
      <c r="C240" t="s">
        <v>773</v>
      </c>
      <c r="D240">
        <v>2</v>
      </c>
    </row>
    <row r="241" spans="3:4" hidden="1" x14ac:dyDescent="0.3">
      <c r="C241" t="s">
        <v>774</v>
      </c>
      <c r="D241">
        <v>2</v>
      </c>
    </row>
    <row r="242" spans="3:4" hidden="1" x14ac:dyDescent="0.3">
      <c r="C242" t="s">
        <v>775</v>
      </c>
      <c r="D242">
        <v>2</v>
      </c>
    </row>
    <row r="243" spans="3:4" hidden="1" x14ac:dyDescent="0.3">
      <c r="C243" t="s">
        <v>776</v>
      </c>
      <c r="D243">
        <v>2</v>
      </c>
    </row>
    <row r="244" spans="3:4" hidden="1" x14ac:dyDescent="0.3">
      <c r="C244" t="s">
        <v>779</v>
      </c>
      <c r="D244">
        <v>2</v>
      </c>
    </row>
    <row r="245" spans="3:4" hidden="1" x14ac:dyDescent="0.3">
      <c r="C245" t="s">
        <v>783</v>
      </c>
      <c r="D245">
        <v>2</v>
      </c>
    </row>
    <row r="246" spans="3:4" hidden="1" x14ac:dyDescent="0.3">
      <c r="C246" t="s">
        <v>793</v>
      </c>
      <c r="D246">
        <v>2</v>
      </c>
    </row>
    <row r="247" spans="3:4" hidden="1" x14ac:dyDescent="0.3">
      <c r="C247" t="s">
        <v>795</v>
      </c>
      <c r="D247">
        <v>2</v>
      </c>
    </row>
    <row r="248" spans="3:4" hidden="1" x14ac:dyDescent="0.3">
      <c r="C248" t="s">
        <v>800</v>
      </c>
      <c r="D248">
        <v>2</v>
      </c>
    </row>
    <row r="249" spans="3:4" hidden="1" x14ac:dyDescent="0.3">
      <c r="C249" t="s">
        <v>802</v>
      </c>
      <c r="D249">
        <v>2</v>
      </c>
    </row>
    <row r="250" spans="3:4" hidden="1" x14ac:dyDescent="0.3">
      <c r="C250" t="s">
        <v>803</v>
      </c>
      <c r="D250">
        <v>2</v>
      </c>
    </row>
    <row r="251" spans="3:4" hidden="1" x14ac:dyDescent="0.3">
      <c r="C251" t="s">
        <v>804</v>
      </c>
      <c r="D251">
        <v>2</v>
      </c>
    </row>
    <row r="252" spans="3:4" hidden="1" x14ac:dyDescent="0.3">
      <c r="C252" t="s">
        <v>805</v>
      </c>
      <c r="D252">
        <v>2</v>
      </c>
    </row>
    <row r="253" spans="3:4" hidden="1" x14ac:dyDescent="0.3">
      <c r="C253" t="s">
        <v>807</v>
      </c>
      <c r="D253">
        <v>2</v>
      </c>
    </row>
    <row r="254" spans="3:4" hidden="1" x14ac:dyDescent="0.3">
      <c r="C254" t="s">
        <v>809</v>
      </c>
      <c r="D254">
        <v>2</v>
      </c>
    </row>
    <row r="255" spans="3:4" hidden="1" x14ac:dyDescent="0.3">
      <c r="C255" t="s">
        <v>812</v>
      </c>
      <c r="D255">
        <v>2</v>
      </c>
    </row>
    <row r="256" spans="3:4" hidden="1" x14ac:dyDescent="0.3">
      <c r="C256" t="s">
        <v>813</v>
      </c>
      <c r="D256">
        <v>2</v>
      </c>
    </row>
    <row r="257" spans="3:4" hidden="1" x14ac:dyDescent="0.3">
      <c r="C257" t="s">
        <v>814</v>
      </c>
      <c r="D257">
        <v>2</v>
      </c>
    </row>
    <row r="258" spans="3:4" hidden="1" x14ac:dyDescent="0.3">
      <c r="C258" t="s">
        <v>817</v>
      </c>
      <c r="D258">
        <v>2</v>
      </c>
    </row>
    <row r="259" spans="3:4" hidden="1" x14ac:dyDescent="0.3">
      <c r="C259" t="s">
        <v>819</v>
      </c>
      <c r="D259">
        <v>2</v>
      </c>
    </row>
    <row r="260" spans="3:4" hidden="1" x14ac:dyDescent="0.3">
      <c r="C260" t="s">
        <v>821</v>
      </c>
      <c r="D260">
        <v>2</v>
      </c>
    </row>
    <row r="261" spans="3:4" hidden="1" x14ac:dyDescent="0.3">
      <c r="C261" t="s">
        <v>822</v>
      </c>
      <c r="D261">
        <v>2</v>
      </c>
    </row>
    <row r="262" spans="3:4" hidden="1" x14ac:dyDescent="0.3">
      <c r="C262" t="s">
        <v>823</v>
      </c>
      <c r="D262">
        <v>2</v>
      </c>
    </row>
    <row r="263" spans="3:4" hidden="1" x14ac:dyDescent="0.3">
      <c r="C263" t="s">
        <v>824</v>
      </c>
      <c r="D263">
        <v>2</v>
      </c>
    </row>
    <row r="264" spans="3:4" hidden="1" x14ac:dyDescent="0.3">
      <c r="C264" t="s">
        <v>825</v>
      </c>
      <c r="D264">
        <v>2</v>
      </c>
    </row>
    <row r="265" spans="3:4" hidden="1" x14ac:dyDescent="0.3">
      <c r="C265" t="s">
        <v>826</v>
      </c>
      <c r="D265">
        <v>2</v>
      </c>
    </row>
    <row r="266" spans="3:4" hidden="1" x14ac:dyDescent="0.3">
      <c r="C266" t="s">
        <v>832</v>
      </c>
      <c r="D266">
        <v>2</v>
      </c>
    </row>
    <row r="267" spans="3:4" hidden="1" x14ac:dyDescent="0.3">
      <c r="C267" t="s">
        <v>834</v>
      </c>
      <c r="D267">
        <v>2</v>
      </c>
    </row>
    <row r="268" spans="3:4" hidden="1" x14ac:dyDescent="0.3">
      <c r="C268" t="s">
        <v>835</v>
      </c>
      <c r="D268">
        <v>2</v>
      </c>
    </row>
    <row r="269" spans="3:4" hidden="1" x14ac:dyDescent="0.3">
      <c r="C269" t="s">
        <v>837</v>
      </c>
      <c r="D269">
        <v>2</v>
      </c>
    </row>
    <row r="270" spans="3:4" hidden="1" x14ac:dyDescent="0.3">
      <c r="C270" t="s">
        <v>838</v>
      </c>
      <c r="D270">
        <v>2</v>
      </c>
    </row>
    <row r="271" spans="3:4" hidden="1" x14ac:dyDescent="0.3">
      <c r="C271" t="s">
        <v>841</v>
      </c>
      <c r="D271">
        <v>2</v>
      </c>
    </row>
    <row r="272" spans="3:4" hidden="1" x14ac:dyDescent="0.3">
      <c r="C272" t="s">
        <v>845</v>
      </c>
      <c r="D272">
        <v>2</v>
      </c>
    </row>
    <row r="273" spans="3:4" hidden="1" x14ac:dyDescent="0.3">
      <c r="C273" t="s">
        <v>851</v>
      </c>
      <c r="D273">
        <v>2</v>
      </c>
    </row>
    <row r="274" spans="3:4" hidden="1" x14ac:dyDescent="0.3">
      <c r="C274" t="s">
        <v>853</v>
      </c>
      <c r="D274">
        <v>2</v>
      </c>
    </row>
    <row r="275" spans="3:4" hidden="1" x14ac:dyDescent="0.3">
      <c r="C275" t="s">
        <v>858</v>
      </c>
      <c r="D275">
        <v>2</v>
      </c>
    </row>
    <row r="276" spans="3:4" hidden="1" x14ac:dyDescent="0.3">
      <c r="C276" t="s">
        <v>862</v>
      </c>
      <c r="D276">
        <v>2</v>
      </c>
    </row>
    <row r="277" spans="3:4" hidden="1" x14ac:dyDescent="0.3">
      <c r="C277" t="s">
        <v>863</v>
      </c>
      <c r="D277">
        <v>2</v>
      </c>
    </row>
    <row r="278" spans="3:4" hidden="1" x14ac:dyDescent="0.3">
      <c r="C278" t="s">
        <v>864</v>
      </c>
      <c r="D278">
        <v>2</v>
      </c>
    </row>
    <row r="279" spans="3:4" hidden="1" x14ac:dyDescent="0.3">
      <c r="C279" t="s">
        <v>865</v>
      </c>
      <c r="D279">
        <v>2</v>
      </c>
    </row>
    <row r="280" spans="3:4" hidden="1" x14ac:dyDescent="0.3">
      <c r="C280" t="s">
        <v>873</v>
      </c>
      <c r="D280">
        <v>2</v>
      </c>
    </row>
    <row r="281" spans="3:4" hidden="1" x14ac:dyDescent="0.3">
      <c r="C281" t="s">
        <v>874</v>
      </c>
      <c r="D281">
        <v>2</v>
      </c>
    </row>
    <row r="282" spans="3:4" hidden="1" x14ac:dyDescent="0.3">
      <c r="C282" t="s">
        <v>877</v>
      </c>
      <c r="D282">
        <v>2</v>
      </c>
    </row>
    <row r="283" spans="3:4" hidden="1" x14ac:dyDescent="0.3">
      <c r="C283" t="s">
        <v>880</v>
      </c>
      <c r="D283">
        <v>2</v>
      </c>
    </row>
    <row r="284" spans="3:4" hidden="1" x14ac:dyDescent="0.3">
      <c r="C284" t="s">
        <v>881</v>
      </c>
      <c r="D284">
        <v>2</v>
      </c>
    </row>
    <row r="285" spans="3:4" hidden="1" x14ac:dyDescent="0.3">
      <c r="C285" t="s">
        <v>884</v>
      </c>
      <c r="D285">
        <v>2</v>
      </c>
    </row>
    <row r="286" spans="3:4" hidden="1" x14ac:dyDescent="0.3">
      <c r="C286" t="s">
        <v>888</v>
      </c>
      <c r="D286">
        <v>2</v>
      </c>
    </row>
    <row r="287" spans="3:4" hidden="1" x14ac:dyDescent="0.3">
      <c r="C287" t="s">
        <v>889</v>
      </c>
      <c r="D287">
        <v>2</v>
      </c>
    </row>
    <row r="288" spans="3:4" hidden="1" x14ac:dyDescent="0.3">
      <c r="C288" t="s">
        <v>893</v>
      </c>
      <c r="D288">
        <v>2</v>
      </c>
    </row>
    <row r="289" spans="3:4" hidden="1" x14ac:dyDescent="0.3">
      <c r="C289" t="s">
        <v>897</v>
      </c>
      <c r="D289">
        <v>2</v>
      </c>
    </row>
    <row r="290" spans="3:4" hidden="1" x14ac:dyDescent="0.3">
      <c r="C290" t="s">
        <v>898</v>
      </c>
      <c r="D290">
        <v>2</v>
      </c>
    </row>
    <row r="291" spans="3:4" hidden="1" x14ac:dyDescent="0.3">
      <c r="C291" t="s">
        <v>899</v>
      </c>
      <c r="D291">
        <v>2</v>
      </c>
    </row>
    <row r="292" spans="3:4" hidden="1" x14ac:dyDescent="0.3">
      <c r="C292" t="s">
        <v>901</v>
      </c>
      <c r="D292">
        <v>2</v>
      </c>
    </row>
    <row r="293" spans="3:4" hidden="1" x14ac:dyDescent="0.3">
      <c r="C293" t="s">
        <v>905</v>
      </c>
      <c r="D293">
        <v>2</v>
      </c>
    </row>
    <row r="294" spans="3:4" hidden="1" x14ac:dyDescent="0.3">
      <c r="C294" t="s">
        <v>906</v>
      </c>
      <c r="D294">
        <v>2</v>
      </c>
    </row>
    <row r="295" spans="3:4" hidden="1" x14ac:dyDescent="0.3">
      <c r="C295" t="s">
        <v>908</v>
      </c>
      <c r="D295">
        <v>2</v>
      </c>
    </row>
    <row r="296" spans="3:4" hidden="1" x14ac:dyDescent="0.3">
      <c r="C296" t="s">
        <v>910</v>
      </c>
      <c r="D296">
        <v>2</v>
      </c>
    </row>
    <row r="297" spans="3:4" hidden="1" x14ac:dyDescent="0.3">
      <c r="C297" t="s">
        <v>912</v>
      </c>
      <c r="D297">
        <v>2</v>
      </c>
    </row>
    <row r="298" spans="3:4" hidden="1" x14ac:dyDescent="0.3">
      <c r="C298" t="s">
        <v>916</v>
      </c>
      <c r="D298">
        <v>2</v>
      </c>
    </row>
    <row r="299" spans="3:4" hidden="1" x14ac:dyDescent="0.3">
      <c r="C299" t="s">
        <v>918</v>
      </c>
      <c r="D299">
        <v>2</v>
      </c>
    </row>
    <row r="300" spans="3:4" hidden="1" x14ac:dyDescent="0.3">
      <c r="C300" t="s">
        <v>920</v>
      </c>
      <c r="D300">
        <v>2</v>
      </c>
    </row>
    <row r="301" spans="3:4" hidden="1" x14ac:dyDescent="0.3">
      <c r="C301" t="s">
        <v>921</v>
      </c>
      <c r="D301">
        <v>2</v>
      </c>
    </row>
    <row r="302" spans="3:4" hidden="1" x14ac:dyDescent="0.3">
      <c r="C302" t="s">
        <v>928</v>
      </c>
      <c r="D302">
        <v>2</v>
      </c>
    </row>
    <row r="303" spans="3:4" hidden="1" x14ac:dyDescent="0.3">
      <c r="C303" t="s">
        <v>929</v>
      </c>
      <c r="D303">
        <v>2</v>
      </c>
    </row>
    <row r="304" spans="3:4" hidden="1" x14ac:dyDescent="0.3">
      <c r="C304" t="s">
        <v>931</v>
      </c>
      <c r="D304">
        <v>2</v>
      </c>
    </row>
    <row r="305" spans="3:4" hidden="1" x14ac:dyDescent="0.3">
      <c r="C305" t="s">
        <v>934</v>
      </c>
      <c r="D305">
        <v>2</v>
      </c>
    </row>
    <row r="306" spans="3:4" hidden="1" x14ac:dyDescent="0.3">
      <c r="C306" t="s">
        <v>935</v>
      </c>
      <c r="D306">
        <v>2</v>
      </c>
    </row>
    <row r="307" spans="3:4" hidden="1" x14ac:dyDescent="0.3">
      <c r="C307" t="s">
        <v>936</v>
      </c>
      <c r="D307">
        <v>2</v>
      </c>
    </row>
    <row r="308" spans="3:4" hidden="1" x14ac:dyDescent="0.3">
      <c r="C308" t="s">
        <v>940</v>
      </c>
      <c r="D308">
        <v>2</v>
      </c>
    </row>
    <row r="309" spans="3:4" hidden="1" x14ac:dyDescent="0.3">
      <c r="C309" t="s">
        <v>941</v>
      </c>
      <c r="D309">
        <v>2</v>
      </c>
    </row>
    <row r="310" spans="3:4" hidden="1" x14ac:dyDescent="0.3">
      <c r="C310" t="s">
        <v>945</v>
      </c>
      <c r="D310">
        <v>2</v>
      </c>
    </row>
    <row r="311" spans="3:4" hidden="1" x14ac:dyDescent="0.3">
      <c r="C311" t="s">
        <v>946</v>
      </c>
      <c r="D311">
        <v>2</v>
      </c>
    </row>
    <row r="312" spans="3:4" hidden="1" x14ac:dyDescent="0.3">
      <c r="C312" t="s">
        <v>949</v>
      </c>
      <c r="D312">
        <v>2</v>
      </c>
    </row>
    <row r="313" spans="3:4" hidden="1" x14ac:dyDescent="0.3">
      <c r="C313" t="s">
        <v>954</v>
      </c>
      <c r="D313">
        <v>2</v>
      </c>
    </row>
    <row r="314" spans="3:4" hidden="1" x14ac:dyDescent="0.3">
      <c r="C314" t="s">
        <v>957</v>
      </c>
      <c r="D314">
        <v>2</v>
      </c>
    </row>
    <row r="315" spans="3:4" hidden="1" x14ac:dyDescent="0.3"/>
    <row r="321" spans="1:4" x14ac:dyDescent="0.3">
      <c r="A321" s="7" t="s">
        <v>745</v>
      </c>
      <c r="B321" t="s">
        <v>768</v>
      </c>
      <c r="C321" s="11" t="s">
        <v>745</v>
      </c>
      <c r="D321" s="11" t="s">
        <v>768</v>
      </c>
    </row>
    <row r="322" spans="1:4" x14ac:dyDescent="0.3">
      <c r="A322" s="8">
        <v>2011</v>
      </c>
      <c r="B322" s="10">
        <v>298</v>
      </c>
      <c r="C322">
        <v>2011</v>
      </c>
      <c r="D322">
        <v>298</v>
      </c>
    </row>
    <row r="323" spans="1:4" x14ac:dyDescent="0.3">
      <c r="A323" s="8">
        <v>2012</v>
      </c>
      <c r="B323" s="10">
        <v>299.13043478260869</v>
      </c>
      <c r="C323">
        <v>2012</v>
      </c>
      <c r="D323">
        <v>299</v>
      </c>
    </row>
    <row r="324" spans="1:4" x14ac:dyDescent="0.3">
      <c r="A324" s="8">
        <v>2015</v>
      </c>
      <c r="B324" s="10">
        <v>257.69696969696969</v>
      </c>
      <c r="C324">
        <v>2015</v>
      </c>
      <c r="D324">
        <v>258</v>
      </c>
    </row>
    <row r="325" spans="1:4" x14ac:dyDescent="0.3">
      <c r="A325" s="8">
        <v>2016</v>
      </c>
      <c r="B325" s="10">
        <v>282.52173913043481</v>
      </c>
      <c r="C325">
        <v>2016</v>
      </c>
      <c r="D325">
        <v>283</v>
      </c>
    </row>
    <row r="326" spans="1:4" x14ac:dyDescent="0.3">
      <c r="A326" s="8">
        <v>2017</v>
      </c>
      <c r="B326" s="10">
        <v>302.61363636363637</v>
      </c>
      <c r="C326">
        <v>2017</v>
      </c>
      <c r="D326">
        <v>303</v>
      </c>
    </row>
    <row r="327" spans="1:4" x14ac:dyDescent="0.3">
      <c r="A327" s="8">
        <v>2018</v>
      </c>
      <c r="B327" s="10">
        <v>302.23913043478262</v>
      </c>
      <c r="C327">
        <v>2018</v>
      </c>
      <c r="D327">
        <v>302</v>
      </c>
    </row>
    <row r="328" spans="1:4" x14ac:dyDescent="0.3">
      <c r="A328" s="8">
        <v>2019</v>
      </c>
      <c r="B328" s="10">
        <v>315.13043478260869</v>
      </c>
      <c r="C328">
        <v>2019</v>
      </c>
      <c r="D328">
        <v>315</v>
      </c>
    </row>
    <row r="329" spans="1:4" x14ac:dyDescent="0.3">
      <c r="A329" s="8">
        <v>2021</v>
      </c>
      <c r="B329" s="10">
        <v>298.42</v>
      </c>
      <c r="C329">
        <v>2021</v>
      </c>
      <c r="D329">
        <v>298</v>
      </c>
    </row>
    <row r="330" spans="1:4" x14ac:dyDescent="0.3">
      <c r="A330" s="8">
        <v>2022</v>
      </c>
      <c r="B330" s="10">
        <v>304.93478260869563</v>
      </c>
      <c r="C330">
        <v>2022</v>
      </c>
      <c r="D330">
        <v>305</v>
      </c>
    </row>
    <row r="331" spans="1:4" x14ac:dyDescent="0.3">
      <c r="A331" s="8">
        <v>2023</v>
      </c>
      <c r="B331" s="10">
        <v>302.58695652173913</v>
      </c>
      <c r="C331">
        <v>2023</v>
      </c>
      <c r="D331">
        <v>303</v>
      </c>
    </row>
    <row r="332" spans="1:4" x14ac:dyDescent="0.3">
      <c r="A332" s="8">
        <v>2024</v>
      </c>
      <c r="B332" s="10">
        <v>318.41304347826087</v>
      </c>
      <c r="C332">
        <v>2024</v>
      </c>
      <c r="D332">
        <v>318</v>
      </c>
    </row>
    <row r="333" spans="1:4" x14ac:dyDescent="0.3">
      <c r="A333" s="8" t="s">
        <v>749</v>
      </c>
      <c r="B333" s="10">
        <v>299.42619542619542</v>
      </c>
    </row>
    <row r="342" spans="1:4" x14ac:dyDescent="0.3">
      <c r="A342" s="7" t="s">
        <v>745</v>
      </c>
      <c r="B342" t="s">
        <v>769</v>
      </c>
      <c r="C342" s="11" t="s">
        <v>745</v>
      </c>
      <c r="D342" s="11" t="s">
        <v>769</v>
      </c>
    </row>
    <row r="343" spans="1:4" x14ac:dyDescent="0.3">
      <c r="A343" s="8">
        <v>2011</v>
      </c>
      <c r="B343" s="9">
        <v>64</v>
      </c>
      <c r="C343">
        <v>2011</v>
      </c>
      <c r="D343">
        <v>64</v>
      </c>
    </row>
    <row r="344" spans="1:4" x14ac:dyDescent="0.3">
      <c r="A344" s="8">
        <v>2012</v>
      </c>
      <c r="B344" s="9">
        <v>92</v>
      </c>
      <c r="C344">
        <v>2012</v>
      </c>
      <c r="D344">
        <v>92</v>
      </c>
    </row>
    <row r="345" spans="1:4" x14ac:dyDescent="0.3">
      <c r="A345" s="8">
        <v>2015</v>
      </c>
      <c r="B345" s="9">
        <v>66</v>
      </c>
      <c r="C345">
        <v>2015</v>
      </c>
      <c r="D345">
        <v>66</v>
      </c>
    </row>
    <row r="346" spans="1:4" x14ac:dyDescent="0.3">
      <c r="A346" s="8">
        <v>2016</v>
      </c>
      <c r="B346" s="9">
        <v>92</v>
      </c>
      <c r="C346">
        <v>2016</v>
      </c>
      <c r="D346">
        <v>92</v>
      </c>
    </row>
    <row r="347" spans="1:4" x14ac:dyDescent="0.3">
      <c r="A347" s="8">
        <v>2017</v>
      </c>
      <c r="B347" s="9">
        <v>88</v>
      </c>
      <c r="C347">
        <v>2017</v>
      </c>
      <c r="D347">
        <v>88</v>
      </c>
    </row>
    <row r="348" spans="1:4" x14ac:dyDescent="0.3">
      <c r="A348" s="8">
        <v>2018</v>
      </c>
      <c r="B348" s="9">
        <v>92</v>
      </c>
      <c r="C348">
        <v>2018</v>
      </c>
      <c r="D348">
        <v>92</v>
      </c>
    </row>
    <row r="349" spans="1:4" x14ac:dyDescent="0.3">
      <c r="A349" s="8">
        <v>2019</v>
      </c>
      <c r="B349" s="9">
        <v>92</v>
      </c>
      <c r="C349">
        <v>2019</v>
      </c>
      <c r="D349">
        <v>92</v>
      </c>
    </row>
    <row r="350" spans="1:4" x14ac:dyDescent="0.3">
      <c r="A350" s="8">
        <v>2021</v>
      </c>
      <c r="B350" s="9">
        <v>100</v>
      </c>
      <c r="C350">
        <v>2021</v>
      </c>
      <c r="D350">
        <v>100</v>
      </c>
    </row>
    <row r="351" spans="1:4" x14ac:dyDescent="0.3">
      <c r="A351" s="8">
        <v>2022</v>
      </c>
      <c r="B351" s="9">
        <v>92</v>
      </c>
      <c r="C351">
        <v>2022</v>
      </c>
      <c r="D351">
        <v>92</v>
      </c>
    </row>
    <row r="352" spans="1:4" x14ac:dyDescent="0.3">
      <c r="A352" s="8">
        <v>2023</v>
      </c>
      <c r="B352" s="9">
        <v>92</v>
      </c>
      <c r="C352">
        <v>2023</v>
      </c>
      <c r="D352">
        <v>92</v>
      </c>
    </row>
    <row r="353" spans="1:4" x14ac:dyDescent="0.3">
      <c r="A353" s="8">
        <v>2024</v>
      </c>
      <c r="B353" s="9">
        <v>92</v>
      </c>
      <c r="C353">
        <v>2024</v>
      </c>
      <c r="D353">
        <v>92</v>
      </c>
    </row>
    <row r="354" spans="1:4" x14ac:dyDescent="0.3">
      <c r="A354" s="8" t="s">
        <v>749</v>
      </c>
      <c r="B354" s="9">
        <v>962</v>
      </c>
    </row>
    <row r="361" spans="1:4" x14ac:dyDescent="0.3">
      <c r="A361" s="7" t="s">
        <v>745</v>
      </c>
      <c r="B361" t="s">
        <v>770</v>
      </c>
      <c r="C361" s="11" t="s">
        <v>745</v>
      </c>
      <c r="D361" s="11" t="s">
        <v>770</v>
      </c>
    </row>
    <row r="362" spans="1:4" x14ac:dyDescent="0.3">
      <c r="A362" s="8">
        <v>2011</v>
      </c>
      <c r="B362" s="9">
        <v>64</v>
      </c>
      <c r="C362">
        <v>2011</v>
      </c>
      <c r="D362">
        <v>64</v>
      </c>
    </row>
    <row r="363" spans="1:4" x14ac:dyDescent="0.3">
      <c r="A363" s="8">
        <v>2012</v>
      </c>
      <c r="B363" s="9">
        <v>92</v>
      </c>
      <c r="C363">
        <v>2012</v>
      </c>
      <c r="D363">
        <v>92</v>
      </c>
    </row>
    <row r="364" spans="1:4" x14ac:dyDescent="0.3">
      <c r="A364" s="8">
        <v>2015</v>
      </c>
      <c r="B364" s="9">
        <v>66</v>
      </c>
      <c r="C364">
        <v>2015</v>
      </c>
      <c r="D364">
        <v>66</v>
      </c>
    </row>
    <row r="365" spans="1:4" x14ac:dyDescent="0.3">
      <c r="A365" s="8">
        <v>2016</v>
      </c>
      <c r="B365" s="9">
        <v>92</v>
      </c>
      <c r="C365">
        <v>2016</v>
      </c>
      <c r="D365">
        <v>92</v>
      </c>
    </row>
    <row r="366" spans="1:4" x14ac:dyDescent="0.3">
      <c r="A366" s="8">
        <v>2017</v>
      </c>
      <c r="B366" s="9">
        <v>88</v>
      </c>
      <c r="C366">
        <v>2017</v>
      </c>
      <c r="D366">
        <v>88</v>
      </c>
    </row>
    <row r="367" spans="1:4" x14ac:dyDescent="0.3">
      <c r="A367" s="8">
        <v>2018</v>
      </c>
      <c r="B367" s="9">
        <v>92</v>
      </c>
      <c r="C367">
        <v>2018</v>
      </c>
      <c r="D367">
        <v>92</v>
      </c>
    </row>
    <row r="368" spans="1:4" x14ac:dyDescent="0.3">
      <c r="A368" s="8">
        <v>2019</v>
      </c>
      <c r="B368" s="9">
        <v>92</v>
      </c>
      <c r="C368">
        <v>2019</v>
      </c>
      <c r="D368">
        <v>92</v>
      </c>
    </row>
    <row r="369" spans="1:6" x14ac:dyDescent="0.3">
      <c r="A369" s="8">
        <v>2021</v>
      </c>
      <c r="B369" s="9">
        <v>100</v>
      </c>
      <c r="C369">
        <v>2021</v>
      </c>
      <c r="D369">
        <v>100</v>
      </c>
    </row>
    <row r="370" spans="1:6" x14ac:dyDescent="0.3">
      <c r="A370" s="8">
        <v>2022</v>
      </c>
      <c r="B370" s="9">
        <v>92</v>
      </c>
      <c r="C370">
        <v>2022</v>
      </c>
      <c r="D370">
        <v>92</v>
      </c>
    </row>
    <row r="371" spans="1:6" x14ac:dyDescent="0.3">
      <c r="A371" s="8">
        <v>2023</v>
      </c>
      <c r="B371" s="9">
        <v>92</v>
      </c>
      <c r="C371">
        <v>2023</v>
      </c>
      <c r="D371">
        <v>92</v>
      </c>
    </row>
    <row r="372" spans="1:6" x14ac:dyDescent="0.3">
      <c r="A372" s="8">
        <v>2024</v>
      </c>
      <c r="B372" s="9">
        <v>92</v>
      </c>
      <c r="C372">
        <v>2024</v>
      </c>
      <c r="D372">
        <v>92</v>
      </c>
    </row>
    <row r="373" spans="1:6" x14ac:dyDescent="0.3">
      <c r="A373" s="8" t="s">
        <v>749</v>
      </c>
      <c r="B373" s="9">
        <v>962</v>
      </c>
    </row>
    <row r="381" spans="1:6" x14ac:dyDescent="0.3">
      <c r="A381" s="7" t="s">
        <v>746</v>
      </c>
      <c r="B381" t="s">
        <v>768</v>
      </c>
      <c r="C381" t="s">
        <v>770</v>
      </c>
      <c r="D381" s="11" t="s">
        <v>746</v>
      </c>
      <c r="E381" s="11" t="s">
        <v>958</v>
      </c>
      <c r="F381" s="11" t="s">
        <v>770</v>
      </c>
    </row>
    <row r="382" spans="1:6" x14ac:dyDescent="0.3">
      <c r="A382" s="8" t="s">
        <v>158</v>
      </c>
      <c r="B382" s="10">
        <v>215</v>
      </c>
      <c r="C382" s="9">
        <v>2</v>
      </c>
      <c r="D382" t="s">
        <v>158</v>
      </c>
      <c r="E382">
        <v>215</v>
      </c>
      <c r="F382">
        <v>2</v>
      </c>
    </row>
    <row r="383" spans="1:6" x14ac:dyDescent="0.3">
      <c r="A383" s="8" t="s">
        <v>21</v>
      </c>
      <c r="B383" s="10">
        <v>322.16666666666669</v>
      </c>
      <c r="C383" s="9">
        <v>24</v>
      </c>
      <c r="D383" t="s">
        <v>21</v>
      </c>
      <c r="E383">
        <v>2422</v>
      </c>
      <c r="F383">
        <v>24</v>
      </c>
    </row>
    <row r="384" spans="1:6" x14ac:dyDescent="0.3">
      <c r="A384" s="8" t="s">
        <v>755</v>
      </c>
      <c r="B384" s="10">
        <v>299.02350427350427</v>
      </c>
      <c r="C384" s="9">
        <v>936</v>
      </c>
      <c r="D384" t="s">
        <v>755</v>
      </c>
      <c r="E384">
        <v>93699</v>
      </c>
      <c r="F384">
        <v>936</v>
      </c>
    </row>
    <row r="385" spans="1:4" x14ac:dyDescent="0.3">
      <c r="A385" s="8" t="s">
        <v>749</v>
      </c>
      <c r="B385" s="10">
        <v>299.42619542619542</v>
      </c>
      <c r="C385" s="9">
        <v>962</v>
      </c>
    </row>
    <row r="393" spans="1:4" x14ac:dyDescent="0.3">
      <c r="A393" s="7" t="s">
        <v>13</v>
      </c>
      <c r="B393" t="s">
        <v>768</v>
      </c>
      <c r="C393" s="11" t="s">
        <v>13</v>
      </c>
      <c r="D393" s="11" t="s">
        <v>768</v>
      </c>
    </row>
    <row r="394" spans="1:4" x14ac:dyDescent="0.3">
      <c r="A394" s="8" t="s">
        <v>345</v>
      </c>
      <c r="B394" s="10">
        <v>294.10000000000002</v>
      </c>
      <c r="C394" t="s">
        <v>345</v>
      </c>
      <c r="D394">
        <v>294</v>
      </c>
    </row>
    <row r="395" spans="1:4" x14ac:dyDescent="0.3">
      <c r="A395" s="8" t="s">
        <v>359</v>
      </c>
      <c r="B395" s="10">
        <v>295.125</v>
      </c>
      <c r="C395" t="s">
        <v>359</v>
      </c>
      <c r="D395">
        <v>295</v>
      </c>
    </row>
    <row r="396" spans="1:4" x14ac:dyDescent="0.3">
      <c r="A396" s="8" t="s">
        <v>28</v>
      </c>
      <c r="B396" s="10">
        <v>290.27986348122869</v>
      </c>
      <c r="C396" t="s">
        <v>28</v>
      </c>
      <c r="D396">
        <v>290</v>
      </c>
    </row>
    <row r="397" spans="1:4" x14ac:dyDescent="0.3">
      <c r="A397" s="8" t="s">
        <v>469</v>
      </c>
      <c r="B397" s="10">
        <v>311.81666666666666</v>
      </c>
      <c r="C397" t="s">
        <v>469</v>
      </c>
      <c r="D397">
        <v>312</v>
      </c>
    </row>
    <row r="398" spans="1:4" x14ac:dyDescent="0.3">
      <c r="A398" s="8" t="s">
        <v>88</v>
      </c>
      <c r="B398" s="10">
        <v>317.82727272727271</v>
      </c>
      <c r="C398" t="s">
        <v>88</v>
      </c>
      <c r="D398">
        <v>318</v>
      </c>
    </row>
    <row r="399" spans="1:4" x14ac:dyDescent="0.3">
      <c r="A399" s="8" t="s">
        <v>749</v>
      </c>
      <c r="B399" s="10">
        <v>299.42619542619542</v>
      </c>
    </row>
    <row r="404" spans="1:4" x14ac:dyDescent="0.3">
      <c r="A404" s="7" t="s">
        <v>745</v>
      </c>
      <c r="B404" t="s">
        <v>768</v>
      </c>
      <c r="C404" s="11" t="s">
        <v>745</v>
      </c>
      <c r="D404" s="11" t="s">
        <v>768</v>
      </c>
    </row>
    <row r="405" spans="1:4" x14ac:dyDescent="0.3">
      <c r="A405" s="8">
        <v>2011</v>
      </c>
      <c r="B405" s="10">
        <v>298</v>
      </c>
      <c r="C405">
        <v>2011</v>
      </c>
      <c r="D405">
        <v>298</v>
      </c>
    </row>
    <row r="406" spans="1:4" x14ac:dyDescent="0.3">
      <c r="A406" s="8">
        <v>2012</v>
      </c>
      <c r="B406" s="10">
        <v>299.13043478260869</v>
      </c>
      <c r="C406">
        <v>2012</v>
      </c>
      <c r="D406">
        <v>299</v>
      </c>
    </row>
    <row r="407" spans="1:4" x14ac:dyDescent="0.3">
      <c r="A407" s="8">
        <v>2015</v>
      </c>
      <c r="B407" s="10">
        <v>257.69696969696969</v>
      </c>
      <c r="C407">
        <v>2015</v>
      </c>
      <c r="D407">
        <v>258</v>
      </c>
    </row>
    <row r="408" spans="1:4" x14ac:dyDescent="0.3">
      <c r="A408" s="8">
        <v>2016</v>
      </c>
      <c r="B408" s="10">
        <v>282.52173913043481</v>
      </c>
      <c r="C408">
        <v>2016</v>
      </c>
      <c r="D408">
        <v>283</v>
      </c>
    </row>
    <row r="409" spans="1:4" x14ac:dyDescent="0.3">
      <c r="A409" s="8">
        <v>2017</v>
      </c>
      <c r="B409" s="10">
        <v>302.61363636363637</v>
      </c>
      <c r="C409">
        <v>2017</v>
      </c>
      <c r="D409">
        <v>303</v>
      </c>
    </row>
    <row r="410" spans="1:4" x14ac:dyDescent="0.3">
      <c r="A410" s="8">
        <v>2018</v>
      </c>
      <c r="B410" s="10">
        <v>302.23913043478262</v>
      </c>
      <c r="C410">
        <v>2018</v>
      </c>
      <c r="D410">
        <v>302</v>
      </c>
    </row>
    <row r="411" spans="1:4" x14ac:dyDescent="0.3">
      <c r="A411" s="8">
        <v>2019</v>
      </c>
      <c r="B411" s="10">
        <v>315.13043478260869</v>
      </c>
      <c r="C411">
        <v>2019</v>
      </c>
      <c r="D411">
        <v>315</v>
      </c>
    </row>
    <row r="412" spans="1:4" x14ac:dyDescent="0.3">
      <c r="A412" s="8">
        <v>2021</v>
      </c>
      <c r="B412" s="10">
        <v>298.42</v>
      </c>
      <c r="C412">
        <v>2021</v>
      </c>
      <c r="D412">
        <v>298</v>
      </c>
    </row>
    <row r="413" spans="1:4" x14ac:dyDescent="0.3">
      <c r="A413" s="8">
        <v>2022</v>
      </c>
      <c r="B413" s="10">
        <v>304.93478260869563</v>
      </c>
      <c r="C413">
        <v>2022</v>
      </c>
      <c r="D413">
        <v>305</v>
      </c>
    </row>
    <row r="414" spans="1:4" x14ac:dyDescent="0.3">
      <c r="A414" s="8">
        <v>2023</v>
      </c>
      <c r="B414" s="10">
        <v>302.58695652173913</v>
      </c>
      <c r="C414">
        <v>2023</v>
      </c>
      <c r="D414">
        <v>303</v>
      </c>
    </row>
    <row r="415" spans="1:4" x14ac:dyDescent="0.3">
      <c r="A415" s="8">
        <v>2024</v>
      </c>
      <c r="B415" s="10">
        <v>318.41304347826087</v>
      </c>
      <c r="C415">
        <v>2024</v>
      </c>
      <c r="D415">
        <v>318</v>
      </c>
    </row>
    <row r="416" spans="1:4" x14ac:dyDescent="0.3">
      <c r="A416" s="8" t="s">
        <v>749</v>
      </c>
      <c r="B416" s="10">
        <v>299.42619542619542</v>
      </c>
    </row>
  </sheetData>
  <autoFilter ref="C127:D315" xr:uid="{BEE6869B-D5AE-4D51-B9AC-47B937780004}">
    <filterColumn colId="1">
      <top10 val="5" filterVal="16"/>
    </filterColumn>
  </autoFilter>
  <sortState xmlns:xlrd2="http://schemas.microsoft.com/office/spreadsheetml/2017/richdata2" ref="C128:D314">
    <sortCondition descending="1" ref="D128:D314"/>
  </sortState>
  <conditionalFormatting sqref="E84:I116">
    <cfRule type="dataBar" priority="3">
      <dataBar>
        <cfvo type="min"/>
        <cfvo type="max"/>
        <color rgb="FFFF555A"/>
      </dataBar>
      <extLst>
        <ext xmlns:x14="http://schemas.microsoft.com/office/spreadsheetml/2009/9/main" uri="{B025F937-C7B1-47D3-B67F-A62EFF666E3E}">
          <x14:id>{550A1DEE-E14D-4FC0-9BD6-F30235CFFF88}</x14:id>
        </ext>
      </extLst>
    </cfRule>
  </conditionalFormatting>
  <conditionalFormatting sqref="D43:G75">
    <cfRule type="dataBar" priority="2">
      <dataBar>
        <cfvo type="min"/>
        <cfvo type="max"/>
        <color rgb="FF63C384"/>
      </dataBar>
      <extLst>
        <ext xmlns:x14="http://schemas.microsoft.com/office/spreadsheetml/2009/9/main" uri="{B025F937-C7B1-47D3-B67F-A62EFF666E3E}">
          <x14:id>{C2112988-9EF6-4E96-93D8-889833648F68}</x14:id>
        </ext>
      </extLst>
    </cfRule>
  </conditionalFormatting>
  <conditionalFormatting sqref="C2:D34">
    <cfRule type="colorScale" priority="1">
      <colorScale>
        <cfvo type="min"/>
        <cfvo type="max"/>
        <color rgb="FFFCFCFF"/>
        <color rgb="FF63BE7B"/>
      </colorScale>
    </cfRule>
  </conditionalFormatting>
  <dataValidations count="1">
    <dataValidation type="list" allowBlank="1" showInputMessage="1" showErrorMessage="1" sqref="O345" xr:uid="{F7BBE0BF-53D3-4470-A581-6802451257D0}">
      <formula1>$C$394:$C$398</formula1>
    </dataValidation>
  </dataValidations>
  <pageMargins left="0.7" right="0.7" top="0.75" bottom="0.75" header="0.3" footer="0.3"/>
  <pageSetup paperSize="9" orientation="portrait" horizontalDpi="0" verticalDpi="0" r:id="rId11"/>
  <drawing r:id="rId12"/>
  <extLst>
    <ext xmlns:x14="http://schemas.microsoft.com/office/spreadsheetml/2009/9/main" uri="{78C0D931-6437-407d-A8EE-F0AAD7539E65}">
      <x14:conditionalFormattings>
        <x14:conditionalFormatting xmlns:xm="http://schemas.microsoft.com/office/excel/2006/main">
          <x14:cfRule type="dataBar" id="{550A1DEE-E14D-4FC0-9BD6-F30235CFFF88}">
            <x14:dataBar minLength="0" maxLength="100" border="1" negativeBarBorderColorSameAsPositive="0">
              <x14:cfvo type="autoMin"/>
              <x14:cfvo type="autoMax"/>
              <x14:borderColor rgb="FFFF555A"/>
              <x14:negativeFillColor rgb="FFFF0000"/>
              <x14:negativeBorderColor rgb="FFFF0000"/>
              <x14:axisColor rgb="FF000000"/>
            </x14:dataBar>
          </x14:cfRule>
          <xm:sqref>E84:I116</xm:sqref>
        </x14:conditionalFormatting>
        <x14:conditionalFormatting xmlns:xm="http://schemas.microsoft.com/office/excel/2006/main">
          <x14:cfRule type="dataBar" id="{C2112988-9EF6-4E96-93D8-889833648F68}">
            <x14:dataBar minLength="0" maxLength="100" gradient="0">
              <x14:cfvo type="autoMin"/>
              <x14:cfvo type="autoMax"/>
              <x14:negativeFillColor rgb="FFFF0000"/>
              <x14:axisColor rgb="FF000000"/>
            </x14:dataBar>
          </x14:cfRule>
          <xm:sqref>D43:G75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500B8-4BC6-409F-B679-D226C1F62CDE}">
  <dimension ref="A4:B21"/>
  <sheetViews>
    <sheetView workbookViewId="0">
      <selection activeCell="N9" sqref="N9"/>
    </sheetView>
  </sheetViews>
  <sheetFormatPr defaultRowHeight="15.6" x14ac:dyDescent="0.3"/>
  <cols>
    <col min="1" max="1" width="17.59765625" bestFit="1" customWidth="1"/>
    <col min="2" max="2" width="14.09765625" bestFit="1" customWidth="1"/>
  </cols>
  <sheetData>
    <row r="4" spans="1:2" x14ac:dyDescent="0.3">
      <c r="A4" s="25" t="s">
        <v>959</v>
      </c>
      <c r="B4" s="24">
        <f>COUNTA(Table5[match_no])</f>
        <v>481</v>
      </c>
    </row>
    <row r="8" spans="1:2" x14ac:dyDescent="0.3">
      <c r="A8" s="25" t="s">
        <v>963</v>
      </c>
      <c r="B8" s="24">
        <f>COUNTA(_xlfn.UNIQUE(Table5[season]))</f>
        <v>8</v>
      </c>
    </row>
    <row r="12" spans="1:2" x14ac:dyDescent="0.3">
      <c r="A12" s="25" t="s">
        <v>960</v>
      </c>
      <c r="B12" s="24">
        <f>MAX(Table5[Total_Runs])</f>
        <v>422</v>
      </c>
    </row>
    <row r="17" spans="1:2" x14ac:dyDescent="0.3">
      <c r="A17" s="25" t="s">
        <v>961</v>
      </c>
      <c r="B17" s="24" t="str">
        <f>Team_Analysis!D44</f>
        <v>Fortune Barishal</v>
      </c>
    </row>
    <row r="21" spans="1:2" x14ac:dyDescent="0.3">
      <c r="A21" s="25" t="s">
        <v>962</v>
      </c>
      <c r="B21" s="24" t="str">
        <f>Team_Analysis!C128</f>
        <v>Shakib hasan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B976C-8432-4A48-A4A6-FC0D85F32E93}">
  <dimension ref="A1"/>
  <sheetViews>
    <sheetView showGridLines="0" tabSelected="1" zoomScale="50" zoomScaleNormal="50" workbookViewId="0">
      <selection activeCell="AA31" sqref="AA3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2D915D-2D17-4B02-AE8A-98C85087AE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31</vt:i4>
      </vt:variant>
    </vt:vector>
  </HeadingPairs>
  <TitlesOfParts>
    <vt:vector size="37" baseType="lpstr">
      <vt:lpstr>Raw_Data</vt:lpstr>
      <vt:lpstr>Clean_Data</vt:lpstr>
      <vt:lpstr>Data_Preprocessing</vt:lpstr>
      <vt:lpstr>Team_Analysis</vt:lpstr>
      <vt:lpstr>KPI_Analysis</vt:lpstr>
      <vt:lpstr>Dashboard</vt:lpstr>
      <vt:lpstr>city</vt:lpstr>
      <vt:lpstr>Close_Match_Flag</vt:lpstr>
      <vt:lpstr>Correct_Winner</vt:lpstr>
      <vt:lpstr>date</vt:lpstr>
      <vt:lpstr>High_Scoring_Flag</vt:lpstr>
      <vt:lpstr>match_no</vt:lpstr>
      <vt:lpstr>Match_Type</vt:lpstr>
      <vt:lpstr>player_of_match</vt:lpstr>
      <vt:lpstr>result</vt:lpstr>
      <vt:lpstr>season</vt:lpstr>
      <vt:lpstr>Team</vt:lpstr>
      <vt:lpstr>team_1</vt:lpstr>
      <vt:lpstr>team_1_score</vt:lpstr>
      <vt:lpstr>team_1_wicket</vt:lpstr>
      <vt:lpstr>team_2</vt:lpstr>
      <vt:lpstr>team_2_score</vt:lpstr>
      <vt:lpstr>team_2_wicket</vt:lpstr>
      <vt:lpstr>Team_Name</vt:lpstr>
      <vt:lpstr>toss_decision</vt:lpstr>
      <vt:lpstr>toss_winner</vt:lpstr>
      <vt:lpstr>Total_Runs</vt:lpstr>
      <vt:lpstr>umpire_1</vt:lpstr>
      <vt:lpstr>umpire_2</vt:lpstr>
      <vt:lpstr>venue</vt:lpstr>
      <vt:lpstr>win_by_runs</vt:lpstr>
      <vt:lpstr>Win_By_Type</vt:lpstr>
      <vt:lpstr>win_by_wickets</vt:lpstr>
      <vt:lpstr>Win_Flag</vt:lpstr>
      <vt:lpstr>Win_Margin</vt:lpstr>
      <vt:lpstr>winner</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Nafis Ulfat</cp:lastModifiedBy>
  <dcterms:created xsi:type="dcterms:W3CDTF">2026-02-16T05:50:02Z</dcterms:created>
  <dcterms:modified xsi:type="dcterms:W3CDTF">2026-02-18T16:59:35Z</dcterms:modified>
</cp:coreProperties>
</file>